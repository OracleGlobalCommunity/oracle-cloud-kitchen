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eque\Downloads\"/>
    </mc:Choice>
  </mc:AlternateContent>
  <xr:revisionPtr revIDLastSave="0" documentId="8_{B380023F-5E6B-4200-B210-0E443ED9C437}" xr6:coauthVersionLast="47" xr6:coauthVersionMax="47" xr10:uidLastSave="{00000000-0000-0000-0000-000000000000}"/>
  <bookViews>
    <workbookView xWindow="-19293" yWindow="-67" windowWidth="19386" windowHeight="11467" xr2:uid="{B947E950-5B91-4D7E-9C80-CD462147B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001" i="1" l="1"/>
  <c r="N3001" i="1"/>
  <c r="O3001" i="1" s="1"/>
  <c r="P3000" i="1"/>
  <c r="N3000" i="1"/>
  <c r="O3000" i="1" s="1"/>
  <c r="P2999" i="1"/>
  <c r="O2999" i="1"/>
  <c r="N2999" i="1"/>
  <c r="P2998" i="1"/>
  <c r="N2998" i="1"/>
  <c r="O2998" i="1" s="1"/>
  <c r="P2997" i="1"/>
  <c r="O2997" i="1"/>
  <c r="N2997" i="1"/>
  <c r="P2996" i="1"/>
  <c r="N2996" i="1"/>
  <c r="O2996" i="1" s="1"/>
  <c r="P2995" i="1"/>
  <c r="N2995" i="1"/>
  <c r="O2995" i="1" s="1"/>
  <c r="P2994" i="1"/>
  <c r="N2994" i="1"/>
  <c r="O2994" i="1" s="1"/>
  <c r="P2993" i="1"/>
  <c r="N2993" i="1"/>
  <c r="O2993" i="1" s="1"/>
  <c r="P2992" i="1"/>
  <c r="N2992" i="1"/>
  <c r="O2992" i="1" s="1"/>
  <c r="Q2992" i="1" s="1"/>
  <c r="P2991" i="1"/>
  <c r="O2991" i="1"/>
  <c r="N2991" i="1"/>
  <c r="P2990" i="1"/>
  <c r="N2990" i="1"/>
  <c r="O2990" i="1" s="1"/>
  <c r="Q2989" i="1"/>
  <c r="R2989" i="1" s="1"/>
  <c r="P2989" i="1"/>
  <c r="O2989" i="1"/>
  <c r="N2989" i="1"/>
  <c r="P2988" i="1"/>
  <c r="N2988" i="1"/>
  <c r="O2988" i="1" s="1"/>
  <c r="P2987" i="1"/>
  <c r="N2987" i="1"/>
  <c r="O2987" i="1" s="1"/>
  <c r="P2986" i="1"/>
  <c r="N2986" i="1"/>
  <c r="O2986" i="1" s="1"/>
  <c r="P2985" i="1"/>
  <c r="N2985" i="1"/>
  <c r="O2985" i="1" s="1"/>
  <c r="P2984" i="1"/>
  <c r="N2984" i="1"/>
  <c r="O2984" i="1" s="1"/>
  <c r="P2983" i="1"/>
  <c r="O2983" i="1"/>
  <c r="N2983" i="1"/>
  <c r="P2982" i="1"/>
  <c r="N2982" i="1"/>
  <c r="O2982" i="1" s="1"/>
  <c r="P2981" i="1"/>
  <c r="O2981" i="1"/>
  <c r="N2981" i="1"/>
  <c r="P2980" i="1"/>
  <c r="N2980" i="1"/>
  <c r="O2980" i="1" s="1"/>
  <c r="P2979" i="1"/>
  <c r="N2979" i="1"/>
  <c r="O2979" i="1" s="1"/>
  <c r="P2978" i="1"/>
  <c r="N2978" i="1"/>
  <c r="O2978" i="1" s="1"/>
  <c r="P2977" i="1"/>
  <c r="N2977" i="1"/>
  <c r="O2977" i="1" s="1"/>
  <c r="R2976" i="1"/>
  <c r="P2976" i="1"/>
  <c r="Q2976" i="1" s="1"/>
  <c r="O2976" i="1"/>
  <c r="N2976" i="1"/>
  <c r="P2975" i="1"/>
  <c r="O2975" i="1"/>
  <c r="N2975" i="1"/>
  <c r="P2974" i="1"/>
  <c r="N2974" i="1"/>
  <c r="O2974" i="1" s="1"/>
  <c r="R2973" i="1"/>
  <c r="Q2973" i="1"/>
  <c r="P2973" i="1"/>
  <c r="O2973" i="1"/>
  <c r="N2973" i="1"/>
  <c r="P2972" i="1"/>
  <c r="N2972" i="1"/>
  <c r="O2972" i="1" s="1"/>
  <c r="P2971" i="1"/>
  <c r="N2971" i="1"/>
  <c r="O2971" i="1" s="1"/>
  <c r="P2970" i="1"/>
  <c r="N2970" i="1"/>
  <c r="O2970" i="1" s="1"/>
  <c r="P2969" i="1"/>
  <c r="N2969" i="1"/>
  <c r="O2969" i="1" s="1"/>
  <c r="P2968" i="1"/>
  <c r="N2968" i="1"/>
  <c r="O2968" i="1" s="1"/>
  <c r="P2967" i="1"/>
  <c r="O2967" i="1"/>
  <c r="N2967" i="1"/>
  <c r="P2966" i="1"/>
  <c r="N2966" i="1"/>
  <c r="O2966" i="1" s="1"/>
  <c r="P2965" i="1"/>
  <c r="O2965" i="1"/>
  <c r="N2965" i="1"/>
  <c r="P2964" i="1"/>
  <c r="N2964" i="1"/>
  <c r="O2964" i="1" s="1"/>
  <c r="P2963" i="1"/>
  <c r="N2963" i="1"/>
  <c r="O2963" i="1" s="1"/>
  <c r="P2962" i="1"/>
  <c r="N2962" i="1"/>
  <c r="O2962" i="1" s="1"/>
  <c r="P2961" i="1"/>
  <c r="N2961" i="1"/>
  <c r="O2961" i="1" s="1"/>
  <c r="P2960" i="1"/>
  <c r="Q2960" i="1" s="1"/>
  <c r="R2960" i="1" s="1"/>
  <c r="O2960" i="1"/>
  <c r="N2960" i="1"/>
  <c r="P2959" i="1"/>
  <c r="O2959" i="1"/>
  <c r="N2959" i="1"/>
  <c r="P2958" i="1"/>
  <c r="N2958" i="1"/>
  <c r="O2958" i="1" s="1"/>
  <c r="Q2957" i="1"/>
  <c r="R2957" i="1" s="1"/>
  <c r="P2957" i="1"/>
  <c r="O2957" i="1"/>
  <c r="N2957" i="1"/>
  <c r="P2956" i="1"/>
  <c r="N2956" i="1"/>
  <c r="O2956" i="1" s="1"/>
  <c r="P2955" i="1"/>
  <c r="N2955" i="1"/>
  <c r="O2955" i="1" s="1"/>
  <c r="P2954" i="1"/>
  <c r="N2954" i="1"/>
  <c r="O2954" i="1" s="1"/>
  <c r="P2953" i="1"/>
  <c r="N2953" i="1"/>
  <c r="O2953" i="1" s="1"/>
  <c r="P2952" i="1"/>
  <c r="N2952" i="1"/>
  <c r="O2952" i="1" s="1"/>
  <c r="P2951" i="1"/>
  <c r="O2951" i="1"/>
  <c r="N2951" i="1"/>
  <c r="P2950" i="1"/>
  <c r="N2950" i="1"/>
  <c r="O2950" i="1" s="1"/>
  <c r="P2949" i="1"/>
  <c r="O2949" i="1"/>
  <c r="N2949" i="1"/>
  <c r="P2948" i="1"/>
  <c r="N2948" i="1"/>
  <c r="O2948" i="1" s="1"/>
  <c r="P2947" i="1"/>
  <c r="N2947" i="1"/>
  <c r="O2947" i="1" s="1"/>
  <c r="P2946" i="1"/>
  <c r="N2946" i="1"/>
  <c r="O2946" i="1" s="1"/>
  <c r="P2945" i="1"/>
  <c r="N2945" i="1"/>
  <c r="O2945" i="1" s="1"/>
  <c r="R2944" i="1"/>
  <c r="P2944" i="1"/>
  <c r="Q2944" i="1" s="1"/>
  <c r="O2944" i="1"/>
  <c r="N2944" i="1"/>
  <c r="P2943" i="1"/>
  <c r="O2943" i="1"/>
  <c r="N2943" i="1"/>
  <c r="P2942" i="1"/>
  <c r="N2942" i="1"/>
  <c r="O2942" i="1" s="1"/>
  <c r="Q2941" i="1"/>
  <c r="R2941" i="1" s="1"/>
  <c r="P2941" i="1"/>
  <c r="O2941" i="1"/>
  <c r="N2941" i="1"/>
  <c r="P2940" i="1"/>
  <c r="N2940" i="1"/>
  <c r="O2940" i="1" s="1"/>
  <c r="P2939" i="1"/>
  <c r="N2939" i="1"/>
  <c r="O2939" i="1" s="1"/>
  <c r="P2938" i="1"/>
  <c r="N2938" i="1"/>
  <c r="O2938" i="1" s="1"/>
  <c r="P2937" i="1"/>
  <c r="N2937" i="1"/>
  <c r="O2937" i="1" s="1"/>
  <c r="P2936" i="1"/>
  <c r="N2936" i="1"/>
  <c r="O2936" i="1" s="1"/>
  <c r="P2935" i="1"/>
  <c r="O2935" i="1"/>
  <c r="N2935" i="1"/>
  <c r="P2934" i="1"/>
  <c r="N2934" i="1"/>
  <c r="O2934" i="1" s="1"/>
  <c r="P2933" i="1"/>
  <c r="O2933" i="1"/>
  <c r="N2933" i="1"/>
  <c r="P2932" i="1"/>
  <c r="N2932" i="1"/>
  <c r="O2932" i="1" s="1"/>
  <c r="Q2931" i="1"/>
  <c r="R2931" i="1" s="1"/>
  <c r="P2931" i="1"/>
  <c r="O2931" i="1"/>
  <c r="N2931" i="1"/>
  <c r="P2930" i="1"/>
  <c r="N2930" i="1"/>
  <c r="O2930" i="1" s="1"/>
  <c r="P2929" i="1"/>
  <c r="N2929" i="1"/>
  <c r="O2929" i="1" s="1"/>
  <c r="R2928" i="1"/>
  <c r="P2928" i="1"/>
  <c r="Q2928" i="1" s="1"/>
  <c r="O2928" i="1"/>
  <c r="N2928" i="1"/>
  <c r="P2927" i="1"/>
  <c r="O2927" i="1"/>
  <c r="N2927" i="1"/>
  <c r="P2926" i="1"/>
  <c r="N2926" i="1"/>
  <c r="O2926" i="1" s="1"/>
  <c r="R2925" i="1"/>
  <c r="Q2925" i="1"/>
  <c r="P2925" i="1"/>
  <c r="O2925" i="1"/>
  <c r="N2925" i="1"/>
  <c r="P2924" i="1"/>
  <c r="N2924" i="1"/>
  <c r="O2924" i="1" s="1"/>
  <c r="P2923" i="1"/>
  <c r="N2923" i="1"/>
  <c r="O2923" i="1" s="1"/>
  <c r="P2922" i="1"/>
  <c r="N2922" i="1"/>
  <c r="O2922" i="1" s="1"/>
  <c r="P2921" i="1"/>
  <c r="N2921" i="1"/>
  <c r="O2921" i="1" s="1"/>
  <c r="P2920" i="1"/>
  <c r="N2920" i="1"/>
  <c r="O2920" i="1" s="1"/>
  <c r="P2919" i="1"/>
  <c r="O2919" i="1"/>
  <c r="N2919" i="1"/>
  <c r="P2918" i="1"/>
  <c r="N2918" i="1"/>
  <c r="O2918" i="1" s="1"/>
  <c r="P2917" i="1"/>
  <c r="O2917" i="1"/>
  <c r="N2917" i="1"/>
  <c r="P2916" i="1"/>
  <c r="N2916" i="1"/>
  <c r="O2916" i="1" s="1"/>
  <c r="Q2915" i="1"/>
  <c r="R2915" i="1" s="1"/>
  <c r="P2915" i="1"/>
  <c r="O2915" i="1"/>
  <c r="N2915" i="1"/>
  <c r="P2914" i="1"/>
  <c r="N2914" i="1"/>
  <c r="O2914" i="1" s="1"/>
  <c r="P2913" i="1"/>
  <c r="N2913" i="1"/>
  <c r="O2913" i="1" s="1"/>
  <c r="P2912" i="1"/>
  <c r="Q2912" i="1" s="1"/>
  <c r="R2912" i="1" s="1"/>
  <c r="O2912" i="1"/>
  <c r="N2912" i="1"/>
  <c r="P2911" i="1"/>
  <c r="O2911" i="1"/>
  <c r="N2911" i="1"/>
  <c r="P2910" i="1"/>
  <c r="N2910" i="1"/>
  <c r="O2910" i="1" s="1"/>
  <c r="Q2909" i="1"/>
  <c r="R2909" i="1" s="1"/>
  <c r="P2909" i="1"/>
  <c r="O2909" i="1"/>
  <c r="N2909" i="1"/>
  <c r="P2908" i="1"/>
  <c r="N2908" i="1"/>
  <c r="O2908" i="1" s="1"/>
  <c r="P2907" i="1"/>
  <c r="N2907" i="1"/>
  <c r="O2907" i="1" s="1"/>
  <c r="P2906" i="1"/>
  <c r="N2906" i="1"/>
  <c r="O2906" i="1" s="1"/>
  <c r="P2905" i="1"/>
  <c r="N2905" i="1"/>
  <c r="O2905" i="1" s="1"/>
  <c r="P2904" i="1"/>
  <c r="N2904" i="1"/>
  <c r="O2904" i="1" s="1"/>
  <c r="P2903" i="1"/>
  <c r="O2903" i="1"/>
  <c r="N2903" i="1"/>
  <c r="P2902" i="1"/>
  <c r="N2902" i="1"/>
  <c r="O2902" i="1" s="1"/>
  <c r="P2901" i="1"/>
  <c r="O2901" i="1"/>
  <c r="N2901" i="1"/>
  <c r="P2900" i="1"/>
  <c r="N2900" i="1"/>
  <c r="O2900" i="1" s="1"/>
  <c r="Q2899" i="1"/>
  <c r="R2899" i="1" s="1"/>
  <c r="P2899" i="1"/>
  <c r="O2899" i="1"/>
  <c r="N2899" i="1"/>
  <c r="P2898" i="1"/>
  <c r="N2898" i="1"/>
  <c r="O2898" i="1" s="1"/>
  <c r="P2897" i="1"/>
  <c r="N2897" i="1"/>
  <c r="O2897" i="1" s="1"/>
  <c r="P2896" i="1"/>
  <c r="Q2896" i="1" s="1"/>
  <c r="R2896" i="1" s="1"/>
  <c r="O2896" i="1"/>
  <c r="N2896" i="1"/>
  <c r="P2895" i="1"/>
  <c r="O2895" i="1"/>
  <c r="N2895" i="1"/>
  <c r="P2894" i="1"/>
  <c r="N2894" i="1"/>
  <c r="O2894" i="1" s="1"/>
  <c r="R2893" i="1"/>
  <c r="Q2893" i="1"/>
  <c r="P2893" i="1"/>
  <c r="O2893" i="1"/>
  <c r="N2893" i="1"/>
  <c r="P2892" i="1"/>
  <c r="N2892" i="1"/>
  <c r="O2892" i="1" s="1"/>
  <c r="P2891" i="1"/>
  <c r="N2891" i="1"/>
  <c r="O2891" i="1" s="1"/>
  <c r="P2890" i="1"/>
  <c r="N2890" i="1"/>
  <c r="O2890" i="1" s="1"/>
  <c r="P2889" i="1"/>
  <c r="N2889" i="1"/>
  <c r="O2889" i="1" s="1"/>
  <c r="P2888" i="1"/>
  <c r="N2888" i="1"/>
  <c r="O2888" i="1" s="1"/>
  <c r="P2887" i="1"/>
  <c r="O2887" i="1"/>
  <c r="N2887" i="1"/>
  <c r="P2886" i="1"/>
  <c r="N2886" i="1"/>
  <c r="O2886" i="1" s="1"/>
  <c r="P2885" i="1"/>
  <c r="O2885" i="1"/>
  <c r="N2885" i="1"/>
  <c r="P2884" i="1"/>
  <c r="N2884" i="1"/>
  <c r="O2884" i="1" s="1"/>
  <c r="Q2883" i="1"/>
  <c r="R2883" i="1" s="1"/>
  <c r="P2883" i="1"/>
  <c r="O2883" i="1"/>
  <c r="N2883" i="1"/>
  <c r="P2882" i="1"/>
  <c r="N2882" i="1"/>
  <c r="O2882" i="1" s="1"/>
  <c r="P2881" i="1"/>
  <c r="N2881" i="1"/>
  <c r="O2881" i="1" s="1"/>
  <c r="R2880" i="1"/>
  <c r="P2880" i="1"/>
  <c r="Q2880" i="1" s="1"/>
  <c r="O2880" i="1"/>
  <c r="N2880" i="1"/>
  <c r="P2879" i="1"/>
  <c r="O2879" i="1"/>
  <c r="N2879" i="1"/>
  <c r="P2878" i="1"/>
  <c r="N2878" i="1"/>
  <c r="O2878" i="1" s="1"/>
  <c r="Q2877" i="1"/>
  <c r="R2877" i="1" s="1"/>
  <c r="P2877" i="1"/>
  <c r="O2877" i="1"/>
  <c r="N2877" i="1"/>
  <c r="P2876" i="1"/>
  <c r="N2876" i="1"/>
  <c r="O2876" i="1" s="1"/>
  <c r="P2875" i="1"/>
  <c r="N2875" i="1"/>
  <c r="O2875" i="1" s="1"/>
  <c r="P2874" i="1"/>
  <c r="N2874" i="1"/>
  <c r="O2874" i="1" s="1"/>
  <c r="P2873" i="1"/>
  <c r="N2873" i="1"/>
  <c r="O2873" i="1" s="1"/>
  <c r="P2872" i="1"/>
  <c r="N2872" i="1"/>
  <c r="O2872" i="1" s="1"/>
  <c r="P2871" i="1"/>
  <c r="O2871" i="1"/>
  <c r="N2871" i="1"/>
  <c r="P2870" i="1"/>
  <c r="N2870" i="1"/>
  <c r="O2870" i="1" s="1"/>
  <c r="P2869" i="1"/>
  <c r="O2869" i="1"/>
  <c r="N2869" i="1"/>
  <c r="P2868" i="1"/>
  <c r="N2868" i="1"/>
  <c r="O2868" i="1" s="1"/>
  <c r="Q2867" i="1"/>
  <c r="R2867" i="1" s="1"/>
  <c r="P2867" i="1"/>
  <c r="O2867" i="1"/>
  <c r="N2867" i="1"/>
  <c r="P2866" i="1"/>
  <c r="N2866" i="1"/>
  <c r="O2866" i="1" s="1"/>
  <c r="P2865" i="1"/>
  <c r="N2865" i="1"/>
  <c r="O2865" i="1" s="1"/>
  <c r="R2864" i="1"/>
  <c r="P2864" i="1"/>
  <c r="Q2864" i="1" s="1"/>
  <c r="O2864" i="1"/>
  <c r="N2864" i="1"/>
  <c r="P2863" i="1"/>
  <c r="O2863" i="1"/>
  <c r="N2863" i="1"/>
  <c r="P2862" i="1"/>
  <c r="N2862" i="1"/>
  <c r="O2862" i="1" s="1"/>
  <c r="R2861" i="1"/>
  <c r="Q2861" i="1"/>
  <c r="P2861" i="1"/>
  <c r="O2861" i="1"/>
  <c r="N2861" i="1"/>
  <c r="P2860" i="1"/>
  <c r="N2860" i="1"/>
  <c r="O2860" i="1" s="1"/>
  <c r="P2859" i="1"/>
  <c r="N2859" i="1"/>
  <c r="O2859" i="1" s="1"/>
  <c r="P2858" i="1"/>
  <c r="N2858" i="1"/>
  <c r="O2858" i="1" s="1"/>
  <c r="P2857" i="1"/>
  <c r="N2857" i="1"/>
  <c r="O2857" i="1" s="1"/>
  <c r="P2856" i="1"/>
  <c r="N2856" i="1"/>
  <c r="O2856" i="1" s="1"/>
  <c r="P2855" i="1"/>
  <c r="O2855" i="1"/>
  <c r="N2855" i="1"/>
  <c r="P2854" i="1"/>
  <c r="N2854" i="1"/>
  <c r="O2854" i="1" s="1"/>
  <c r="Q2854" i="1" s="1"/>
  <c r="P2853" i="1"/>
  <c r="O2853" i="1"/>
  <c r="N2853" i="1"/>
  <c r="P2852" i="1"/>
  <c r="N2852" i="1"/>
  <c r="O2852" i="1" s="1"/>
  <c r="Q2851" i="1"/>
  <c r="R2851" i="1" s="1"/>
  <c r="P2851" i="1"/>
  <c r="O2851" i="1"/>
  <c r="N2851" i="1"/>
  <c r="P2850" i="1"/>
  <c r="N2850" i="1"/>
  <c r="O2850" i="1" s="1"/>
  <c r="P2849" i="1"/>
  <c r="N2849" i="1"/>
  <c r="O2849" i="1" s="1"/>
  <c r="P2848" i="1"/>
  <c r="Q2848" i="1" s="1"/>
  <c r="R2848" i="1" s="1"/>
  <c r="O2848" i="1"/>
  <c r="N2848" i="1"/>
  <c r="P2847" i="1"/>
  <c r="O2847" i="1"/>
  <c r="N2847" i="1"/>
  <c r="P2846" i="1"/>
  <c r="N2846" i="1"/>
  <c r="O2846" i="1" s="1"/>
  <c r="P2845" i="1"/>
  <c r="O2845" i="1"/>
  <c r="N2845" i="1"/>
  <c r="P2844" i="1"/>
  <c r="N2844" i="1"/>
  <c r="O2844" i="1" s="1"/>
  <c r="P2843" i="1"/>
  <c r="N2843" i="1"/>
  <c r="O2843" i="1" s="1"/>
  <c r="Q2842" i="1"/>
  <c r="P2842" i="1"/>
  <c r="N2842" i="1"/>
  <c r="O2842" i="1" s="1"/>
  <c r="P2841" i="1"/>
  <c r="N2841" i="1"/>
  <c r="O2841" i="1" s="1"/>
  <c r="P2840" i="1"/>
  <c r="N2840" i="1"/>
  <c r="O2840" i="1" s="1"/>
  <c r="P2839" i="1"/>
  <c r="O2839" i="1"/>
  <c r="N2839" i="1"/>
  <c r="R2838" i="1"/>
  <c r="P2838" i="1"/>
  <c r="N2838" i="1"/>
  <c r="O2838" i="1" s="1"/>
  <c r="Q2838" i="1" s="1"/>
  <c r="P2837" i="1"/>
  <c r="O2837" i="1"/>
  <c r="N2837" i="1"/>
  <c r="P2836" i="1"/>
  <c r="O2836" i="1"/>
  <c r="N2836" i="1"/>
  <c r="Q2835" i="1"/>
  <c r="R2835" i="1" s="1"/>
  <c r="P2835" i="1"/>
  <c r="O2835" i="1"/>
  <c r="N2835" i="1"/>
  <c r="P2834" i="1"/>
  <c r="N2834" i="1"/>
  <c r="O2834" i="1" s="1"/>
  <c r="P2833" i="1"/>
  <c r="N2833" i="1"/>
  <c r="O2833" i="1" s="1"/>
  <c r="P2832" i="1"/>
  <c r="Q2832" i="1" s="1"/>
  <c r="R2832" i="1" s="1"/>
  <c r="O2832" i="1"/>
  <c r="N2832" i="1"/>
  <c r="P2831" i="1"/>
  <c r="O2831" i="1"/>
  <c r="N2831" i="1"/>
  <c r="P2830" i="1"/>
  <c r="N2830" i="1"/>
  <c r="O2830" i="1" s="1"/>
  <c r="Q2829" i="1"/>
  <c r="P2829" i="1"/>
  <c r="O2829" i="1"/>
  <c r="R2829" i="1" s="1"/>
  <c r="N2829" i="1"/>
  <c r="P2828" i="1"/>
  <c r="N2828" i="1"/>
  <c r="O2828" i="1" s="1"/>
  <c r="P2827" i="1"/>
  <c r="N2827" i="1"/>
  <c r="O2827" i="1" s="1"/>
  <c r="P2826" i="1"/>
  <c r="N2826" i="1"/>
  <c r="O2826" i="1" s="1"/>
  <c r="P2825" i="1"/>
  <c r="N2825" i="1"/>
  <c r="O2825" i="1" s="1"/>
  <c r="P2824" i="1"/>
  <c r="N2824" i="1"/>
  <c r="O2824" i="1" s="1"/>
  <c r="P2823" i="1"/>
  <c r="O2823" i="1"/>
  <c r="N2823" i="1"/>
  <c r="P2822" i="1"/>
  <c r="N2822" i="1"/>
  <c r="O2822" i="1" s="1"/>
  <c r="Q2822" i="1" s="1"/>
  <c r="P2821" i="1"/>
  <c r="O2821" i="1"/>
  <c r="N2821" i="1"/>
  <c r="P2820" i="1"/>
  <c r="N2820" i="1"/>
  <c r="O2820" i="1" s="1"/>
  <c r="R2819" i="1"/>
  <c r="Q2819" i="1"/>
  <c r="P2819" i="1"/>
  <c r="O2819" i="1"/>
  <c r="N2819" i="1"/>
  <c r="P2818" i="1"/>
  <c r="N2818" i="1"/>
  <c r="O2818" i="1" s="1"/>
  <c r="P2817" i="1"/>
  <c r="N2817" i="1"/>
  <c r="O2817" i="1" s="1"/>
  <c r="Q2816" i="1"/>
  <c r="R2816" i="1" s="1"/>
  <c r="P2816" i="1"/>
  <c r="O2816" i="1"/>
  <c r="N2816" i="1"/>
  <c r="P2815" i="1"/>
  <c r="O2815" i="1"/>
  <c r="N2815" i="1"/>
  <c r="P2814" i="1"/>
  <c r="O2814" i="1"/>
  <c r="N2814" i="1"/>
  <c r="Q2813" i="1"/>
  <c r="P2813" i="1"/>
  <c r="O2813" i="1"/>
  <c r="R2813" i="1" s="1"/>
  <c r="N2813" i="1"/>
  <c r="P2812" i="1"/>
  <c r="N2812" i="1"/>
  <c r="O2812" i="1" s="1"/>
  <c r="P2811" i="1"/>
  <c r="N2811" i="1"/>
  <c r="O2811" i="1" s="1"/>
  <c r="P2810" i="1"/>
  <c r="O2810" i="1"/>
  <c r="N2810" i="1"/>
  <c r="P2809" i="1"/>
  <c r="N2809" i="1"/>
  <c r="O2809" i="1" s="1"/>
  <c r="P2808" i="1"/>
  <c r="N2808" i="1"/>
  <c r="O2808" i="1" s="1"/>
  <c r="P2807" i="1"/>
  <c r="N2807" i="1"/>
  <c r="O2807" i="1" s="1"/>
  <c r="P2806" i="1"/>
  <c r="N2806" i="1"/>
  <c r="O2806" i="1" s="1"/>
  <c r="Q2806" i="1" s="1"/>
  <c r="P2805" i="1"/>
  <c r="O2805" i="1"/>
  <c r="N2805" i="1"/>
  <c r="P2804" i="1"/>
  <c r="N2804" i="1"/>
  <c r="O2804" i="1" s="1"/>
  <c r="R2803" i="1"/>
  <c r="Q2803" i="1"/>
  <c r="P2803" i="1"/>
  <c r="O2803" i="1"/>
  <c r="N2803" i="1"/>
  <c r="P2802" i="1"/>
  <c r="N2802" i="1"/>
  <c r="O2802" i="1" s="1"/>
  <c r="P2801" i="1"/>
  <c r="N2801" i="1"/>
  <c r="O2801" i="1" s="1"/>
  <c r="P2800" i="1"/>
  <c r="Q2800" i="1" s="1"/>
  <c r="R2800" i="1" s="1"/>
  <c r="O2800" i="1"/>
  <c r="N2800" i="1"/>
  <c r="P2799" i="1"/>
  <c r="O2799" i="1"/>
  <c r="N2799" i="1"/>
  <c r="P2798" i="1"/>
  <c r="N2798" i="1"/>
  <c r="O2798" i="1" s="1"/>
  <c r="P2797" i="1"/>
  <c r="O2797" i="1"/>
  <c r="Q2797" i="1" s="1"/>
  <c r="R2797" i="1" s="1"/>
  <c r="N2797" i="1"/>
  <c r="P2796" i="1"/>
  <c r="N2796" i="1"/>
  <c r="O2796" i="1" s="1"/>
  <c r="P2795" i="1"/>
  <c r="N2795" i="1"/>
  <c r="O2795" i="1" s="1"/>
  <c r="P2794" i="1"/>
  <c r="O2794" i="1"/>
  <c r="N2794" i="1"/>
  <c r="P2793" i="1"/>
  <c r="N2793" i="1"/>
  <c r="O2793" i="1" s="1"/>
  <c r="P2792" i="1"/>
  <c r="N2792" i="1"/>
  <c r="O2792" i="1" s="1"/>
  <c r="P2791" i="1"/>
  <c r="N2791" i="1"/>
  <c r="O2791" i="1" s="1"/>
  <c r="R2790" i="1"/>
  <c r="P2790" i="1"/>
  <c r="N2790" i="1"/>
  <c r="O2790" i="1" s="1"/>
  <c r="Q2790" i="1" s="1"/>
  <c r="P2789" i="1"/>
  <c r="O2789" i="1"/>
  <c r="N2789" i="1"/>
  <c r="P2788" i="1"/>
  <c r="N2788" i="1"/>
  <c r="O2788" i="1" s="1"/>
  <c r="Q2787" i="1"/>
  <c r="R2787" i="1" s="1"/>
  <c r="P2787" i="1"/>
  <c r="O2787" i="1"/>
  <c r="N2787" i="1"/>
  <c r="P2786" i="1"/>
  <c r="N2786" i="1"/>
  <c r="O2786" i="1" s="1"/>
  <c r="P2785" i="1"/>
  <c r="N2785" i="1"/>
  <c r="O2785" i="1" s="1"/>
  <c r="R2784" i="1"/>
  <c r="Q2784" i="1"/>
  <c r="P2784" i="1"/>
  <c r="O2784" i="1"/>
  <c r="N2784" i="1"/>
  <c r="P2783" i="1"/>
  <c r="O2783" i="1"/>
  <c r="N2783" i="1"/>
  <c r="P2782" i="1"/>
  <c r="N2782" i="1"/>
  <c r="O2782" i="1" s="1"/>
  <c r="R2781" i="1"/>
  <c r="Q2781" i="1"/>
  <c r="P2781" i="1"/>
  <c r="O2781" i="1"/>
  <c r="N2781" i="1"/>
  <c r="P2780" i="1"/>
  <c r="N2780" i="1"/>
  <c r="O2780" i="1" s="1"/>
  <c r="P2779" i="1"/>
  <c r="N2779" i="1"/>
  <c r="O2779" i="1" s="1"/>
  <c r="P2778" i="1"/>
  <c r="N2778" i="1"/>
  <c r="O2778" i="1" s="1"/>
  <c r="P2777" i="1"/>
  <c r="N2777" i="1"/>
  <c r="O2777" i="1" s="1"/>
  <c r="P2776" i="1"/>
  <c r="N2776" i="1"/>
  <c r="O2776" i="1" s="1"/>
  <c r="P2775" i="1"/>
  <c r="N2775" i="1"/>
  <c r="O2775" i="1" s="1"/>
  <c r="P2774" i="1"/>
  <c r="N2774" i="1"/>
  <c r="O2774" i="1" s="1"/>
  <c r="Q2774" i="1" s="1"/>
  <c r="P2773" i="1"/>
  <c r="O2773" i="1"/>
  <c r="N2773" i="1"/>
  <c r="P2772" i="1"/>
  <c r="O2772" i="1"/>
  <c r="N2772" i="1"/>
  <c r="Q2771" i="1"/>
  <c r="R2771" i="1" s="1"/>
  <c r="P2771" i="1"/>
  <c r="O2771" i="1"/>
  <c r="N2771" i="1"/>
  <c r="P2770" i="1"/>
  <c r="N2770" i="1"/>
  <c r="O2770" i="1" s="1"/>
  <c r="P2769" i="1"/>
  <c r="N2769" i="1"/>
  <c r="O2769" i="1" s="1"/>
  <c r="P2768" i="1"/>
  <c r="Q2768" i="1" s="1"/>
  <c r="R2768" i="1" s="1"/>
  <c r="O2768" i="1"/>
  <c r="N2768" i="1"/>
  <c r="P2767" i="1"/>
  <c r="O2767" i="1"/>
  <c r="N2767" i="1"/>
  <c r="P2766" i="1"/>
  <c r="N2766" i="1"/>
  <c r="O2766" i="1" s="1"/>
  <c r="Q2765" i="1"/>
  <c r="P2765" i="1"/>
  <c r="O2765" i="1"/>
  <c r="R2765" i="1" s="1"/>
  <c r="N2765" i="1"/>
  <c r="P2764" i="1"/>
  <c r="N2764" i="1"/>
  <c r="O2764" i="1" s="1"/>
  <c r="Q2763" i="1"/>
  <c r="P2763" i="1"/>
  <c r="N2763" i="1"/>
  <c r="O2763" i="1" s="1"/>
  <c r="P2762" i="1"/>
  <c r="N2762" i="1"/>
  <c r="O2762" i="1" s="1"/>
  <c r="P2761" i="1"/>
  <c r="N2761" i="1"/>
  <c r="O2761" i="1" s="1"/>
  <c r="P2760" i="1"/>
  <c r="N2760" i="1"/>
  <c r="O2760" i="1" s="1"/>
  <c r="P2759" i="1"/>
  <c r="N2759" i="1"/>
  <c r="O2759" i="1" s="1"/>
  <c r="R2758" i="1"/>
  <c r="P2758" i="1"/>
  <c r="N2758" i="1"/>
  <c r="O2758" i="1" s="1"/>
  <c r="Q2758" i="1" s="1"/>
  <c r="P2757" i="1"/>
  <c r="O2757" i="1"/>
  <c r="N2757" i="1"/>
  <c r="P2756" i="1"/>
  <c r="N2756" i="1"/>
  <c r="O2756" i="1" s="1"/>
  <c r="Q2755" i="1"/>
  <c r="R2755" i="1" s="1"/>
  <c r="P2755" i="1"/>
  <c r="O2755" i="1"/>
  <c r="N2755" i="1"/>
  <c r="P2754" i="1"/>
  <c r="N2754" i="1"/>
  <c r="O2754" i="1" s="1"/>
  <c r="P2753" i="1"/>
  <c r="N2753" i="1"/>
  <c r="O2753" i="1" s="1"/>
  <c r="P2752" i="1"/>
  <c r="Q2752" i="1" s="1"/>
  <c r="R2752" i="1" s="1"/>
  <c r="O2752" i="1"/>
  <c r="N2752" i="1"/>
  <c r="P2751" i="1"/>
  <c r="O2751" i="1"/>
  <c r="N2751" i="1"/>
  <c r="P2750" i="1"/>
  <c r="N2750" i="1"/>
  <c r="O2750" i="1" s="1"/>
  <c r="R2749" i="1"/>
  <c r="Q2749" i="1"/>
  <c r="P2749" i="1"/>
  <c r="O2749" i="1"/>
  <c r="N2749" i="1"/>
  <c r="P2748" i="1"/>
  <c r="N2748" i="1"/>
  <c r="O2748" i="1" s="1"/>
  <c r="P2747" i="1"/>
  <c r="N2747" i="1"/>
  <c r="O2747" i="1" s="1"/>
  <c r="P2746" i="1"/>
  <c r="N2746" i="1"/>
  <c r="O2746" i="1" s="1"/>
  <c r="P2745" i="1"/>
  <c r="N2745" i="1"/>
  <c r="O2745" i="1" s="1"/>
  <c r="P2744" i="1"/>
  <c r="N2744" i="1"/>
  <c r="O2744" i="1" s="1"/>
  <c r="P2743" i="1"/>
  <c r="N2743" i="1"/>
  <c r="O2743" i="1" s="1"/>
  <c r="P2742" i="1"/>
  <c r="N2742" i="1"/>
  <c r="O2742" i="1" s="1"/>
  <c r="Q2742" i="1" s="1"/>
  <c r="P2741" i="1"/>
  <c r="O2741" i="1"/>
  <c r="N2741" i="1"/>
  <c r="P2740" i="1"/>
  <c r="O2740" i="1"/>
  <c r="N2740" i="1"/>
  <c r="Q2739" i="1"/>
  <c r="R2739" i="1" s="1"/>
  <c r="P2739" i="1"/>
  <c r="O2739" i="1"/>
  <c r="N2739" i="1"/>
  <c r="P2738" i="1"/>
  <c r="N2738" i="1"/>
  <c r="O2738" i="1" s="1"/>
  <c r="P2737" i="1"/>
  <c r="N2737" i="1"/>
  <c r="O2737" i="1" s="1"/>
  <c r="P2736" i="1"/>
  <c r="Q2736" i="1" s="1"/>
  <c r="R2736" i="1" s="1"/>
  <c r="O2736" i="1"/>
  <c r="N2736" i="1"/>
  <c r="P2735" i="1"/>
  <c r="O2735" i="1"/>
  <c r="N2735" i="1"/>
  <c r="P2734" i="1"/>
  <c r="N2734" i="1"/>
  <c r="O2734" i="1" s="1"/>
  <c r="Q2733" i="1"/>
  <c r="P2733" i="1"/>
  <c r="O2733" i="1"/>
  <c r="R2733" i="1" s="1"/>
  <c r="N2733" i="1"/>
  <c r="P2732" i="1"/>
  <c r="N2732" i="1"/>
  <c r="O2732" i="1" s="1"/>
  <c r="Q2731" i="1"/>
  <c r="P2731" i="1"/>
  <c r="N2731" i="1"/>
  <c r="O2731" i="1" s="1"/>
  <c r="P2730" i="1"/>
  <c r="N2730" i="1"/>
  <c r="O2730" i="1" s="1"/>
  <c r="P2729" i="1"/>
  <c r="N2729" i="1"/>
  <c r="O2729" i="1" s="1"/>
  <c r="P2728" i="1"/>
  <c r="N2728" i="1"/>
  <c r="O2728" i="1" s="1"/>
  <c r="P2727" i="1"/>
  <c r="N2727" i="1"/>
  <c r="O2727" i="1" s="1"/>
  <c r="R2726" i="1"/>
  <c r="P2726" i="1"/>
  <c r="N2726" i="1"/>
  <c r="O2726" i="1" s="1"/>
  <c r="Q2726" i="1" s="1"/>
  <c r="P2725" i="1"/>
  <c r="O2725" i="1"/>
  <c r="N2725" i="1"/>
  <c r="P2724" i="1"/>
  <c r="N2724" i="1"/>
  <c r="O2724" i="1" s="1"/>
  <c r="Q2723" i="1"/>
  <c r="R2723" i="1" s="1"/>
  <c r="P2723" i="1"/>
  <c r="O2723" i="1"/>
  <c r="N2723" i="1"/>
  <c r="P2722" i="1"/>
  <c r="N2722" i="1"/>
  <c r="O2722" i="1" s="1"/>
  <c r="P2721" i="1"/>
  <c r="N2721" i="1"/>
  <c r="O2721" i="1" s="1"/>
  <c r="P2720" i="1"/>
  <c r="Q2720" i="1" s="1"/>
  <c r="R2720" i="1" s="1"/>
  <c r="O2720" i="1"/>
  <c r="N2720" i="1"/>
  <c r="P2719" i="1"/>
  <c r="O2719" i="1"/>
  <c r="N2719" i="1"/>
  <c r="P2718" i="1"/>
  <c r="N2718" i="1"/>
  <c r="O2718" i="1" s="1"/>
  <c r="R2717" i="1"/>
  <c r="Q2717" i="1"/>
  <c r="P2717" i="1"/>
  <c r="O2717" i="1"/>
  <c r="N2717" i="1"/>
  <c r="P2716" i="1"/>
  <c r="N2716" i="1"/>
  <c r="O2716" i="1" s="1"/>
  <c r="P2715" i="1"/>
  <c r="N2715" i="1"/>
  <c r="O2715" i="1" s="1"/>
  <c r="P2714" i="1"/>
  <c r="N2714" i="1"/>
  <c r="O2714" i="1" s="1"/>
  <c r="P2713" i="1"/>
  <c r="N2713" i="1"/>
  <c r="O2713" i="1" s="1"/>
  <c r="R2712" i="1"/>
  <c r="P2712" i="1"/>
  <c r="N2712" i="1"/>
  <c r="O2712" i="1" s="1"/>
  <c r="Q2712" i="1" s="1"/>
  <c r="P2711" i="1"/>
  <c r="N2711" i="1"/>
  <c r="O2711" i="1" s="1"/>
  <c r="R2710" i="1"/>
  <c r="P2710" i="1"/>
  <c r="N2710" i="1"/>
  <c r="O2710" i="1" s="1"/>
  <c r="Q2710" i="1" s="1"/>
  <c r="P2709" i="1"/>
  <c r="O2709" i="1"/>
  <c r="N2709" i="1"/>
  <c r="P2708" i="1"/>
  <c r="N2708" i="1"/>
  <c r="O2708" i="1" s="1"/>
  <c r="R2707" i="1"/>
  <c r="Q2707" i="1"/>
  <c r="P2707" i="1"/>
  <c r="O2707" i="1"/>
  <c r="N2707" i="1"/>
  <c r="P2706" i="1"/>
  <c r="N2706" i="1"/>
  <c r="O2706" i="1" s="1"/>
  <c r="P2705" i="1"/>
  <c r="N2705" i="1"/>
  <c r="O2705" i="1" s="1"/>
  <c r="P2704" i="1"/>
  <c r="Q2704" i="1" s="1"/>
  <c r="R2704" i="1" s="1"/>
  <c r="O2704" i="1"/>
  <c r="N2704" i="1"/>
  <c r="P2703" i="1"/>
  <c r="O2703" i="1"/>
  <c r="N2703" i="1"/>
  <c r="P2702" i="1"/>
  <c r="N2702" i="1"/>
  <c r="O2702" i="1" s="1"/>
  <c r="P2701" i="1"/>
  <c r="O2701" i="1"/>
  <c r="N2701" i="1"/>
  <c r="P2700" i="1"/>
  <c r="N2700" i="1"/>
  <c r="O2700" i="1" s="1"/>
  <c r="Q2699" i="1"/>
  <c r="P2699" i="1"/>
  <c r="N2699" i="1"/>
  <c r="O2699" i="1" s="1"/>
  <c r="P2698" i="1"/>
  <c r="N2698" i="1"/>
  <c r="O2698" i="1" s="1"/>
  <c r="P2697" i="1"/>
  <c r="N2697" i="1"/>
  <c r="O2697" i="1" s="1"/>
  <c r="P2696" i="1"/>
  <c r="N2696" i="1"/>
  <c r="O2696" i="1" s="1"/>
  <c r="Q2696" i="1" s="1"/>
  <c r="P2695" i="1"/>
  <c r="Q2695" i="1" s="1"/>
  <c r="O2695" i="1"/>
  <c r="R2695" i="1" s="1"/>
  <c r="N2695" i="1"/>
  <c r="P2694" i="1"/>
  <c r="N2694" i="1"/>
  <c r="O2694" i="1" s="1"/>
  <c r="Q2694" i="1" s="1"/>
  <c r="P2693" i="1"/>
  <c r="O2693" i="1"/>
  <c r="N2693" i="1"/>
  <c r="P2692" i="1"/>
  <c r="N2692" i="1"/>
  <c r="O2692" i="1" s="1"/>
  <c r="R2691" i="1"/>
  <c r="Q2691" i="1"/>
  <c r="P2691" i="1"/>
  <c r="O2691" i="1"/>
  <c r="N2691" i="1"/>
  <c r="P2690" i="1"/>
  <c r="N2690" i="1"/>
  <c r="O2690" i="1" s="1"/>
  <c r="P2689" i="1"/>
  <c r="N2689" i="1"/>
  <c r="O2689" i="1" s="1"/>
  <c r="Q2688" i="1"/>
  <c r="R2688" i="1" s="1"/>
  <c r="P2688" i="1"/>
  <c r="O2688" i="1"/>
  <c r="N2688" i="1"/>
  <c r="P2687" i="1"/>
  <c r="O2687" i="1"/>
  <c r="N2687" i="1"/>
  <c r="P2686" i="1"/>
  <c r="N2686" i="1"/>
  <c r="O2686" i="1" s="1"/>
  <c r="Q2686" i="1" s="1"/>
  <c r="P2685" i="1"/>
  <c r="O2685" i="1"/>
  <c r="Q2685" i="1" s="1"/>
  <c r="R2685" i="1" s="1"/>
  <c r="N2685" i="1"/>
  <c r="P2684" i="1"/>
  <c r="N2684" i="1"/>
  <c r="O2684" i="1" s="1"/>
  <c r="P2683" i="1"/>
  <c r="N2683" i="1"/>
  <c r="O2683" i="1" s="1"/>
  <c r="P2682" i="1"/>
  <c r="O2682" i="1"/>
  <c r="N2682" i="1"/>
  <c r="P2681" i="1"/>
  <c r="N2681" i="1"/>
  <c r="O2681" i="1" s="1"/>
  <c r="P2680" i="1"/>
  <c r="N2680" i="1"/>
  <c r="O2680" i="1" s="1"/>
  <c r="Q2680" i="1" s="1"/>
  <c r="P2679" i="1"/>
  <c r="N2679" i="1"/>
  <c r="O2679" i="1" s="1"/>
  <c r="P2678" i="1"/>
  <c r="N2678" i="1"/>
  <c r="O2678" i="1" s="1"/>
  <c r="Q2677" i="1"/>
  <c r="P2677" i="1"/>
  <c r="O2677" i="1"/>
  <c r="N2677" i="1"/>
  <c r="P2676" i="1"/>
  <c r="N2676" i="1"/>
  <c r="O2676" i="1" s="1"/>
  <c r="Q2675" i="1"/>
  <c r="R2675" i="1" s="1"/>
  <c r="P2675" i="1"/>
  <c r="O2675" i="1"/>
  <c r="N2675" i="1"/>
  <c r="P2674" i="1"/>
  <c r="N2674" i="1"/>
  <c r="O2674" i="1" s="1"/>
  <c r="P2673" i="1"/>
  <c r="O2673" i="1"/>
  <c r="N2673" i="1"/>
  <c r="P2672" i="1"/>
  <c r="Q2672" i="1" s="1"/>
  <c r="R2672" i="1" s="1"/>
  <c r="O2672" i="1"/>
  <c r="N2672" i="1"/>
  <c r="P2671" i="1"/>
  <c r="O2671" i="1"/>
  <c r="N2671" i="1"/>
  <c r="P2670" i="1"/>
  <c r="N2670" i="1"/>
  <c r="O2670" i="1" s="1"/>
  <c r="Q2669" i="1"/>
  <c r="P2669" i="1"/>
  <c r="O2669" i="1"/>
  <c r="R2669" i="1" s="1"/>
  <c r="N2669" i="1"/>
  <c r="P2668" i="1"/>
  <c r="N2668" i="1"/>
  <c r="O2668" i="1" s="1"/>
  <c r="P2667" i="1"/>
  <c r="N2667" i="1"/>
  <c r="O2667" i="1" s="1"/>
  <c r="P2666" i="1"/>
  <c r="N2666" i="1"/>
  <c r="O2666" i="1" s="1"/>
  <c r="P2665" i="1"/>
  <c r="N2665" i="1"/>
  <c r="O2665" i="1" s="1"/>
  <c r="P2664" i="1"/>
  <c r="N2664" i="1"/>
  <c r="O2664" i="1" s="1"/>
  <c r="P2663" i="1"/>
  <c r="N2663" i="1"/>
  <c r="O2663" i="1" s="1"/>
  <c r="Q2662" i="1"/>
  <c r="P2662" i="1"/>
  <c r="N2662" i="1"/>
  <c r="O2662" i="1" s="1"/>
  <c r="R2662" i="1" s="1"/>
  <c r="P2661" i="1"/>
  <c r="O2661" i="1"/>
  <c r="N2661" i="1"/>
  <c r="Q2660" i="1"/>
  <c r="R2660" i="1" s="1"/>
  <c r="P2660" i="1"/>
  <c r="N2660" i="1"/>
  <c r="O2660" i="1" s="1"/>
  <c r="P2659" i="1"/>
  <c r="Q2659" i="1" s="1"/>
  <c r="R2659" i="1" s="1"/>
  <c r="O2659" i="1"/>
  <c r="N2659" i="1"/>
  <c r="P2658" i="1"/>
  <c r="N2658" i="1"/>
  <c r="O2658" i="1" s="1"/>
  <c r="P2657" i="1"/>
  <c r="O2657" i="1"/>
  <c r="N2657" i="1"/>
  <c r="Q2656" i="1"/>
  <c r="R2656" i="1" s="1"/>
  <c r="P2656" i="1"/>
  <c r="O2656" i="1"/>
  <c r="N2656" i="1"/>
  <c r="P2655" i="1"/>
  <c r="N2655" i="1"/>
  <c r="O2655" i="1" s="1"/>
  <c r="P2654" i="1"/>
  <c r="N2654" i="1"/>
  <c r="O2654" i="1" s="1"/>
  <c r="P2653" i="1"/>
  <c r="N2653" i="1"/>
  <c r="O2653" i="1" s="1"/>
  <c r="P2652" i="1"/>
  <c r="N2652" i="1"/>
  <c r="O2652" i="1" s="1"/>
  <c r="P2651" i="1"/>
  <c r="N2651" i="1"/>
  <c r="O2651" i="1" s="1"/>
  <c r="P2650" i="1"/>
  <c r="N2650" i="1"/>
  <c r="O2650" i="1" s="1"/>
  <c r="P2649" i="1"/>
  <c r="N2649" i="1"/>
  <c r="O2649" i="1" s="1"/>
  <c r="Q2648" i="1"/>
  <c r="R2648" i="1" s="1"/>
  <c r="P2648" i="1"/>
  <c r="N2648" i="1"/>
  <c r="O2648" i="1" s="1"/>
  <c r="P2647" i="1"/>
  <c r="N2647" i="1"/>
  <c r="O2647" i="1" s="1"/>
  <c r="P2646" i="1"/>
  <c r="N2646" i="1"/>
  <c r="O2646" i="1" s="1"/>
  <c r="Q2646" i="1" s="1"/>
  <c r="R2646" i="1" s="1"/>
  <c r="P2645" i="1"/>
  <c r="O2645" i="1"/>
  <c r="N2645" i="1"/>
  <c r="P2644" i="1"/>
  <c r="O2644" i="1"/>
  <c r="Q2644" i="1" s="1"/>
  <c r="R2644" i="1" s="1"/>
  <c r="N2644" i="1"/>
  <c r="P2643" i="1"/>
  <c r="Q2643" i="1" s="1"/>
  <c r="R2643" i="1" s="1"/>
  <c r="O2643" i="1"/>
  <c r="N2643" i="1"/>
  <c r="P2642" i="1"/>
  <c r="N2642" i="1"/>
  <c r="O2642" i="1" s="1"/>
  <c r="P2641" i="1"/>
  <c r="O2641" i="1"/>
  <c r="N2641" i="1"/>
  <c r="Q2640" i="1"/>
  <c r="P2640" i="1"/>
  <c r="O2640" i="1"/>
  <c r="R2640" i="1" s="1"/>
  <c r="N2640" i="1"/>
  <c r="P2639" i="1"/>
  <c r="O2639" i="1"/>
  <c r="N2639" i="1"/>
  <c r="P2638" i="1"/>
  <c r="O2638" i="1"/>
  <c r="N2638" i="1"/>
  <c r="P2637" i="1"/>
  <c r="N2637" i="1"/>
  <c r="O2637" i="1" s="1"/>
  <c r="P2636" i="1"/>
  <c r="N2636" i="1"/>
  <c r="O2636" i="1" s="1"/>
  <c r="P2635" i="1"/>
  <c r="N2635" i="1"/>
  <c r="O2635" i="1" s="1"/>
  <c r="P2634" i="1"/>
  <c r="N2634" i="1"/>
  <c r="O2634" i="1" s="1"/>
  <c r="R2633" i="1"/>
  <c r="P2633" i="1"/>
  <c r="N2633" i="1"/>
  <c r="O2633" i="1" s="1"/>
  <c r="Q2633" i="1" s="1"/>
  <c r="P2632" i="1"/>
  <c r="N2632" i="1"/>
  <c r="O2632" i="1" s="1"/>
  <c r="P2631" i="1"/>
  <c r="N2631" i="1"/>
  <c r="O2631" i="1" s="1"/>
  <c r="P2630" i="1"/>
  <c r="N2630" i="1"/>
  <c r="O2630" i="1" s="1"/>
  <c r="P2629" i="1"/>
  <c r="O2629" i="1"/>
  <c r="N2629" i="1"/>
  <c r="P2628" i="1"/>
  <c r="O2628" i="1"/>
  <c r="N2628" i="1"/>
  <c r="P2627" i="1"/>
  <c r="Q2627" i="1" s="1"/>
  <c r="R2627" i="1" s="1"/>
  <c r="O2627" i="1"/>
  <c r="N2627" i="1"/>
  <c r="P2626" i="1"/>
  <c r="O2626" i="1"/>
  <c r="N2626" i="1"/>
  <c r="P2625" i="1"/>
  <c r="N2625" i="1"/>
  <c r="O2625" i="1" s="1"/>
  <c r="Q2624" i="1"/>
  <c r="P2624" i="1"/>
  <c r="O2624" i="1"/>
  <c r="R2624" i="1" s="1"/>
  <c r="N2624" i="1"/>
  <c r="P2623" i="1"/>
  <c r="N2623" i="1"/>
  <c r="O2623" i="1" s="1"/>
  <c r="P2622" i="1"/>
  <c r="N2622" i="1"/>
  <c r="O2622" i="1" s="1"/>
  <c r="P2621" i="1"/>
  <c r="N2621" i="1"/>
  <c r="O2621" i="1" s="1"/>
  <c r="P2620" i="1"/>
  <c r="N2620" i="1"/>
  <c r="O2620" i="1" s="1"/>
  <c r="P2619" i="1"/>
  <c r="O2619" i="1"/>
  <c r="N2619" i="1"/>
  <c r="R2618" i="1"/>
  <c r="P2618" i="1"/>
  <c r="O2618" i="1"/>
  <c r="Q2618" i="1" s="1"/>
  <c r="N2618" i="1"/>
  <c r="P2617" i="1"/>
  <c r="N2617" i="1"/>
  <c r="O2617" i="1" s="1"/>
  <c r="Q2617" i="1" s="1"/>
  <c r="P2616" i="1"/>
  <c r="N2616" i="1"/>
  <c r="O2616" i="1" s="1"/>
  <c r="P2615" i="1"/>
  <c r="O2615" i="1"/>
  <c r="Q2615" i="1" s="1"/>
  <c r="R2615" i="1" s="1"/>
  <c r="N2615" i="1"/>
  <c r="Q2614" i="1"/>
  <c r="P2614" i="1"/>
  <c r="N2614" i="1"/>
  <c r="O2614" i="1" s="1"/>
  <c r="R2614" i="1" s="1"/>
  <c r="P2613" i="1"/>
  <c r="N2613" i="1"/>
  <c r="O2613" i="1" s="1"/>
  <c r="P2612" i="1"/>
  <c r="N2612" i="1"/>
  <c r="O2612" i="1" s="1"/>
  <c r="P2611" i="1"/>
  <c r="Q2611" i="1" s="1"/>
  <c r="R2611" i="1" s="1"/>
  <c r="O2611" i="1"/>
  <c r="N2611" i="1"/>
  <c r="P2610" i="1"/>
  <c r="N2610" i="1"/>
  <c r="O2610" i="1" s="1"/>
  <c r="P2609" i="1"/>
  <c r="N2609" i="1"/>
  <c r="O2609" i="1" s="1"/>
  <c r="Q2608" i="1"/>
  <c r="R2608" i="1" s="1"/>
  <c r="P2608" i="1"/>
  <c r="O2608" i="1"/>
  <c r="N2608" i="1"/>
  <c r="P2607" i="1"/>
  <c r="N2607" i="1"/>
  <c r="O2607" i="1" s="1"/>
  <c r="P2606" i="1"/>
  <c r="N2606" i="1"/>
  <c r="O2606" i="1" s="1"/>
  <c r="P2605" i="1"/>
  <c r="O2605" i="1"/>
  <c r="N2605" i="1"/>
  <c r="P2604" i="1"/>
  <c r="N2604" i="1"/>
  <c r="O2604" i="1" s="1"/>
  <c r="P2603" i="1"/>
  <c r="N2603" i="1"/>
  <c r="O2603" i="1" s="1"/>
  <c r="P2602" i="1"/>
  <c r="N2602" i="1"/>
  <c r="O2602" i="1" s="1"/>
  <c r="R2601" i="1"/>
  <c r="P2601" i="1"/>
  <c r="N2601" i="1"/>
  <c r="O2601" i="1" s="1"/>
  <c r="Q2601" i="1" s="1"/>
  <c r="P2600" i="1"/>
  <c r="O2600" i="1"/>
  <c r="Q2600" i="1" s="1"/>
  <c r="R2600" i="1" s="1"/>
  <c r="N2600" i="1"/>
  <c r="P2599" i="1"/>
  <c r="O2599" i="1"/>
  <c r="N2599" i="1"/>
  <c r="P2598" i="1"/>
  <c r="N2598" i="1"/>
  <c r="O2598" i="1" s="1"/>
  <c r="P2597" i="1"/>
  <c r="N2597" i="1"/>
  <c r="O2597" i="1" s="1"/>
  <c r="P2596" i="1"/>
  <c r="N2596" i="1"/>
  <c r="O2596" i="1" s="1"/>
  <c r="P2595" i="1"/>
  <c r="Q2595" i="1" s="1"/>
  <c r="R2595" i="1" s="1"/>
  <c r="O2595" i="1"/>
  <c r="N2595" i="1"/>
  <c r="P2594" i="1"/>
  <c r="N2594" i="1"/>
  <c r="O2594" i="1" s="1"/>
  <c r="P2593" i="1"/>
  <c r="N2593" i="1"/>
  <c r="O2593" i="1" s="1"/>
  <c r="P2592" i="1"/>
  <c r="O2592" i="1"/>
  <c r="N2592" i="1"/>
  <c r="P2591" i="1"/>
  <c r="N2591" i="1"/>
  <c r="O2591" i="1" s="1"/>
  <c r="P2590" i="1"/>
  <c r="N2590" i="1"/>
  <c r="O2590" i="1" s="1"/>
  <c r="P2589" i="1"/>
  <c r="N2589" i="1"/>
  <c r="O2589" i="1" s="1"/>
  <c r="P2588" i="1"/>
  <c r="N2588" i="1"/>
  <c r="O2588" i="1" s="1"/>
  <c r="P2587" i="1"/>
  <c r="N2587" i="1"/>
  <c r="O2587" i="1" s="1"/>
  <c r="P2586" i="1"/>
  <c r="O2586" i="1"/>
  <c r="Q2586" i="1" s="1"/>
  <c r="R2586" i="1" s="1"/>
  <c r="N2586" i="1"/>
  <c r="P2585" i="1"/>
  <c r="N2585" i="1"/>
  <c r="O2585" i="1" s="1"/>
  <c r="P2584" i="1"/>
  <c r="N2584" i="1"/>
  <c r="O2584" i="1" s="1"/>
  <c r="P2583" i="1"/>
  <c r="Q2583" i="1" s="1"/>
  <c r="R2583" i="1" s="1"/>
  <c r="N2583" i="1"/>
  <c r="O2583" i="1" s="1"/>
  <c r="P2582" i="1"/>
  <c r="N2582" i="1"/>
  <c r="O2582" i="1" s="1"/>
  <c r="Q2581" i="1"/>
  <c r="P2581" i="1"/>
  <c r="O2581" i="1"/>
  <c r="R2581" i="1" s="1"/>
  <c r="N2581" i="1"/>
  <c r="P2580" i="1"/>
  <c r="N2580" i="1"/>
  <c r="O2580" i="1" s="1"/>
  <c r="P2579" i="1"/>
  <c r="Q2579" i="1" s="1"/>
  <c r="R2579" i="1" s="1"/>
  <c r="O2579" i="1"/>
  <c r="N2579" i="1"/>
  <c r="P2578" i="1"/>
  <c r="N2578" i="1"/>
  <c r="O2578" i="1" s="1"/>
  <c r="P2577" i="1"/>
  <c r="N2577" i="1"/>
  <c r="O2577" i="1" s="1"/>
  <c r="P2576" i="1"/>
  <c r="O2576" i="1"/>
  <c r="Q2576" i="1" s="1"/>
  <c r="R2576" i="1" s="1"/>
  <c r="N2576" i="1"/>
  <c r="P2575" i="1"/>
  <c r="N2575" i="1"/>
  <c r="O2575" i="1" s="1"/>
  <c r="P2574" i="1"/>
  <c r="N2574" i="1"/>
  <c r="O2574" i="1" s="1"/>
  <c r="Q2573" i="1"/>
  <c r="R2573" i="1" s="1"/>
  <c r="P2573" i="1"/>
  <c r="N2573" i="1"/>
  <c r="O2573" i="1" s="1"/>
  <c r="P2572" i="1"/>
  <c r="N2572" i="1"/>
  <c r="O2572" i="1" s="1"/>
  <c r="Q2571" i="1"/>
  <c r="P2571" i="1"/>
  <c r="O2571" i="1"/>
  <c r="R2571" i="1" s="1"/>
  <c r="N2571" i="1"/>
  <c r="P2570" i="1"/>
  <c r="N2570" i="1"/>
  <c r="O2570" i="1" s="1"/>
  <c r="P2569" i="1"/>
  <c r="N2569" i="1"/>
  <c r="O2569" i="1" s="1"/>
  <c r="P2568" i="1"/>
  <c r="N2568" i="1"/>
  <c r="O2568" i="1" s="1"/>
  <c r="P2567" i="1"/>
  <c r="N2567" i="1"/>
  <c r="O2567" i="1" s="1"/>
  <c r="P2566" i="1"/>
  <c r="N2566" i="1"/>
  <c r="O2566" i="1" s="1"/>
  <c r="Q2566" i="1" s="1"/>
  <c r="R2566" i="1" s="1"/>
  <c r="P2565" i="1"/>
  <c r="N2565" i="1"/>
  <c r="O2565" i="1" s="1"/>
  <c r="P2564" i="1"/>
  <c r="N2564" i="1"/>
  <c r="O2564" i="1" s="1"/>
  <c r="P2563" i="1"/>
  <c r="Q2563" i="1" s="1"/>
  <c r="R2563" i="1" s="1"/>
  <c r="O2563" i="1"/>
  <c r="N2563" i="1"/>
  <c r="P2562" i="1"/>
  <c r="O2562" i="1"/>
  <c r="N2562" i="1"/>
  <c r="P2561" i="1"/>
  <c r="N2561" i="1"/>
  <c r="O2561" i="1" s="1"/>
  <c r="Q2561" i="1" s="1"/>
  <c r="P2560" i="1"/>
  <c r="O2560" i="1"/>
  <c r="N2560" i="1"/>
  <c r="P2559" i="1"/>
  <c r="N2559" i="1"/>
  <c r="O2559" i="1" s="1"/>
  <c r="P2558" i="1"/>
  <c r="N2558" i="1"/>
  <c r="O2558" i="1" s="1"/>
  <c r="P2557" i="1"/>
  <c r="N2557" i="1"/>
  <c r="O2557" i="1" s="1"/>
  <c r="P2556" i="1"/>
  <c r="N2556" i="1"/>
  <c r="O2556" i="1" s="1"/>
  <c r="Q2556" i="1" s="1"/>
  <c r="P2555" i="1"/>
  <c r="N2555" i="1"/>
  <c r="O2555" i="1" s="1"/>
  <c r="P2554" i="1"/>
  <c r="N2554" i="1"/>
  <c r="O2554" i="1" s="1"/>
  <c r="Q2553" i="1"/>
  <c r="R2553" i="1" s="1"/>
  <c r="P2553" i="1"/>
  <c r="N2553" i="1"/>
  <c r="O2553" i="1" s="1"/>
  <c r="P2552" i="1"/>
  <c r="O2552" i="1"/>
  <c r="N2552" i="1"/>
  <c r="P2551" i="1"/>
  <c r="N2551" i="1"/>
  <c r="O2551" i="1" s="1"/>
  <c r="Q2551" i="1" s="1"/>
  <c r="P2550" i="1"/>
  <c r="N2550" i="1"/>
  <c r="O2550" i="1" s="1"/>
  <c r="Q2550" i="1" s="1"/>
  <c r="R2550" i="1" s="1"/>
  <c r="P2549" i="1"/>
  <c r="N2549" i="1"/>
  <c r="O2549" i="1" s="1"/>
  <c r="P2548" i="1"/>
  <c r="N2548" i="1"/>
  <c r="O2548" i="1" s="1"/>
  <c r="P2547" i="1"/>
  <c r="N2547" i="1"/>
  <c r="O2547" i="1" s="1"/>
  <c r="P2546" i="1"/>
  <c r="O2546" i="1"/>
  <c r="Q2546" i="1" s="1"/>
  <c r="R2546" i="1" s="1"/>
  <c r="N2546" i="1"/>
  <c r="P2545" i="1"/>
  <c r="O2545" i="1"/>
  <c r="N2545" i="1"/>
  <c r="P2544" i="1"/>
  <c r="N2544" i="1"/>
  <c r="O2544" i="1" s="1"/>
  <c r="Q2543" i="1"/>
  <c r="R2543" i="1" s="1"/>
  <c r="P2543" i="1"/>
  <c r="N2543" i="1"/>
  <c r="O2543" i="1" s="1"/>
  <c r="P2542" i="1"/>
  <c r="N2542" i="1"/>
  <c r="O2542" i="1" s="1"/>
  <c r="P2541" i="1"/>
  <c r="N2541" i="1"/>
  <c r="O2541" i="1" s="1"/>
  <c r="Q2540" i="1"/>
  <c r="P2540" i="1"/>
  <c r="N2540" i="1"/>
  <c r="O2540" i="1" s="1"/>
  <c r="R2540" i="1" s="1"/>
  <c r="P2539" i="1"/>
  <c r="O2539" i="1"/>
  <c r="N2539" i="1"/>
  <c r="P2538" i="1"/>
  <c r="N2538" i="1"/>
  <c r="O2538" i="1" s="1"/>
  <c r="P2537" i="1"/>
  <c r="O2537" i="1"/>
  <c r="N2537" i="1"/>
  <c r="P2536" i="1"/>
  <c r="N2536" i="1"/>
  <c r="O2536" i="1" s="1"/>
  <c r="Q2535" i="1"/>
  <c r="P2535" i="1"/>
  <c r="O2535" i="1"/>
  <c r="N2535" i="1"/>
  <c r="P2534" i="1"/>
  <c r="N2534" i="1"/>
  <c r="O2534" i="1" s="1"/>
  <c r="P2533" i="1"/>
  <c r="N2533" i="1"/>
  <c r="O2533" i="1" s="1"/>
  <c r="P2532" i="1"/>
  <c r="N2532" i="1"/>
  <c r="O2532" i="1" s="1"/>
  <c r="P2531" i="1"/>
  <c r="N2531" i="1"/>
  <c r="O2531" i="1" s="1"/>
  <c r="P2530" i="1"/>
  <c r="O2530" i="1"/>
  <c r="Q2530" i="1" s="1"/>
  <c r="R2530" i="1" s="1"/>
  <c r="N2530" i="1"/>
  <c r="P2529" i="1"/>
  <c r="O2529" i="1"/>
  <c r="N2529" i="1"/>
  <c r="P2528" i="1"/>
  <c r="N2528" i="1"/>
  <c r="O2528" i="1" s="1"/>
  <c r="P2527" i="1"/>
  <c r="N2527" i="1"/>
  <c r="O2527" i="1" s="1"/>
  <c r="P2526" i="1"/>
  <c r="N2526" i="1"/>
  <c r="O2526" i="1" s="1"/>
  <c r="P2525" i="1"/>
  <c r="O2525" i="1"/>
  <c r="N2525" i="1"/>
  <c r="P2524" i="1"/>
  <c r="Q2524" i="1" s="1"/>
  <c r="N2524" i="1"/>
  <c r="O2524" i="1" s="1"/>
  <c r="R2524" i="1" s="1"/>
  <c r="P2523" i="1"/>
  <c r="O2523" i="1"/>
  <c r="N2523" i="1"/>
  <c r="P2522" i="1"/>
  <c r="N2522" i="1"/>
  <c r="O2522" i="1" s="1"/>
  <c r="Q2522" i="1" s="1"/>
  <c r="P2521" i="1"/>
  <c r="O2521" i="1"/>
  <c r="N2521" i="1"/>
  <c r="P2520" i="1"/>
  <c r="N2520" i="1"/>
  <c r="O2520" i="1" s="1"/>
  <c r="P2519" i="1"/>
  <c r="O2519" i="1"/>
  <c r="N2519" i="1"/>
  <c r="P2518" i="1"/>
  <c r="N2518" i="1"/>
  <c r="O2518" i="1" s="1"/>
  <c r="P2517" i="1"/>
  <c r="N2517" i="1"/>
  <c r="O2517" i="1" s="1"/>
  <c r="P2516" i="1"/>
  <c r="N2516" i="1"/>
  <c r="O2516" i="1" s="1"/>
  <c r="P2515" i="1"/>
  <c r="N2515" i="1"/>
  <c r="O2515" i="1" s="1"/>
  <c r="P2514" i="1"/>
  <c r="O2514" i="1"/>
  <c r="Q2514" i="1" s="1"/>
  <c r="R2514" i="1" s="1"/>
  <c r="N2514" i="1"/>
  <c r="P2513" i="1"/>
  <c r="O2513" i="1"/>
  <c r="N2513" i="1"/>
  <c r="P2512" i="1"/>
  <c r="N2512" i="1"/>
  <c r="O2512" i="1" s="1"/>
  <c r="P2511" i="1"/>
  <c r="N2511" i="1"/>
  <c r="O2511" i="1" s="1"/>
  <c r="P2510" i="1"/>
  <c r="N2510" i="1"/>
  <c r="O2510" i="1" s="1"/>
  <c r="P2509" i="1"/>
  <c r="N2509" i="1"/>
  <c r="O2509" i="1" s="1"/>
  <c r="P2508" i="1"/>
  <c r="N2508" i="1"/>
  <c r="O2508" i="1" s="1"/>
  <c r="P2507" i="1"/>
  <c r="O2507" i="1"/>
  <c r="N2507" i="1"/>
  <c r="P2506" i="1"/>
  <c r="N2506" i="1"/>
  <c r="O2506" i="1" s="1"/>
  <c r="Q2506" i="1" s="1"/>
  <c r="P2505" i="1"/>
  <c r="O2505" i="1"/>
  <c r="N2505" i="1"/>
  <c r="P2504" i="1"/>
  <c r="N2504" i="1"/>
  <c r="O2504" i="1" s="1"/>
  <c r="P2503" i="1"/>
  <c r="O2503" i="1"/>
  <c r="N2503" i="1"/>
  <c r="P2502" i="1"/>
  <c r="N2502" i="1"/>
  <c r="O2502" i="1" s="1"/>
  <c r="P2501" i="1"/>
  <c r="N2501" i="1"/>
  <c r="O2501" i="1" s="1"/>
  <c r="P2500" i="1"/>
  <c r="N2500" i="1"/>
  <c r="O2500" i="1" s="1"/>
  <c r="P2499" i="1"/>
  <c r="N2499" i="1"/>
  <c r="O2499" i="1" s="1"/>
  <c r="P2498" i="1"/>
  <c r="O2498" i="1"/>
  <c r="Q2498" i="1" s="1"/>
  <c r="R2498" i="1" s="1"/>
  <c r="N2498" i="1"/>
  <c r="P2497" i="1"/>
  <c r="O2497" i="1"/>
  <c r="N2497" i="1"/>
  <c r="P2496" i="1"/>
  <c r="O2496" i="1"/>
  <c r="N2496" i="1"/>
  <c r="P2495" i="1"/>
  <c r="N2495" i="1"/>
  <c r="O2495" i="1" s="1"/>
  <c r="P2494" i="1"/>
  <c r="N2494" i="1"/>
  <c r="O2494" i="1" s="1"/>
  <c r="P2493" i="1"/>
  <c r="N2493" i="1"/>
  <c r="O2493" i="1" s="1"/>
  <c r="P2492" i="1"/>
  <c r="N2492" i="1"/>
  <c r="O2492" i="1" s="1"/>
  <c r="P2491" i="1"/>
  <c r="O2491" i="1"/>
  <c r="N2491" i="1"/>
  <c r="P2490" i="1"/>
  <c r="N2490" i="1"/>
  <c r="O2490" i="1" s="1"/>
  <c r="Q2489" i="1"/>
  <c r="P2489" i="1"/>
  <c r="O2489" i="1"/>
  <c r="R2489" i="1" s="1"/>
  <c r="N2489" i="1"/>
  <c r="P2488" i="1"/>
  <c r="N2488" i="1"/>
  <c r="O2488" i="1" s="1"/>
  <c r="P2487" i="1"/>
  <c r="O2487" i="1"/>
  <c r="N2487" i="1"/>
  <c r="P2486" i="1"/>
  <c r="N2486" i="1"/>
  <c r="O2486" i="1" s="1"/>
  <c r="P2485" i="1"/>
  <c r="N2485" i="1"/>
  <c r="O2485" i="1" s="1"/>
  <c r="P2484" i="1"/>
  <c r="N2484" i="1"/>
  <c r="O2484" i="1" s="1"/>
  <c r="P2483" i="1"/>
  <c r="O2483" i="1"/>
  <c r="N2483" i="1"/>
  <c r="R2482" i="1"/>
  <c r="P2482" i="1"/>
  <c r="O2482" i="1"/>
  <c r="Q2482" i="1" s="1"/>
  <c r="N2482" i="1"/>
  <c r="P2481" i="1"/>
  <c r="O2481" i="1"/>
  <c r="N2481" i="1"/>
  <c r="P2480" i="1"/>
  <c r="N2480" i="1"/>
  <c r="O2480" i="1" s="1"/>
  <c r="P2479" i="1"/>
  <c r="N2479" i="1"/>
  <c r="O2479" i="1" s="1"/>
  <c r="P2478" i="1"/>
  <c r="N2478" i="1"/>
  <c r="O2478" i="1" s="1"/>
  <c r="P2477" i="1"/>
  <c r="N2477" i="1"/>
  <c r="O2477" i="1" s="1"/>
  <c r="Q2476" i="1"/>
  <c r="P2476" i="1"/>
  <c r="N2476" i="1"/>
  <c r="O2476" i="1" s="1"/>
  <c r="R2476" i="1" s="1"/>
  <c r="P2475" i="1"/>
  <c r="O2475" i="1"/>
  <c r="N2475" i="1"/>
  <c r="P2474" i="1"/>
  <c r="O2474" i="1"/>
  <c r="N2474" i="1"/>
  <c r="P2473" i="1"/>
  <c r="O2473" i="1"/>
  <c r="N2473" i="1"/>
  <c r="P2472" i="1"/>
  <c r="N2472" i="1"/>
  <c r="O2472" i="1" s="1"/>
  <c r="P2471" i="1"/>
  <c r="N2471" i="1"/>
  <c r="O2471" i="1" s="1"/>
  <c r="P2470" i="1"/>
  <c r="O2470" i="1"/>
  <c r="N2470" i="1"/>
  <c r="P2469" i="1"/>
  <c r="N2469" i="1"/>
  <c r="O2469" i="1" s="1"/>
  <c r="P2468" i="1"/>
  <c r="N2468" i="1"/>
  <c r="O2468" i="1" s="1"/>
  <c r="Q2468" i="1" s="1"/>
  <c r="Q2467" i="1"/>
  <c r="P2467" i="1"/>
  <c r="O2467" i="1"/>
  <c r="R2467" i="1" s="1"/>
  <c r="N2467" i="1"/>
  <c r="P2466" i="1"/>
  <c r="O2466" i="1"/>
  <c r="Q2466" i="1" s="1"/>
  <c r="R2466" i="1" s="1"/>
  <c r="N2466" i="1"/>
  <c r="Q2465" i="1"/>
  <c r="P2465" i="1"/>
  <c r="O2465" i="1"/>
  <c r="N2465" i="1"/>
  <c r="P2464" i="1"/>
  <c r="N2464" i="1"/>
  <c r="O2464" i="1" s="1"/>
  <c r="P2463" i="1"/>
  <c r="N2463" i="1"/>
  <c r="O2463" i="1" s="1"/>
  <c r="P2462" i="1"/>
  <c r="N2462" i="1"/>
  <c r="O2462" i="1" s="1"/>
  <c r="Q2461" i="1"/>
  <c r="P2461" i="1"/>
  <c r="N2461" i="1"/>
  <c r="O2461" i="1" s="1"/>
  <c r="P2460" i="1"/>
  <c r="N2460" i="1"/>
  <c r="O2460" i="1" s="1"/>
  <c r="R2459" i="1"/>
  <c r="P2459" i="1"/>
  <c r="O2459" i="1"/>
  <c r="Q2459" i="1" s="1"/>
  <c r="N2459" i="1"/>
  <c r="P2458" i="1"/>
  <c r="N2458" i="1"/>
  <c r="O2458" i="1" s="1"/>
  <c r="P2457" i="1"/>
  <c r="O2457" i="1"/>
  <c r="N2457" i="1"/>
  <c r="P2456" i="1"/>
  <c r="N2456" i="1"/>
  <c r="O2456" i="1" s="1"/>
  <c r="P2455" i="1"/>
  <c r="N2455" i="1"/>
  <c r="O2455" i="1" s="1"/>
  <c r="P2454" i="1"/>
  <c r="O2454" i="1"/>
  <c r="N2454" i="1"/>
  <c r="P2453" i="1"/>
  <c r="N2453" i="1"/>
  <c r="O2453" i="1" s="1"/>
  <c r="P2452" i="1"/>
  <c r="O2452" i="1"/>
  <c r="Q2452" i="1" s="1"/>
  <c r="N2452" i="1"/>
  <c r="P2451" i="1"/>
  <c r="N2451" i="1"/>
  <c r="O2451" i="1" s="1"/>
  <c r="P2450" i="1"/>
  <c r="O2450" i="1"/>
  <c r="Q2450" i="1" s="1"/>
  <c r="N2450" i="1"/>
  <c r="P2449" i="1"/>
  <c r="N2449" i="1"/>
  <c r="O2449" i="1" s="1"/>
  <c r="P2448" i="1"/>
  <c r="O2448" i="1"/>
  <c r="N2448" i="1"/>
  <c r="P2447" i="1"/>
  <c r="N2447" i="1"/>
  <c r="O2447" i="1" s="1"/>
  <c r="P2446" i="1"/>
  <c r="N2446" i="1"/>
  <c r="O2446" i="1" s="1"/>
  <c r="P2445" i="1"/>
  <c r="N2445" i="1"/>
  <c r="O2445" i="1" s="1"/>
  <c r="P2444" i="1"/>
  <c r="N2444" i="1"/>
  <c r="O2444" i="1" s="1"/>
  <c r="P2443" i="1"/>
  <c r="O2443" i="1"/>
  <c r="Q2443" i="1" s="1"/>
  <c r="N2443" i="1"/>
  <c r="P2442" i="1"/>
  <c r="N2442" i="1"/>
  <c r="O2442" i="1" s="1"/>
  <c r="P2441" i="1"/>
  <c r="O2441" i="1"/>
  <c r="N2441" i="1"/>
  <c r="Q2440" i="1"/>
  <c r="P2440" i="1"/>
  <c r="O2440" i="1"/>
  <c r="N2440" i="1"/>
  <c r="P2439" i="1"/>
  <c r="O2439" i="1"/>
  <c r="N2439" i="1"/>
  <c r="P2438" i="1"/>
  <c r="N2438" i="1"/>
  <c r="O2438" i="1" s="1"/>
  <c r="Q2438" i="1" s="1"/>
  <c r="P2437" i="1"/>
  <c r="N2437" i="1"/>
  <c r="O2437" i="1" s="1"/>
  <c r="P2436" i="1"/>
  <c r="N2436" i="1"/>
  <c r="O2436" i="1" s="1"/>
  <c r="P2435" i="1"/>
  <c r="O2435" i="1"/>
  <c r="N2435" i="1"/>
  <c r="R2434" i="1"/>
  <c r="P2434" i="1"/>
  <c r="O2434" i="1"/>
  <c r="Q2434" i="1" s="1"/>
  <c r="N2434" i="1"/>
  <c r="P2433" i="1"/>
  <c r="N2433" i="1"/>
  <c r="O2433" i="1" s="1"/>
  <c r="P2432" i="1"/>
  <c r="N2432" i="1"/>
  <c r="O2432" i="1" s="1"/>
  <c r="R2431" i="1"/>
  <c r="Q2431" i="1"/>
  <c r="P2431" i="1"/>
  <c r="N2431" i="1"/>
  <c r="O2431" i="1" s="1"/>
  <c r="P2430" i="1"/>
  <c r="N2430" i="1"/>
  <c r="O2430" i="1" s="1"/>
  <c r="P2429" i="1"/>
  <c r="N2429" i="1"/>
  <c r="O2429" i="1" s="1"/>
  <c r="P2428" i="1"/>
  <c r="N2428" i="1"/>
  <c r="O2428" i="1" s="1"/>
  <c r="P2427" i="1"/>
  <c r="N2427" i="1"/>
  <c r="O2427" i="1" s="1"/>
  <c r="P2426" i="1"/>
  <c r="O2426" i="1"/>
  <c r="N2426" i="1"/>
  <c r="P2425" i="1"/>
  <c r="O2425" i="1"/>
  <c r="Q2425" i="1" s="1"/>
  <c r="R2425" i="1" s="1"/>
  <c r="N2425" i="1"/>
  <c r="P2424" i="1"/>
  <c r="N2424" i="1"/>
  <c r="O2424" i="1" s="1"/>
  <c r="P2423" i="1"/>
  <c r="N2423" i="1"/>
  <c r="O2423" i="1" s="1"/>
  <c r="P2422" i="1"/>
  <c r="N2422" i="1"/>
  <c r="O2422" i="1" s="1"/>
  <c r="P2421" i="1"/>
  <c r="N2421" i="1"/>
  <c r="O2421" i="1" s="1"/>
  <c r="P2420" i="1"/>
  <c r="O2420" i="1"/>
  <c r="N2420" i="1"/>
  <c r="P2419" i="1"/>
  <c r="N2419" i="1"/>
  <c r="O2419" i="1" s="1"/>
  <c r="P2418" i="1"/>
  <c r="O2418" i="1"/>
  <c r="Q2418" i="1" s="1"/>
  <c r="N2418" i="1"/>
  <c r="P2417" i="1"/>
  <c r="O2417" i="1"/>
  <c r="N2417" i="1"/>
  <c r="P2416" i="1"/>
  <c r="N2416" i="1"/>
  <c r="O2416" i="1" s="1"/>
  <c r="Q2416" i="1" s="1"/>
  <c r="P2415" i="1"/>
  <c r="N2415" i="1"/>
  <c r="O2415" i="1" s="1"/>
  <c r="P2414" i="1"/>
  <c r="N2414" i="1"/>
  <c r="O2414" i="1" s="1"/>
  <c r="P2413" i="1"/>
  <c r="O2413" i="1"/>
  <c r="N2413" i="1"/>
  <c r="P2412" i="1"/>
  <c r="N2412" i="1"/>
  <c r="O2412" i="1" s="1"/>
  <c r="P2411" i="1"/>
  <c r="O2411" i="1"/>
  <c r="N2411" i="1"/>
  <c r="P2410" i="1"/>
  <c r="N2410" i="1"/>
  <c r="O2410" i="1" s="1"/>
  <c r="Q2409" i="1"/>
  <c r="R2409" i="1" s="1"/>
  <c r="P2409" i="1"/>
  <c r="O2409" i="1"/>
  <c r="N2409" i="1"/>
  <c r="P2408" i="1"/>
  <c r="O2408" i="1"/>
  <c r="N2408" i="1"/>
  <c r="P2407" i="1"/>
  <c r="N2407" i="1"/>
  <c r="O2407" i="1" s="1"/>
  <c r="P2406" i="1"/>
  <c r="O2406" i="1"/>
  <c r="N2406" i="1"/>
  <c r="P2405" i="1"/>
  <c r="N2405" i="1"/>
  <c r="O2405" i="1" s="1"/>
  <c r="P2404" i="1"/>
  <c r="N2404" i="1"/>
  <c r="O2404" i="1" s="1"/>
  <c r="P2403" i="1"/>
  <c r="N2403" i="1"/>
  <c r="O2403" i="1" s="1"/>
  <c r="P2402" i="1"/>
  <c r="O2402" i="1"/>
  <c r="Q2402" i="1" s="1"/>
  <c r="N2402" i="1"/>
  <c r="P2401" i="1"/>
  <c r="N2401" i="1"/>
  <c r="O2401" i="1" s="1"/>
  <c r="Q2400" i="1"/>
  <c r="P2400" i="1"/>
  <c r="O2400" i="1"/>
  <c r="R2400" i="1" s="1"/>
  <c r="N2400" i="1"/>
  <c r="P2399" i="1"/>
  <c r="N2399" i="1"/>
  <c r="O2399" i="1" s="1"/>
  <c r="P2398" i="1"/>
  <c r="N2398" i="1"/>
  <c r="O2398" i="1" s="1"/>
  <c r="P2397" i="1"/>
  <c r="N2397" i="1"/>
  <c r="O2397" i="1" s="1"/>
  <c r="P2396" i="1"/>
  <c r="N2396" i="1"/>
  <c r="O2396" i="1" s="1"/>
  <c r="P2395" i="1"/>
  <c r="N2395" i="1"/>
  <c r="O2395" i="1" s="1"/>
  <c r="Q2395" i="1" s="1"/>
  <c r="P2394" i="1"/>
  <c r="N2394" i="1"/>
  <c r="O2394" i="1" s="1"/>
  <c r="P2393" i="1"/>
  <c r="O2393" i="1"/>
  <c r="N2393" i="1"/>
  <c r="P2392" i="1"/>
  <c r="N2392" i="1"/>
  <c r="O2392" i="1" s="1"/>
  <c r="P2391" i="1"/>
  <c r="N2391" i="1"/>
  <c r="O2391" i="1" s="1"/>
  <c r="P2390" i="1"/>
  <c r="N2390" i="1"/>
  <c r="O2390" i="1" s="1"/>
  <c r="P2389" i="1"/>
  <c r="N2389" i="1"/>
  <c r="O2389" i="1" s="1"/>
  <c r="P2388" i="1"/>
  <c r="N2388" i="1"/>
  <c r="O2388" i="1" s="1"/>
  <c r="R2387" i="1"/>
  <c r="P2387" i="1"/>
  <c r="N2387" i="1"/>
  <c r="O2387" i="1" s="1"/>
  <c r="Q2387" i="1" s="1"/>
  <c r="R2386" i="1"/>
  <c r="P2386" i="1"/>
  <c r="O2386" i="1"/>
  <c r="Q2386" i="1" s="1"/>
  <c r="N2386" i="1"/>
  <c r="P2385" i="1"/>
  <c r="O2385" i="1"/>
  <c r="N2385" i="1"/>
  <c r="P2384" i="1"/>
  <c r="N2384" i="1"/>
  <c r="O2384" i="1" s="1"/>
  <c r="P2383" i="1"/>
  <c r="N2383" i="1"/>
  <c r="O2383" i="1" s="1"/>
  <c r="P2382" i="1"/>
  <c r="N2382" i="1"/>
  <c r="O2382" i="1" s="1"/>
  <c r="P2381" i="1"/>
  <c r="O2381" i="1"/>
  <c r="N2381" i="1"/>
  <c r="P2380" i="1"/>
  <c r="N2380" i="1"/>
  <c r="O2380" i="1" s="1"/>
  <c r="Q2380" i="1" s="1"/>
  <c r="R2380" i="1" s="1"/>
  <c r="P2379" i="1"/>
  <c r="O2379" i="1"/>
  <c r="Q2379" i="1" s="1"/>
  <c r="N2379" i="1"/>
  <c r="P2378" i="1"/>
  <c r="N2378" i="1"/>
  <c r="O2378" i="1" s="1"/>
  <c r="Q2378" i="1" s="1"/>
  <c r="Q2377" i="1"/>
  <c r="P2377" i="1"/>
  <c r="O2377" i="1"/>
  <c r="R2377" i="1" s="1"/>
  <c r="N2377" i="1"/>
  <c r="P2376" i="1"/>
  <c r="N2376" i="1"/>
  <c r="O2376" i="1" s="1"/>
  <c r="P2375" i="1"/>
  <c r="N2375" i="1"/>
  <c r="O2375" i="1" s="1"/>
  <c r="P2374" i="1"/>
  <c r="N2374" i="1"/>
  <c r="O2374" i="1" s="1"/>
  <c r="P2373" i="1"/>
  <c r="N2373" i="1"/>
  <c r="O2373" i="1" s="1"/>
  <c r="P2372" i="1"/>
  <c r="N2372" i="1"/>
  <c r="O2372" i="1" s="1"/>
  <c r="Q2371" i="1"/>
  <c r="P2371" i="1"/>
  <c r="O2371" i="1"/>
  <c r="N2371" i="1"/>
  <c r="P2370" i="1"/>
  <c r="O2370" i="1"/>
  <c r="Q2370" i="1" s="1"/>
  <c r="N2370" i="1"/>
  <c r="R2369" i="1"/>
  <c r="P2369" i="1"/>
  <c r="N2369" i="1"/>
  <c r="O2369" i="1" s="1"/>
  <c r="Q2369" i="1" s="1"/>
  <c r="P2368" i="1"/>
  <c r="O2368" i="1"/>
  <c r="N2368" i="1"/>
  <c r="P2367" i="1"/>
  <c r="N2367" i="1"/>
  <c r="O2367" i="1" s="1"/>
  <c r="Q2366" i="1"/>
  <c r="P2366" i="1"/>
  <c r="O2366" i="1"/>
  <c r="N2366" i="1"/>
  <c r="P2365" i="1"/>
  <c r="N2365" i="1"/>
  <c r="O2365" i="1" s="1"/>
  <c r="Q2364" i="1"/>
  <c r="P2364" i="1"/>
  <c r="N2364" i="1"/>
  <c r="O2364" i="1" s="1"/>
  <c r="R2364" i="1" s="1"/>
  <c r="P2363" i="1"/>
  <c r="N2363" i="1"/>
  <c r="O2363" i="1" s="1"/>
  <c r="P2362" i="1"/>
  <c r="N2362" i="1"/>
  <c r="O2362" i="1" s="1"/>
  <c r="P2361" i="1"/>
  <c r="Q2361" i="1" s="1"/>
  <c r="O2361" i="1"/>
  <c r="N2361" i="1"/>
  <c r="P2360" i="1"/>
  <c r="N2360" i="1"/>
  <c r="O2360" i="1" s="1"/>
  <c r="P2359" i="1"/>
  <c r="O2359" i="1"/>
  <c r="N2359" i="1"/>
  <c r="P2358" i="1"/>
  <c r="N2358" i="1"/>
  <c r="O2358" i="1" s="1"/>
  <c r="P2357" i="1"/>
  <c r="N2357" i="1"/>
  <c r="O2357" i="1" s="1"/>
  <c r="P2356" i="1"/>
  <c r="N2356" i="1"/>
  <c r="O2356" i="1" s="1"/>
  <c r="P2355" i="1"/>
  <c r="N2355" i="1"/>
  <c r="O2355" i="1" s="1"/>
  <c r="P2354" i="1"/>
  <c r="O2354" i="1"/>
  <c r="Q2354" i="1" s="1"/>
  <c r="N2354" i="1"/>
  <c r="Q2353" i="1"/>
  <c r="P2353" i="1"/>
  <c r="O2353" i="1"/>
  <c r="N2353" i="1"/>
  <c r="P2352" i="1"/>
  <c r="N2352" i="1"/>
  <c r="O2352" i="1" s="1"/>
  <c r="P2351" i="1"/>
  <c r="N2351" i="1"/>
  <c r="O2351" i="1" s="1"/>
  <c r="P2350" i="1"/>
  <c r="N2350" i="1"/>
  <c r="O2350" i="1" s="1"/>
  <c r="P2349" i="1"/>
  <c r="O2349" i="1"/>
  <c r="N2349" i="1"/>
  <c r="R2348" i="1"/>
  <c r="P2348" i="1"/>
  <c r="Q2348" i="1" s="1"/>
  <c r="N2348" i="1"/>
  <c r="O2348" i="1" s="1"/>
  <c r="P2347" i="1"/>
  <c r="N2347" i="1"/>
  <c r="O2347" i="1" s="1"/>
  <c r="P2346" i="1"/>
  <c r="N2346" i="1"/>
  <c r="O2346" i="1" s="1"/>
  <c r="Q2345" i="1"/>
  <c r="P2345" i="1"/>
  <c r="O2345" i="1"/>
  <c r="N2345" i="1"/>
  <c r="P2344" i="1"/>
  <c r="N2344" i="1"/>
  <c r="O2344" i="1" s="1"/>
  <c r="P2343" i="1"/>
  <c r="N2343" i="1"/>
  <c r="O2343" i="1" s="1"/>
  <c r="P2342" i="1"/>
  <c r="N2342" i="1"/>
  <c r="O2342" i="1" s="1"/>
  <c r="P2341" i="1"/>
  <c r="N2341" i="1"/>
  <c r="O2341" i="1" s="1"/>
  <c r="P2340" i="1"/>
  <c r="N2340" i="1"/>
  <c r="O2340" i="1" s="1"/>
  <c r="P2339" i="1"/>
  <c r="N2339" i="1"/>
  <c r="O2339" i="1" s="1"/>
  <c r="P2338" i="1"/>
  <c r="O2338" i="1"/>
  <c r="N2338" i="1"/>
  <c r="R2337" i="1"/>
  <c r="Q2337" i="1"/>
  <c r="P2337" i="1"/>
  <c r="N2337" i="1"/>
  <c r="O2337" i="1" s="1"/>
  <c r="P2336" i="1"/>
  <c r="N2336" i="1"/>
  <c r="O2336" i="1" s="1"/>
  <c r="P2335" i="1"/>
  <c r="N2335" i="1"/>
  <c r="O2335" i="1" s="1"/>
  <c r="P2334" i="1"/>
  <c r="O2334" i="1"/>
  <c r="N2334" i="1"/>
  <c r="P2333" i="1"/>
  <c r="N2333" i="1"/>
  <c r="O2333" i="1" s="1"/>
  <c r="Q2332" i="1"/>
  <c r="P2332" i="1"/>
  <c r="N2332" i="1"/>
  <c r="O2332" i="1" s="1"/>
  <c r="R2332" i="1" s="1"/>
  <c r="P2331" i="1"/>
  <c r="N2331" i="1"/>
  <c r="O2331" i="1" s="1"/>
  <c r="P2330" i="1"/>
  <c r="N2330" i="1"/>
  <c r="O2330" i="1" s="1"/>
  <c r="Q2330" i="1" s="1"/>
  <c r="P2329" i="1"/>
  <c r="O2329" i="1"/>
  <c r="N2329" i="1"/>
  <c r="P2328" i="1"/>
  <c r="N2328" i="1"/>
  <c r="O2328" i="1" s="1"/>
  <c r="P2327" i="1"/>
  <c r="N2327" i="1"/>
  <c r="O2327" i="1" s="1"/>
  <c r="P2326" i="1"/>
  <c r="O2326" i="1"/>
  <c r="N2326" i="1"/>
  <c r="P2325" i="1"/>
  <c r="N2325" i="1"/>
  <c r="O2325" i="1" s="1"/>
  <c r="Q2325" i="1" s="1"/>
  <c r="Q2324" i="1"/>
  <c r="P2324" i="1"/>
  <c r="O2324" i="1"/>
  <c r="R2324" i="1" s="1"/>
  <c r="N2324" i="1"/>
  <c r="P2323" i="1"/>
  <c r="N2323" i="1"/>
  <c r="O2323" i="1" s="1"/>
  <c r="P2322" i="1"/>
  <c r="O2322" i="1"/>
  <c r="N2322" i="1"/>
  <c r="P2321" i="1"/>
  <c r="N2321" i="1"/>
  <c r="O2321" i="1" s="1"/>
  <c r="P2320" i="1"/>
  <c r="N2320" i="1"/>
  <c r="O2320" i="1" s="1"/>
  <c r="P2319" i="1"/>
  <c r="N2319" i="1"/>
  <c r="O2319" i="1" s="1"/>
  <c r="P2318" i="1"/>
  <c r="N2318" i="1"/>
  <c r="O2318" i="1" s="1"/>
  <c r="R2317" i="1"/>
  <c r="P2317" i="1"/>
  <c r="N2317" i="1"/>
  <c r="O2317" i="1" s="1"/>
  <c r="Q2317" i="1" s="1"/>
  <c r="P2316" i="1"/>
  <c r="O2316" i="1"/>
  <c r="N2316" i="1"/>
  <c r="P2315" i="1"/>
  <c r="N2315" i="1"/>
  <c r="O2315" i="1" s="1"/>
  <c r="P2314" i="1"/>
  <c r="N2314" i="1"/>
  <c r="O2314" i="1" s="1"/>
  <c r="P2313" i="1"/>
  <c r="N2313" i="1"/>
  <c r="O2313" i="1" s="1"/>
  <c r="P2312" i="1"/>
  <c r="N2312" i="1"/>
  <c r="O2312" i="1" s="1"/>
  <c r="P2311" i="1"/>
  <c r="N2311" i="1"/>
  <c r="O2311" i="1" s="1"/>
  <c r="P2310" i="1"/>
  <c r="O2310" i="1"/>
  <c r="N2310" i="1"/>
  <c r="P2309" i="1"/>
  <c r="N2309" i="1"/>
  <c r="O2309" i="1" s="1"/>
  <c r="Q2309" i="1" s="1"/>
  <c r="P2308" i="1"/>
  <c r="O2308" i="1"/>
  <c r="N2308" i="1"/>
  <c r="P2307" i="1"/>
  <c r="N2307" i="1"/>
  <c r="O2307" i="1" s="1"/>
  <c r="P2306" i="1"/>
  <c r="O2306" i="1"/>
  <c r="N2306" i="1"/>
  <c r="P2305" i="1"/>
  <c r="N2305" i="1"/>
  <c r="O2305" i="1" s="1"/>
  <c r="P2304" i="1"/>
  <c r="N2304" i="1"/>
  <c r="O2304" i="1" s="1"/>
  <c r="P2303" i="1"/>
  <c r="N2303" i="1"/>
  <c r="O2303" i="1" s="1"/>
  <c r="P2302" i="1"/>
  <c r="N2302" i="1"/>
  <c r="O2302" i="1" s="1"/>
  <c r="P2301" i="1"/>
  <c r="N2301" i="1"/>
  <c r="O2301" i="1" s="1"/>
  <c r="Q2301" i="1" s="1"/>
  <c r="P2300" i="1"/>
  <c r="O2300" i="1"/>
  <c r="N2300" i="1"/>
  <c r="P2299" i="1"/>
  <c r="N2299" i="1"/>
  <c r="O2299" i="1" s="1"/>
  <c r="Q2298" i="1"/>
  <c r="R2298" i="1" s="1"/>
  <c r="P2298" i="1"/>
  <c r="N2298" i="1"/>
  <c r="O2298" i="1" s="1"/>
  <c r="P2297" i="1"/>
  <c r="N2297" i="1"/>
  <c r="O2297" i="1" s="1"/>
  <c r="P2296" i="1"/>
  <c r="N2296" i="1"/>
  <c r="O2296" i="1" s="1"/>
  <c r="P2295" i="1"/>
  <c r="N2295" i="1"/>
  <c r="O2295" i="1" s="1"/>
  <c r="P2294" i="1"/>
  <c r="O2294" i="1"/>
  <c r="N2294" i="1"/>
  <c r="R2293" i="1"/>
  <c r="P2293" i="1"/>
  <c r="N2293" i="1"/>
  <c r="O2293" i="1" s="1"/>
  <c r="Q2293" i="1" s="1"/>
  <c r="P2292" i="1"/>
  <c r="O2292" i="1"/>
  <c r="N2292" i="1"/>
  <c r="P2291" i="1"/>
  <c r="N2291" i="1"/>
  <c r="O2291" i="1" s="1"/>
  <c r="P2290" i="1"/>
  <c r="O2290" i="1"/>
  <c r="N2290" i="1"/>
  <c r="P2289" i="1"/>
  <c r="N2289" i="1"/>
  <c r="O2289" i="1" s="1"/>
  <c r="P2288" i="1"/>
  <c r="N2288" i="1"/>
  <c r="O2288" i="1" s="1"/>
  <c r="P2287" i="1"/>
  <c r="N2287" i="1"/>
  <c r="O2287" i="1" s="1"/>
  <c r="Q2287" i="1" s="1"/>
  <c r="P2286" i="1"/>
  <c r="N2286" i="1"/>
  <c r="O2286" i="1" s="1"/>
  <c r="P2285" i="1"/>
  <c r="N2285" i="1"/>
  <c r="O2285" i="1" s="1"/>
  <c r="Q2285" i="1" s="1"/>
  <c r="Q2284" i="1"/>
  <c r="P2284" i="1"/>
  <c r="O2284" i="1"/>
  <c r="N2284" i="1"/>
  <c r="P2283" i="1"/>
  <c r="N2283" i="1"/>
  <c r="O2283" i="1" s="1"/>
  <c r="Q2282" i="1"/>
  <c r="P2282" i="1"/>
  <c r="N2282" i="1"/>
  <c r="O2282" i="1" s="1"/>
  <c r="R2282" i="1" s="1"/>
  <c r="P2281" i="1"/>
  <c r="N2281" i="1"/>
  <c r="O2281" i="1" s="1"/>
  <c r="P2280" i="1"/>
  <c r="N2280" i="1"/>
  <c r="O2280" i="1" s="1"/>
  <c r="P2279" i="1"/>
  <c r="N2279" i="1"/>
  <c r="O2279" i="1" s="1"/>
  <c r="P2278" i="1"/>
  <c r="O2278" i="1"/>
  <c r="N2278" i="1"/>
  <c r="P2277" i="1"/>
  <c r="N2277" i="1"/>
  <c r="O2277" i="1" s="1"/>
  <c r="P2276" i="1"/>
  <c r="O2276" i="1"/>
  <c r="N2276" i="1"/>
  <c r="P2275" i="1"/>
  <c r="N2275" i="1"/>
  <c r="O2275" i="1" s="1"/>
  <c r="P2274" i="1"/>
  <c r="N2274" i="1"/>
  <c r="O2274" i="1" s="1"/>
  <c r="P2273" i="1"/>
  <c r="N2273" i="1"/>
  <c r="O2273" i="1" s="1"/>
  <c r="P2272" i="1"/>
  <c r="N2272" i="1"/>
  <c r="O2272" i="1" s="1"/>
  <c r="P2271" i="1"/>
  <c r="N2271" i="1"/>
  <c r="O2271" i="1" s="1"/>
  <c r="P2270" i="1"/>
  <c r="N2270" i="1"/>
  <c r="O2270" i="1" s="1"/>
  <c r="R2269" i="1"/>
  <c r="P2269" i="1"/>
  <c r="N2269" i="1"/>
  <c r="O2269" i="1" s="1"/>
  <c r="Q2269" i="1" s="1"/>
  <c r="P2268" i="1"/>
  <c r="N2268" i="1"/>
  <c r="O2268" i="1" s="1"/>
  <c r="P2267" i="1"/>
  <c r="N2267" i="1"/>
  <c r="O2267" i="1" s="1"/>
  <c r="P2266" i="1"/>
  <c r="N2266" i="1"/>
  <c r="O2266" i="1" s="1"/>
  <c r="P2265" i="1"/>
  <c r="N2265" i="1"/>
  <c r="O2265" i="1" s="1"/>
  <c r="P2264" i="1"/>
  <c r="N2264" i="1"/>
  <c r="O2264" i="1" s="1"/>
  <c r="Q2263" i="1"/>
  <c r="R2263" i="1" s="1"/>
  <c r="P2263" i="1"/>
  <c r="N2263" i="1"/>
  <c r="O2263" i="1" s="1"/>
  <c r="P2262" i="1"/>
  <c r="O2262" i="1"/>
  <c r="N2262" i="1"/>
  <c r="P2261" i="1"/>
  <c r="N2261" i="1"/>
  <c r="O2261" i="1" s="1"/>
  <c r="P2260" i="1"/>
  <c r="O2260" i="1"/>
  <c r="N2260" i="1"/>
  <c r="P2259" i="1"/>
  <c r="N2259" i="1"/>
  <c r="O2259" i="1" s="1"/>
  <c r="P2258" i="1"/>
  <c r="O2258" i="1"/>
  <c r="N2258" i="1"/>
  <c r="P2257" i="1"/>
  <c r="N2257" i="1"/>
  <c r="O2257" i="1" s="1"/>
  <c r="P2256" i="1"/>
  <c r="N2256" i="1"/>
  <c r="O2256" i="1" s="1"/>
  <c r="P2255" i="1"/>
  <c r="N2255" i="1"/>
  <c r="O2255" i="1" s="1"/>
  <c r="P2254" i="1"/>
  <c r="O2254" i="1"/>
  <c r="N2254" i="1"/>
  <c r="P2253" i="1"/>
  <c r="N2253" i="1"/>
  <c r="O2253" i="1" s="1"/>
  <c r="Q2253" i="1" s="1"/>
  <c r="P2252" i="1"/>
  <c r="N2252" i="1"/>
  <c r="O2252" i="1" s="1"/>
  <c r="P2251" i="1"/>
  <c r="O2251" i="1"/>
  <c r="N2251" i="1"/>
  <c r="P2250" i="1"/>
  <c r="N2250" i="1"/>
  <c r="O2250" i="1" s="1"/>
  <c r="P2249" i="1"/>
  <c r="N2249" i="1"/>
  <c r="O2249" i="1" s="1"/>
  <c r="P2248" i="1"/>
  <c r="N2248" i="1"/>
  <c r="O2248" i="1" s="1"/>
  <c r="P2247" i="1"/>
  <c r="N2247" i="1"/>
  <c r="O2247" i="1" s="1"/>
  <c r="P2246" i="1"/>
  <c r="O2246" i="1"/>
  <c r="N2246" i="1"/>
  <c r="P2245" i="1"/>
  <c r="N2245" i="1"/>
  <c r="O2245" i="1" s="1"/>
  <c r="P2244" i="1"/>
  <c r="O2244" i="1"/>
  <c r="N2244" i="1"/>
  <c r="P2243" i="1"/>
  <c r="N2243" i="1"/>
  <c r="O2243" i="1" s="1"/>
  <c r="P2242" i="1"/>
  <c r="N2242" i="1"/>
  <c r="O2242" i="1" s="1"/>
  <c r="P2241" i="1"/>
  <c r="N2241" i="1"/>
  <c r="O2241" i="1" s="1"/>
  <c r="P2240" i="1"/>
  <c r="N2240" i="1"/>
  <c r="O2240" i="1" s="1"/>
  <c r="P2239" i="1"/>
  <c r="N2239" i="1"/>
  <c r="O2239" i="1" s="1"/>
  <c r="Q2238" i="1"/>
  <c r="P2238" i="1"/>
  <c r="N2238" i="1"/>
  <c r="O2238" i="1" s="1"/>
  <c r="P2237" i="1"/>
  <c r="N2237" i="1"/>
  <c r="O2237" i="1" s="1"/>
  <c r="Q2237" i="1" s="1"/>
  <c r="P2236" i="1"/>
  <c r="N2236" i="1"/>
  <c r="O2236" i="1" s="1"/>
  <c r="P2235" i="1"/>
  <c r="O2235" i="1"/>
  <c r="N2235" i="1"/>
  <c r="R2234" i="1"/>
  <c r="P2234" i="1"/>
  <c r="N2234" i="1"/>
  <c r="O2234" i="1" s="1"/>
  <c r="Q2234" i="1" s="1"/>
  <c r="P2233" i="1"/>
  <c r="N2233" i="1"/>
  <c r="O2233" i="1" s="1"/>
  <c r="P2232" i="1"/>
  <c r="N2232" i="1"/>
  <c r="O2232" i="1" s="1"/>
  <c r="P2231" i="1"/>
  <c r="N2231" i="1"/>
  <c r="O2231" i="1" s="1"/>
  <c r="P2230" i="1"/>
  <c r="O2230" i="1"/>
  <c r="N2230" i="1"/>
  <c r="P2229" i="1"/>
  <c r="N2229" i="1"/>
  <c r="O2229" i="1" s="1"/>
  <c r="Q2228" i="1"/>
  <c r="P2228" i="1"/>
  <c r="O2228" i="1"/>
  <c r="R2228" i="1" s="1"/>
  <c r="N2228" i="1"/>
  <c r="P2227" i="1"/>
  <c r="N2227" i="1"/>
  <c r="O2227" i="1" s="1"/>
  <c r="P2226" i="1"/>
  <c r="O2226" i="1"/>
  <c r="N2226" i="1"/>
  <c r="P2225" i="1"/>
  <c r="N2225" i="1"/>
  <c r="O2225" i="1" s="1"/>
  <c r="P2224" i="1"/>
  <c r="N2224" i="1"/>
  <c r="O2224" i="1" s="1"/>
  <c r="P2223" i="1"/>
  <c r="N2223" i="1"/>
  <c r="O2223" i="1" s="1"/>
  <c r="P2222" i="1"/>
  <c r="O2222" i="1"/>
  <c r="N2222" i="1"/>
  <c r="P2221" i="1"/>
  <c r="N2221" i="1"/>
  <c r="O2221" i="1" s="1"/>
  <c r="Q2221" i="1" s="1"/>
  <c r="P2220" i="1"/>
  <c r="N2220" i="1"/>
  <c r="O2220" i="1" s="1"/>
  <c r="P2219" i="1"/>
  <c r="O2219" i="1"/>
  <c r="N2219" i="1"/>
  <c r="R2218" i="1"/>
  <c r="Q2218" i="1"/>
  <c r="P2218" i="1"/>
  <c r="N2218" i="1"/>
  <c r="O2218" i="1" s="1"/>
  <c r="P2217" i="1"/>
  <c r="N2217" i="1"/>
  <c r="O2217" i="1" s="1"/>
  <c r="P2216" i="1"/>
  <c r="N2216" i="1"/>
  <c r="O2216" i="1" s="1"/>
  <c r="P2215" i="1"/>
  <c r="N2215" i="1"/>
  <c r="O2215" i="1" s="1"/>
  <c r="P2214" i="1"/>
  <c r="O2214" i="1"/>
  <c r="N2214" i="1"/>
  <c r="P2213" i="1"/>
  <c r="N2213" i="1"/>
  <c r="O2213" i="1" s="1"/>
  <c r="Q2213" i="1" s="1"/>
  <c r="P2212" i="1"/>
  <c r="O2212" i="1"/>
  <c r="N2212" i="1"/>
  <c r="P2211" i="1"/>
  <c r="N2211" i="1"/>
  <c r="O2211" i="1" s="1"/>
  <c r="P2210" i="1"/>
  <c r="O2210" i="1"/>
  <c r="N2210" i="1"/>
  <c r="P2209" i="1"/>
  <c r="N2209" i="1"/>
  <c r="O2209" i="1" s="1"/>
  <c r="Q2209" i="1" s="1"/>
  <c r="P2208" i="1"/>
  <c r="N2208" i="1"/>
  <c r="O2208" i="1" s="1"/>
  <c r="P2207" i="1"/>
  <c r="N2207" i="1"/>
  <c r="O2207" i="1" s="1"/>
  <c r="P2206" i="1"/>
  <c r="O2206" i="1"/>
  <c r="N2206" i="1"/>
  <c r="R2205" i="1"/>
  <c r="P2205" i="1"/>
  <c r="N2205" i="1"/>
  <c r="O2205" i="1" s="1"/>
  <c r="Q2205" i="1" s="1"/>
  <c r="P2204" i="1"/>
  <c r="N2204" i="1"/>
  <c r="O2204" i="1" s="1"/>
  <c r="P2203" i="1"/>
  <c r="N2203" i="1"/>
  <c r="O2203" i="1" s="1"/>
  <c r="P2202" i="1"/>
  <c r="N2202" i="1"/>
  <c r="O2202" i="1" s="1"/>
  <c r="Q2202" i="1" s="1"/>
  <c r="R2202" i="1" s="1"/>
  <c r="P2201" i="1"/>
  <c r="N2201" i="1"/>
  <c r="O2201" i="1" s="1"/>
  <c r="P2200" i="1"/>
  <c r="N2200" i="1"/>
  <c r="O2200" i="1" s="1"/>
  <c r="Q2199" i="1"/>
  <c r="P2199" i="1"/>
  <c r="N2199" i="1"/>
  <c r="O2199" i="1" s="1"/>
  <c r="R2199" i="1" s="1"/>
  <c r="P2198" i="1"/>
  <c r="O2198" i="1"/>
  <c r="N2198" i="1"/>
  <c r="P2197" i="1"/>
  <c r="N2197" i="1"/>
  <c r="O2197" i="1" s="1"/>
  <c r="P2196" i="1"/>
  <c r="O2196" i="1"/>
  <c r="N2196" i="1"/>
  <c r="P2195" i="1"/>
  <c r="N2195" i="1"/>
  <c r="O2195" i="1" s="1"/>
  <c r="P2194" i="1"/>
  <c r="O2194" i="1"/>
  <c r="N2194" i="1"/>
  <c r="P2193" i="1"/>
  <c r="N2193" i="1"/>
  <c r="O2193" i="1" s="1"/>
  <c r="P2192" i="1"/>
  <c r="N2192" i="1"/>
  <c r="O2192" i="1" s="1"/>
  <c r="P2191" i="1"/>
  <c r="N2191" i="1"/>
  <c r="O2191" i="1" s="1"/>
  <c r="P2190" i="1"/>
  <c r="O2190" i="1"/>
  <c r="N2190" i="1"/>
  <c r="P2189" i="1"/>
  <c r="N2189" i="1"/>
  <c r="O2189" i="1" s="1"/>
  <c r="P2188" i="1"/>
  <c r="N2188" i="1"/>
  <c r="O2188" i="1" s="1"/>
  <c r="P2187" i="1"/>
  <c r="O2187" i="1"/>
  <c r="N2187" i="1"/>
  <c r="P2186" i="1"/>
  <c r="N2186" i="1"/>
  <c r="O2186" i="1" s="1"/>
  <c r="P2185" i="1"/>
  <c r="N2185" i="1"/>
  <c r="O2185" i="1" s="1"/>
  <c r="P2184" i="1"/>
  <c r="N2184" i="1"/>
  <c r="O2184" i="1" s="1"/>
  <c r="Q2184" i="1" s="1"/>
  <c r="P2183" i="1"/>
  <c r="N2183" i="1"/>
  <c r="O2183" i="1" s="1"/>
  <c r="P2182" i="1"/>
  <c r="O2182" i="1"/>
  <c r="N2182" i="1"/>
  <c r="P2181" i="1"/>
  <c r="N2181" i="1"/>
  <c r="O2181" i="1" s="1"/>
  <c r="P2180" i="1"/>
  <c r="O2180" i="1"/>
  <c r="N2180" i="1"/>
  <c r="P2179" i="1"/>
  <c r="N2179" i="1"/>
  <c r="O2179" i="1" s="1"/>
  <c r="P2178" i="1"/>
  <c r="N2178" i="1"/>
  <c r="O2178" i="1" s="1"/>
  <c r="P2177" i="1"/>
  <c r="O2177" i="1"/>
  <c r="N2177" i="1"/>
  <c r="P2176" i="1"/>
  <c r="N2176" i="1"/>
  <c r="O2176" i="1" s="1"/>
  <c r="P2175" i="1"/>
  <c r="O2175" i="1"/>
  <c r="Q2175" i="1" s="1"/>
  <c r="N2175" i="1"/>
  <c r="P2174" i="1"/>
  <c r="N2174" i="1"/>
  <c r="O2174" i="1" s="1"/>
  <c r="P2173" i="1"/>
  <c r="N2173" i="1"/>
  <c r="O2173" i="1" s="1"/>
  <c r="Q2173" i="1" s="1"/>
  <c r="P2172" i="1"/>
  <c r="N2172" i="1"/>
  <c r="O2172" i="1" s="1"/>
  <c r="P2171" i="1"/>
  <c r="O2171" i="1"/>
  <c r="N2171" i="1"/>
  <c r="P2170" i="1"/>
  <c r="N2170" i="1"/>
  <c r="O2170" i="1" s="1"/>
  <c r="P2169" i="1"/>
  <c r="N2169" i="1"/>
  <c r="O2169" i="1" s="1"/>
  <c r="P2168" i="1"/>
  <c r="O2168" i="1"/>
  <c r="N2168" i="1"/>
  <c r="P2167" i="1"/>
  <c r="N2167" i="1"/>
  <c r="O2167" i="1" s="1"/>
  <c r="Q2167" i="1" s="1"/>
  <c r="R2167" i="1" s="1"/>
  <c r="P2166" i="1"/>
  <c r="O2166" i="1"/>
  <c r="N2166" i="1"/>
  <c r="P2165" i="1"/>
  <c r="O2165" i="1"/>
  <c r="N2165" i="1"/>
  <c r="P2164" i="1"/>
  <c r="O2164" i="1"/>
  <c r="N2164" i="1"/>
  <c r="P2163" i="1"/>
  <c r="O2163" i="1"/>
  <c r="N2163" i="1"/>
  <c r="P2162" i="1"/>
  <c r="O2162" i="1"/>
  <c r="N2162" i="1"/>
  <c r="P2161" i="1"/>
  <c r="N2161" i="1"/>
  <c r="O2161" i="1" s="1"/>
  <c r="P2160" i="1"/>
  <c r="N2160" i="1"/>
  <c r="O2160" i="1" s="1"/>
  <c r="P2159" i="1"/>
  <c r="N2159" i="1"/>
  <c r="O2159" i="1" s="1"/>
  <c r="P2158" i="1"/>
  <c r="O2158" i="1"/>
  <c r="N2158" i="1"/>
  <c r="P2157" i="1"/>
  <c r="N2157" i="1"/>
  <c r="O2157" i="1" s="1"/>
  <c r="P2156" i="1"/>
  <c r="O2156" i="1"/>
  <c r="N2156" i="1"/>
  <c r="P2155" i="1"/>
  <c r="N2155" i="1"/>
  <c r="O2155" i="1" s="1"/>
  <c r="P2154" i="1"/>
  <c r="N2154" i="1"/>
  <c r="O2154" i="1" s="1"/>
  <c r="Q2153" i="1"/>
  <c r="R2153" i="1" s="1"/>
  <c r="P2153" i="1"/>
  <c r="N2153" i="1"/>
  <c r="O2153" i="1" s="1"/>
  <c r="P2152" i="1"/>
  <c r="O2152" i="1"/>
  <c r="N2152" i="1"/>
  <c r="P2151" i="1"/>
  <c r="N2151" i="1"/>
  <c r="O2151" i="1" s="1"/>
  <c r="Q2151" i="1" s="1"/>
  <c r="R2151" i="1" s="1"/>
  <c r="P2150" i="1"/>
  <c r="O2150" i="1"/>
  <c r="N2150" i="1"/>
  <c r="P2149" i="1"/>
  <c r="N2149" i="1"/>
  <c r="O2149" i="1" s="1"/>
  <c r="Q2149" i="1" s="1"/>
  <c r="P2148" i="1"/>
  <c r="O2148" i="1"/>
  <c r="N2148" i="1"/>
  <c r="P2147" i="1"/>
  <c r="N2147" i="1"/>
  <c r="O2147" i="1" s="1"/>
  <c r="P2146" i="1"/>
  <c r="N2146" i="1"/>
  <c r="O2146" i="1" s="1"/>
  <c r="P2145" i="1"/>
  <c r="O2145" i="1"/>
  <c r="N2145" i="1"/>
  <c r="P2144" i="1"/>
  <c r="N2144" i="1"/>
  <c r="O2144" i="1" s="1"/>
  <c r="P2143" i="1"/>
  <c r="N2143" i="1"/>
  <c r="O2143" i="1" s="1"/>
  <c r="P2142" i="1"/>
  <c r="O2142" i="1"/>
  <c r="N2142" i="1"/>
  <c r="P2141" i="1"/>
  <c r="N2141" i="1"/>
  <c r="O2141" i="1" s="1"/>
  <c r="Q2141" i="1" s="1"/>
  <c r="P2140" i="1"/>
  <c r="O2140" i="1"/>
  <c r="N2140" i="1"/>
  <c r="P2139" i="1"/>
  <c r="N2139" i="1"/>
  <c r="O2139" i="1" s="1"/>
  <c r="Q2138" i="1"/>
  <c r="R2138" i="1" s="1"/>
  <c r="P2138" i="1"/>
  <c r="N2138" i="1"/>
  <c r="O2138" i="1" s="1"/>
  <c r="Q2137" i="1"/>
  <c r="P2137" i="1"/>
  <c r="O2137" i="1"/>
  <c r="R2137" i="1" s="1"/>
  <c r="N2137" i="1"/>
  <c r="P2136" i="1"/>
  <c r="N2136" i="1"/>
  <c r="O2136" i="1" s="1"/>
  <c r="Q2135" i="1"/>
  <c r="P2135" i="1"/>
  <c r="N2135" i="1"/>
  <c r="O2135" i="1" s="1"/>
  <c r="P2134" i="1"/>
  <c r="N2134" i="1"/>
  <c r="O2134" i="1" s="1"/>
  <c r="P2133" i="1"/>
  <c r="O2133" i="1"/>
  <c r="N2133" i="1"/>
  <c r="P2132" i="1"/>
  <c r="Q2132" i="1" s="1"/>
  <c r="O2132" i="1"/>
  <c r="R2132" i="1" s="1"/>
  <c r="N2132" i="1"/>
  <c r="P2131" i="1"/>
  <c r="O2131" i="1"/>
  <c r="N2131" i="1"/>
  <c r="P2130" i="1"/>
  <c r="N2130" i="1"/>
  <c r="O2130" i="1" s="1"/>
  <c r="P2129" i="1"/>
  <c r="N2129" i="1"/>
  <c r="O2129" i="1" s="1"/>
  <c r="P2128" i="1"/>
  <c r="N2128" i="1"/>
  <c r="O2128" i="1" s="1"/>
  <c r="P2127" i="1"/>
  <c r="N2127" i="1"/>
  <c r="O2127" i="1" s="1"/>
  <c r="P2126" i="1"/>
  <c r="N2126" i="1"/>
  <c r="O2126" i="1" s="1"/>
  <c r="P2125" i="1"/>
  <c r="N2125" i="1"/>
  <c r="O2125" i="1" s="1"/>
  <c r="Q2125" i="1" s="1"/>
  <c r="R2124" i="1"/>
  <c r="P2124" i="1"/>
  <c r="N2124" i="1"/>
  <c r="O2124" i="1" s="1"/>
  <c r="Q2124" i="1" s="1"/>
  <c r="P2123" i="1"/>
  <c r="O2123" i="1"/>
  <c r="N2123" i="1"/>
  <c r="P2122" i="1"/>
  <c r="N2122" i="1"/>
  <c r="O2122" i="1" s="1"/>
  <c r="Q2122" i="1" s="1"/>
  <c r="R2122" i="1" s="1"/>
  <c r="P2121" i="1"/>
  <c r="N2121" i="1"/>
  <c r="O2121" i="1" s="1"/>
  <c r="P2120" i="1"/>
  <c r="N2120" i="1"/>
  <c r="O2120" i="1" s="1"/>
  <c r="P2119" i="1"/>
  <c r="N2119" i="1"/>
  <c r="O2119" i="1" s="1"/>
  <c r="Q2119" i="1" s="1"/>
  <c r="R2119" i="1" s="1"/>
  <c r="P2118" i="1"/>
  <c r="N2118" i="1"/>
  <c r="O2118" i="1" s="1"/>
  <c r="P2117" i="1"/>
  <c r="N2117" i="1"/>
  <c r="O2117" i="1" s="1"/>
  <c r="Q2117" i="1" s="1"/>
  <c r="P2116" i="1"/>
  <c r="O2116" i="1"/>
  <c r="N2116" i="1"/>
  <c r="P2115" i="1"/>
  <c r="N2115" i="1"/>
  <c r="O2115" i="1" s="1"/>
  <c r="P2114" i="1"/>
  <c r="O2114" i="1"/>
  <c r="N2114" i="1"/>
  <c r="P2113" i="1"/>
  <c r="N2113" i="1"/>
  <c r="O2113" i="1" s="1"/>
  <c r="Q2113" i="1" s="1"/>
  <c r="P2112" i="1"/>
  <c r="O2112" i="1"/>
  <c r="N2112" i="1"/>
  <c r="P2111" i="1"/>
  <c r="N2111" i="1"/>
  <c r="O2111" i="1" s="1"/>
  <c r="P2110" i="1"/>
  <c r="O2110" i="1"/>
  <c r="N2110" i="1"/>
  <c r="R2109" i="1"/>
  <c r="P2109" i="1"/>
  <c r="N2109" i="1"/>
  <c r="O2109" i="1" s="1"/>
  <c r="Q2109" i="1" s="1"/>
  <c r="Q2108" i="1"/>
  <c r="P2108" i="1"/>
  <c r="O2108" i="1"/>
  <c r="R2108" i="1" s="1"/>
  <c r="N2108" i="1"/>
  <c r="P2107" i="1"/>
  <c r="N2107" i="1"/>
  <c r="O2107" i="1" s="1"/>
  <c r="P2106" i="1"/>
  <c r="N2106" i="1"/>
  <c r="O2106" i="1" s="1"/>
  <c r="P2105" i="1"/>
  <c r="O2105" i="1"/>
  <c r="N2105" i="1"/>
  <c r="P2104" i="1"/>
  <c r="N2104" i="1"/>
  <c r="O2104" i="1" s="1"/>
  <c r="P2103" i="1"/>
  <c r="N2103" i="1"/>
  <c r="O2103" i="1" s="1"/>
  <c r="P2102" i="1"/>
  <c r="N2102" i="1"/>
  <c r="O2102" i="1" s="1"/>
  <c r="Q2101" i="1"/>
  <c r="P2101" i="1"/>
  <c r="O2101" i="1"/>
  <c r="R2101" i="1" s="1"/>
  <c r="N2101" i="1"/>
  <c r="P2100" i="1"/>
  <c r="O2100" i="1"/>
  <c r="Q2100" i="1" s="1"/>
  <c r="R2100" i="1" s="1"/>
  <c r="N2100" i="1"/>
  <c r="P2099" i="1"/>
  <c r="O2099" i="1"/>
  <c r="N2099" i="1"/>
  <c r="R2098" i="1"/>
  <c r="P2098" i="1"/>
  <c r="N2098" i="1"/>
  <c r="O2098" i="1" s="1"/>
  <c r="Q2098" i="1" s="1"/>
  <c r="P2097" i="1"/>
  <c r="O2097" i="1"/>
  <c r="N2097" i="1"/>
  <c r="P2096" i="1"/>
  <c r="N2096" i="1"/>
  <c r="O2096" i="1" s="1"/>
  <c r="Q2095" i="1"/>
  <c r="P2095" i="1"/>
  <c r="O2095" i="1"/>
  <c r="N2095" i="1"/>
  <c r="P2094" i="1"/>
  <c r="N2094" i="1"/>
  <c r="O2094" i="1" s="1"/>
  <c r="P2093" i="1"/>
  <c r="N2093" i="1"/>
  <c r="O2093" i="1" s="1"/>
  <c r="Q2093" i="1" s="1"/>
  <c r="P2092" i="1"/>
  <c r="N2092" i="1"/>
  <c r="O2092" i="1" s="1"/>
  <c r="P2091" i="1"/>
  <c r="N2091" i="1"/>
  <c r="O2091" i="1" s="1"/>
  <c r="P2090" i="1"/>
  <c r="N2090" i="1"/>
  <c r="O2090" i="1" s="1"/>
  <c r="Q2090" i="1" s="1"/>
  <c r="R2090" i="1" s="1"/>
  <c r="P2089" i="1"/>
  <c r="N2089" i="1"/>
  <c r="O2089" i="1" s="1"/>
  <c r="P2088" i="1"/>
  <c r="O2088" i="1"/>
  <c r="N2088" i="1"/>
  <c r="P2087" i="1"/>
  <c r="N2087" i="1"/>
  <c r="O2087" i="1" s="1"/>
  <c r="P2086" i="1"/>
  <c r="O2086" i="1"/>
  <c r="N2086" i="1"/>
  <c r="P2085" i="1"/>
  <c r="N2085" i="1"/>
  <c r="O2085" i="1" s="1"/>
  <c r="Q2084" i="1"/>
  <c r="R2084" i="1" s="1"/>
  <c r="P2084" i="1"/>
  <c r="O2084" i="1"/>
  <c r="N2084" i="1"/>
  <c r="P2083" i="1"/>
  <c r="N2083" i="1"/>
  <c r="O2083" i="1" s="1"/>
  <c r="P2082" i="1"/>
  <c r="N2082" i="1"/>
  <c r="O2082" i="1" s="1"/>
  <c r="P2081" i="1"/>
  <c r="N2081" i="1"/>
  <c r="O2081" i="1" s="1"/>
  <c r="Q2081" i="1" s="1"/>
  <c r="P2080" i="1"/>
  <c r="O2080" i="1"/>
  <c r="N2080" i="1"/>
  <c r="P2079" i="1"/>
  <c r="N2079" i="1"/>
  <c r="O2079" i="1" s="1"/>
  <c r="P2078" i="1"/>
  <c r="O2078" i="1"/>
  <c r="N2078" i="1"/>
  <c r="P2077" i="1"/>
  <c r="N2077" i="1"/>
  <c r="O2077" i="1" s="1"/>
  <c r="Q2077" i="1" s="1"/>
  <c r="P2076" i="1"/>
  <c r="O2076" i="1"/>
  <c r="N2076" i="1"/>
  <c r="P2075" i="1"/>
  <c r="N2075" i="1"/>
  <c r="O2075" i="1" s="1"/>
  <c r="Q2074" i="1"/>
  <c r="P2074" i="1"/>
  <c r="O2074" i="1"/>
  <c r="N2074" i="1"/>
  <c r="P2073" i="1"/>
  <c r="N2073" i="1"/>
  <c r="O2073" i="1" s="1"/>
  <c r="Q2073" i="1" s="1"/>
  <c r="P2072" i="1"/>
  <c r="O2072" i="1"/>
  <c r="N2072" i="1"/>
  <c r="P2071" i="1"/>
  <c r="N2071" i="1"/>
  <c r="O2071" i="1" s="1"/>
  <c r="Q2070" i="1"/>
  <c r="R2070" i="1" s="1"/>
  <c r="P2070" i="1"/>
  <c r="O2070" i="1"/>
  <c r="N2070" i="1"/>
  <c r="P2069" i="1"/>
  <c r="N2069" i="1"/>
  <c r="O2069" i="1" s="1"/>
  <c r="P2068" i="1"/>
  <c r="O2068" i="1"/>
  <c r="N2068" i="1"/>
  <c r="P2067" i="1"/>
  <c r="N2067" i="1"/>
  <c r="O2067" i="1" s="1"/>
  <c r="Q2067" i="1" s="1"/>
  <c r="Q2066" i="1"/>
  <c r="P2066" i="1"/>
  <c r="O2066" i="1"/>
  <c r="R2066" i="1" s="1"/>
  <c r="N2066" i="1"/>
  <c r="P2065" i="1"/>
  <c r="N2065" i="1"/>
  <c r="O2065" i="1" s="1"/>
  <c r="Q2064" i="1"/>
  <c r="P2064" i="1"/>
  <c r="O2064" i="1"/>
  <c r="N2064" i="1"/>
  <c r="P2063" i="1"/>
  <c r="N2063" i="1"/>
  <c r="O2063" i="1" s="1"/>
  <c r="P2062" i="1"/>
  <c r="N2062" i="1"/>
  <c r="O2062" i="1" s="1"/>
  <c r="P2061" i="1"/>
  <c r="N2061" i="1"/>
  <c r="O2061" i="1" s="1"/>
  <c r="Q2061" i="1" s="1"/>
  <c r="P2060" i="1"/>
  <c r="O2060" i="1"/>
  <c r="N2060" i="1"/>
  <c r="P2059" i="1"/>
  <c r="N2059" i="1"/>
  <c r="O2059" i="1" s="1"/>
  <c r="Q2058" i="1"/>
  <c r="P2058" i="1"/>
  <c r="O2058" i="1"/>
  <c r="N2058" i="1"/>
  <c r="P2057" i="1"/>
  <c r="N2057" i="1"/>
  <c r="O2057" i="1" s="1"/>
  <c r="Q2057" i="1" s="1"/>
  <c r="P2056" i="1"/>
  <c r="O2056" i="1"/>
  <c r="N2056" i="1"/>
  <c r="P2055" i="1"/>
  <c r="N2055" i="1"/>
  <c r="O2055" i="1" s="1"/>
  <c r="Q2054" i="1"/>
  <c r="R2054" i="1" s="1"/>
  <c r="P2054" i="1"/>
  <c r="O2054" i="1"/>
  <c r="N2054" i="1"/>
  <c r="P2053" i="1"/>
  <c r="N2053" i="1"/>
  <c r="O2053" i="1" s="1"/>
  <c r="P2052" i="1"/>
  <c r="O2052" i="1"/>
  <c r="N2052" i="1"/>
  <c r="P2051" i="1"/>
  <c r="N2051" i="1"/>
  <c r="O2051" i="1" s="1"/>
  <c r="Q2051" i="1" s="1"/>
  <c r="Q2050" i="1"/>
  <c r="P2050" i="1"/>
  <c r="O2050" i="1"/>
  <c r="R2050" i="1" s="1"/>
  <c r="N2050" i="1"/>
  <c r="P2049" i="1"/>
  <c r="N2049" i="1"/>
  <c r="O2049" i="1" s="1"/>
  <c r="P2048" i="1"/>
  <c r="O2048" i="1"/>
  <c r="N2048" i="1"/>
  <c r="P2047" i="1"/>
  <c r="N2047" i="1"/>
  <c r="O2047" i="1" s="1"/>
  <c r="P2046" i="1"/>
  <c r="N2046" i="1"/>
  <c r="O2046" i="1" s="1"/>
  <c r="P2045" i="1"/>
  <c r="N2045" i="1"/>
  <c r="O2045" i="1" s="1"/>
  <c r="Q2045" i="1" s="1"/>
  <c r="P2044" i="1"/>
  <c r="O2044" i="1"/>
  <c r="N2044" i="1"/>
  <c r="P2043" i="1"/>
  <c r="N2043" i="1"/>
  <c r="O2043" i="1" s="1"/>
  <c r="P2042" i="1"/>
  <c r="O2042" i="1"/>
  <c r="N2042" i="1"/>
  <c r="R2041" i="1"/>
  <c r="P2041" i="1"/>
  <c r="N2041" i="1"/>
  <c r="O2041" i="1" s="1"/>
  <c r="Q2041" i="1" s="1"/>
  <c r="P2040" i="1"/>
  <c r="O2040" i="1"/>
  <c r="N2040" i="1"/>
  <c r="P2039" i="1"/>
  <c r="N2039" i="1"/>
  <c r="O2039" i="1" s="1"/>
  <c r="Q2038" i="1"/>
  <c r="R2038" i="1" s="1"/>
  <c r="P2038" i="1"/>
  <c r="O2038" i="1"/>
  <c r="N2038" i="1"/>
  <c r="P2037" i="1"/>
  <c r="N2037" i="1"/>
  <c r="O2037" i="1" s="1"/>
  <c r="P2036" i="1"/>
  <c r="O2036" i="1"/>
  <c r="N2036" i="1"/>
  <c r="R2035" i="1"/>
  <c r="P2035" i="1"/>
  <c r="N2035" i="1"/>
  <c r="O2035" i="1" s="1"/>
  <c r="Q2035" i="1" s="1"/>
  <c r="Q2034" i="1"/>
  <c r="P2034" i="1"/>
  <c r="O2034" i="1"/>
  <c r="R2034" i="1" s="1"/>
  <c r="N2034" i="1"/>
  <c r="P2033" i="1"/>
  <c r="N2033" i="1"/>
  <c r="O2033" i="1" s="1"/>
  <c r="Q2033" i="1" s="1"/>
  <c r="P2032" i="1"/>
  <c r="O2032" i="1"/>
  <c r="N2032" i="1"/>
  <c r="P2031" i="1"/>
  <c r="N2031" i="1"/>
  <c r="O2031" i="1" s="1"/>
  <c r="Q2030" i="1"/>
  <c r="P2030" i="1"/>
  <c r="N2030" i="1"/>
  <c r="O2030" i="1" s="1"/>
  <c r="P2029" i="1"/>
  <c r="N2029" i="1"/>
  <c r="O2029" i="1" s="1"/>
  <c r="Q2029" i="1" s="1"/>
  <c r="P2028" i="1"/>
  <c r="O2028" i="1"/>
  <c r="N2028" i="1"/>
  <c r="P2027" i="1"/>
  <c r="N2027" i="1"/>
  <c r="O2027" i="1" s="1"/>
  <c r="P2026" i="1"/>
  <c r="O2026" i="1"/>
  <c r="N2026" i="1"/>
  <c r="R2025" i="1"/>
  <c r="P2025" i="1"/>
  <c r="N2025" i="1"/>
  <c r="O2025" i="1" s="1"/>
  <c r="Q2025" i="1" s="1"/>
  <c r="P2024" i="1"/>
  <c r="O2024" i="1"/>
  <c r="N2024" i="1"/>
  <c r="P2023" i="1"/>
  <c r="N2023" i="1"/>
  <c r="O2023" i="1" s="1"/>
  <c r="Q2022" i="1"/>
  <c r="R2022" i="1" s="1"/>
  <c r="P2022" i="1"/>
  <c r="O2022" i="1"/>
  <c r="N2022" i="1"/>
  <c r="P2021" i="1"/>
  <c r="N2021" i="1"/>
  <c r="O2021" i="1" s="1"/>
  <c r="P2020" i="1"/>
  <c r="O2020" i="1"/>
  <c r="N2020" i="1"/>
  <c r="R2019" i="1"/>
  <c r="P2019" i="1"/>
  <c r="N2019" i="1"/>
  <c r="O2019" i="1" s="1"/>
  <c r="Q2019" i="1" s="1"/>
  <c r="Q2018" i="1"/>
  <c r="P2018" i="1"/>
  <c r="O2018" i="1"/>
  <c r="R2018" i="1" s="1"/>
  <c r="N2018" i="1"/>
  <c r="R2017" i="1"/>
  <c r="P2017" i="1"/>
  <c r="N2017" i="1"/>
  <c r="O2017" i="1" s="1"/>
  <c r="Q2017" i="1" s="1"/>
  <c r="P2016" i="1"/>
  <c r="O2016" i="1"/>
  <c r="N2016" i="1"/>
  <c r="P2015" i="1"/>
  <c r="N2015" i="1"/>
  <c r="O2015" i="1" s="1"/>
  <c r="P2014" i="1"/>
  <c r="N2014" i="1"/>
  <c r="O2014" i="1" s="1"/>
  <c r="P2013" i="1"/>
  <c r="N2013" i="1"/>
  <c r="O2013" i="1" s="1"/>
  <c r="P2012" i="1"/>
  <c r="O2012" i="1"/>
  <c r="N2012" i="1"/>
  <c r="P2011" i="1"/>
  <c r="N2011" i="1"/>
  <c r="O2011" i="1" s="1"/>
  <c r="P2010" i="1"/>
  <c r="N2010" i="1"/>
  <c r="O2010" i="1" s="1"/>
  <c r="P2009" i="1"/>
  <c r="N2009" i="1"/>
  <c r="O2009" i="1" s="1"/>
  <c r="Q2009" i="1" s="1"/>
  <c r="P2008" i="1"/>
  <c r="O2008" i="1"/>
  <c r="N2008" i="1"/>
  <c r="P2007" i="1"/>
  <c r="N2007" i="1"/>
  <c r="O2007" i="1" s="1"/>
  <c r="Q2006" i="1"/>
  <c r="R2006" i="1" s="1"/>
  <c r="P2006" i="1"/>
  <c r="O2006" i="1"/>
  <c r="N2006" i="1"/>
  <c r="P2005" i="1"/>
  <c r="N2005" i="1"/>
  <c r="O2005" i="1" s="1"/>
  <c r="P2004" i="1"/>
  <c r="O2004" i="1"/>
  <c r="N2004" i="1"/>
  <c r="P2003" i="1"/>
  <c r="N2003" i="1"/>
  <c r="O2003" i="1" s="1"/>
  <c r="Q2002" i="1"/>
  <c r="P2002" i="1"/>
  <c r="O2002" i="1"/>
  <c r="R2002" i="1" s="1"/>
  <c r="N2002" i="1"/>
  <c r="P2001" i="1"/>
  <c r="N2001" i="1"/>
  <c r="O2001" i="1" s="1"/>
  <c r="Q2001" i="1" s="1"/>
  <c r="P2000" i="1"/>
  <c r="O2000" i="1"/>
  <c r="N2000" i="1"/>
  <c r="P1999" i="1"/>
  <c r="N1999" i="1"/>
  <c r="O1999" i="1" s="1"/>
  <c r="P1998" i="1"/>
  <c r="N1998" i="1"/>
  <c r="O1998" i="1" s="1"/>
  <c r="P1997" i="1"/>
  <c r="N1997" i="1"/>
  <c r="O1997" i="1" s="1"/>
  <c r="P1996" i="1"/>
  <c r="O1996" i="1"/>
  <c r="N1996" i="1"/>
  <c r="P1995" i="1"/>
  <c r="N1995" i="1"/>
  <c r="O1995" i="1" s="1"/>
  <c r="Q1994" i="1"/>
  <c r="P1994" i="1"/>
  <c r="N1994" i="1"/>
  <c r="O1994" i="1" s="1"/>
  <c r="P1993" i="1"/>
  <c r="N1993" i="1"/>
  <c r="O1993" i="1" s="1"/>
  <c r="Q1993" i="1" s="1"/>
  <c r="P1992" i="1"/>
  <c r="O1992" i="1"/>
  <c r="N1992" i="1"/>
  <c r="P1991" i="1"/>
  <c r="N1991" i="1"/>
  <c r="O1991" i="1" s="1"/>
  <c r="Q1990" i="1"/>
  <c r="R1990" i="1" s="1"/>
  <c r="P1990" i="1"/>
  <c r="O1990" i="1"/>
  <c r="N1990" i="1"/>
  <c r="P1989" i="1"/>
  <c r="N1989" i="1"/>
  <c r="O1989" i="1" s="1"/>
  <c r="P1988" i="1"/>
  <c r="O1988" i="1"/>
  <c r="N1988" i="1"/>
  <c r="P1987" i="1"/>
  <c r="N1987" i="1"/>
  <c r="O1987" i="1" s="1"/>
  <c r="Q1986" i="1"/>
  <c r="P1986" i="1"/>
  <c r="O1986" i="1"/>
  <c r="R1986" i="1" s="1"/>
  <c r="N1986" i="1"/>
  <c r="P1985" i="1"/>
  <c r="O1985" i="1"/>
  <c r="N1985" i="1"/>
  <c r="P1984" i="1"/>
  <c r="O1984" i="1"/>
  <c r="N1984" i="1"/>
  <c r="P1983" i="1"/>
  <c r="N1983" i="1"/>
  <c r="O1983" i="1" s="1"/>
  <c r="Q1982" i="1"/>
  <c r="P1982" i="1"/>
  <c r="N1982" i="1"/>
  <c r="O1982" i="1" s="1"/>
  <c r="P1981" i="1"/>
  <c r="N1981" i="1"/>
  <c r="O1981" i="1" s="1"/>
  <c r="P1980" i="1"/>
  <c r="O1980" i="1"/>
  <c r="N1980" i="1"/>
  <c r="P1979" i="1"/>
  <c r="N1979" i="1"/>
  <c r="O1979" i="1" s="1"/>
  <c r="P1978" i="1"/>
  <c r="N1978" i="1"/>
  <c r="O1978" i="1" s="1"/>
  <c r="P1977" i="1"/>
  <c r="N1977" i="1"/>
  <c r="O1977" i="1" s="1"/>
  <c r="Q1977" i="1" s="1"/>
  <c r="P1976" i="1"/>
  <c r="O1976" i="1"/>
  <c r="N1976" i="1"/>
  <c r="P1975" i="1"/>
  <c r="Q1975" i="1" s="1"/>
  <c r="N1975" i="1"/>
  <c r="O1975" i="1" s="1"/>
  <c r="Q1974" i="1"/>
  <c r="R1974" i="1" s="1"/>
  <c r="P1974" i="1"/>
  <c r="O1974" i="1"/>
  <c r="N1974" i="1"/>
  <c r="P1973" i="1"/>
  <c r="N1973" i="1"/>
  <c r="O1973" i="1" s="1"/>
  <c r="P1972" i="1"/>
  <c r="O1972" i="1"/>
  <c r="N1972" i="1"/>
  <c r="P1971" i="1"/>
  <c r="Q1971" i="1" s="1"/>
  <c r="N1971" i="1"/>
  <c r="O1971" i="1" s="1"/>
  <c r="R1971" i="1" s="1"/>
  <c r="Q1970" i="1"/>
  <c r="P1970" i="1"/>
  <c r="O1970" i="1"/>
  <c r="R1970" i="1" s="1"/>
  <c r="N1970" i="1"/>
  <c r="P1969" i="1"/>
  <c r="N1969" i="1"/>
  <c r="O1969" i="1" s="1"/>
  <c r="Q1968" i="1"/>
  <c r="P1968" i="1"/>
  <c r="O1968" i="1"/>
  <c r="N1968" i="1"/>
  <c r="P1967" i="1"/>
  <c r="N1967" i="1"/>
  <c r="O1967" i="1" s="1"/>
  <c r="P1966" i="1"/>
  <c r="N1966" i="1"/>
  <c r="O1966" i="1" s="1"/>
  <c r="P1965" i="1"/>
  <c r="N1965" i="1"/>
  <c r="O1965" i="1" s="1"/>
  <c r="P1964" i="1"/>
  <c r="O1964" i="1"/>
  <c r="N1964" i="1"/>
  <c r="P1963" i="1"/>
  <c r="N1963" i="1"/>
  <c r="O1963" i="1" s="1"/>
  <c r="P1962" i="1"/>
  <c r="N1962" i="1"/>
  <c r="O1962" i="1" s="1"/>
  <c r="R1961" i="1"/>
  <c r="P1961" i="1"/>
  <c r="N1961" i="1"/>
  <c r="O1961" i="1" s="1"/>
  <c r="Q1961" i="1" s="1"/>
  <c r="P1960" i="1"/>
  <c r="O1960" i="1"/>
  <c r="N1960" i="1"/>
  <c r="P1959" i="1"/>
  <c r="N1959" i="1"/>
  <c r="O1959" i="1" s="1"/>
  <c r="R1958" i="1"/>
  <c r="Q1958" i="1"/>
  <c r="P1958" i="1"/>
  <c r="O1958" i="1"/>
  <c r="N1958" i="1"/>
  <c r="R1957" i="1"/>
  <c r="P1957" i="1"/>
  <c r="N1957" i="1"/>
  <c r="O1957" i="1" s="1"/>
  <c r="Q1957" i="1" s="1"/>
  <c r="P1956" i="1"/>
  <c r="O1956" i="1"/>
  <c r="N1956" i="1"/>
  <c r="P1955" i="1"/>
  <c r="N1955" i="1"/>
  <c r="O1955" i="1" s="1"/>
  <c r="Q1954" i="1"/>
  <c r="P1954" i="1"/>
  <c r="O1954" i="1"/>
  <c r="N1954" i="1"/>
  <c r="P1953" i="1"/>
  <c r="N1953" i="1"/>
  <c r="O1953" i="1" s="1"/>
  <c r="P1952" i="1"/>
  <c r="Q1952" i="1" s="1"/>
  <c r="O1952" i="1"/>
  <c r="N1952" i="1"/>
  <c r="P1951" i="1"/>
  <c r="N1951" i="1"/>
  <c r="O1951" i="1" s="1"/>
  <c r="P1950" i="1"/>
  <c r="N1950" i="1"/>
  <c r="O1950" i="1" s="1"/>
  <c r="P1949" i="1"/>
  <c r="O1949" i="1"/>
  <c r="N1949" i="1"/>
  <c r="P1948" i="1"/>
  <c r="O1948" i="1"/>
  <c r="N1948" i="1"/>
  <c r="P1947" i="1"/>
  <c r="N1947" i="1"/>
  <c r="O1947" i="1" s="1"/>
  <c r="P1946" i="1"/>
  <c r="N1946" i="1"/>
  <c r="O1946" i="1" s="1"/>
  <c r="R1945" i="1"/>
  <c r="P1945" i="1"/>
  <c r="N1945" i="1"/>
  <c r="O1945" i="1" s="1"/>
  <c r="Q1945" i="1" s="1"/>
  <c r="P1944" i="1"/>
  <c r="O1944" i="1"/>
  <c r="N1944" i="1"/>
  <c r="P1943" i="1"/>
  <c r="N1943" i="1"/>
  <c r="O1943" i="1" s="1"/>
  <c r="Q1942" i="1"/>
  <c r="R1942" i="1" s="1"/>
  <c r="P1942" i="1"/>
  <c r="O1942" i="1"/>
  <c r="N1942" i="1"/>
  <c r="P1941" i="1"/>
  <c r="N1941" i="1"/>
  <c r="O1941" i="1" s="1"/>
  <c r="Q1941" i="1" s="1"/>
  <c r="P1940" i="1"/>
  <c r="N1940" i="1"/>
  <c r="O1940" i="1" s="1"/>
  <c r="P1939" i="1"/>
  <c r="Q1939" i="1" s="1"/>
  <c r="N1939" i="1"/>
  <c r="O1939" i="1" s="1"/>
  <c r="Q1938" i="1"/>
  <c r="P1938" i="1"/>
  <c r="O1938" i="1"/>
  <c r="N1938" i="1"/>
  <c r="P1937" i="1"/>
  <c r="N1937" i="1"/>
  <c r="O1937" i="1" s="1"/>
  <c r="P1936" i="1"/>
  <c r="O1936" i="1"/>
  <c r="N1936" i="1"/>
  <c r="P1935" i="1"/>
  <c r="N1935" i="1"/>
  <c r="O1935" i="1" s="1"/>
  <c r="Q1934" i="1"/>
  <c r="P1934" i="1"/>
  <c r="N1934" i="1"/>
  <c r="O1934" i="1" s="1"/>
  <c r="P1933" i="1"/>
  <c r="N1933" i="1"/>
  <c r="O1933" i="1" s="1"/>
  <c r="P1932" i="1"/>
  <c r="O1932" i="1"/>
  <c r="N1932" i="1"/>
  <c r="P1931" i="1"/>
  <c r="N1931" i="1"/>
  <c r="O1931" i="1" s="1"/>
  <c r="P1930" i="1"/>
  <c r="O1930" i="1"/>
  <c r="N1930" i="1"/>
  <c r="P1929" i="1"/>
  <c r="N1929" i="1"/>
  <c r="O1929" i="1" s="1"/>
  <c r="Q1929" i="1" s="1"/>
  <c r="P1928" i="1"/>
  <c r="O1928" i="1"/>
  <c r="N1928" i="1"/>
  <c r="P1927" i="1"/>
  <c r="O1927" i="1"/>
  <c r="N1927" i="1"/>
  <c r="Q1926" i="1"/>
  <c r="R1926" i="1" s="1"/>
  <c r="P1926" i="1"/>
  <c r="O1926" i="1"/>
  <c r="N1926" i="1"/>
  <c r="P1925" i="1"/>
  <c r="N1925" i="1"/>
  <c r="O1925" i="1" s="1"/>
  <c r="Q1925" i="1" s="1"/>
  <c r="P1924" i="1"/>
  <c r="N1924" i="1"/>
  <c r="O1924" i="1" s="1"/>
  <c r="P1923" i="1"/>
  <c r="N1923" i="1"/>
  <c r="O1923" i="1" s="1"/>
  <c r="P1922" i="1"/>
  <c r="O1922" i="1"/>
  <c r="N1922" i="1"/>
  <c r="R1921" i="1"/>
  <c r="P1921" i="1"/>
  <c r="N1921" i="1"/>
  <c r="O1921" i="1" s="1"/>
  <c r="Q1921" i="1" s="1"/>
  <c r="P1920" i="1"/>
  <c r="O1920" i="1"/>
  <c r="N1920" i="1"/>
  <c r="P1919" i="1"/>
  <c r="N1919" i="1"/>
  <c r="O1919" i="1" s="1"/>
  <c r="Q1918" i="1"/>
  <c r="P1918" i="1"/>
  <c r="N1918" i="1"/>
  <c r="O1918" i="1" s="1"/>
  <c r="P1917" i="1"/>
  <c r="N1917" i="1"/>
  <c r="O1917" i="1" s="1"/>
  <c r="P1916" i="1"/>
  <c r="O1916" i="1"/>
  <c r="N1916" i="1"/>
  <c r="P1915" i="1"/>
  <c r="N1915" i="1"/>
  <c r="O1915" i="1" s="1"/>
  <c r="Q1915" i="1" s="1"/>
  <c r="P1914" i="1"/>
  <c r="N1914" i="1"/>
  <c r="O1914" i="1" s="1"/>
  <c r="P1913" i="1"/>
  <c r="N1913" i="1"/>
  <c r="O1913" i="1" s="1"/>
  <c r="P1912" i="1"/>
  <c r="O1912" i="1"/>
  <c r="N1912" i="1"/>
  <c r="P1911" i="1"/>
  <c r="N1911" i="1"/>
  <c r="O1911" i="1" s="1"/>
  <c r="Q1910" i="1"/>
  <c r="R1910" i="1" s="1"/>
  <c r="P1910" i="1"/>
  <c r="O1910" i="1"/>
  <c r="N1910" i="1"/>
  <c r="P1909" i="1"/>
  <c r="N1909" i="1"/>
  <c r="O1909" i="1" s="1"/>
  <c r="P1908" i="1"/>
  <c r="N1908" i="1"/>
  <c r="O1908" i="1" s="1"/>
  <c r="P1907" i="1"/>
  <c r="N1907" i="1"/>
  <c r="O1907" i="1" s="1"/>
  <c r="Q1906" i="1"/>
  <c r="P1906" i="1"/>
  <c r="O1906" i="1"/>
  <c r="N1906" i="1"/>
  <c r="P1905" i="1"/>
  <c r="O1905" i="1"/>
  <c r="Q1905" i="1" s="1"/>
  <c r="N1905" i="1"/>
  <c r="P1904" i="1"/>
  <c r="O1904" i="1"/>
  <c r="Q1904" i="1" s="1"/>
  <c r="R1904" i="1" s="1"/>
  <c r="N1904" i="1"/>
  <c r="P1903" i="1"/>
  <c r="N1903" i="1"/>
  <c r="O1903" i="1" s="1"/>
  <c r="Q1902" i="1"/>
  <c r="P1902" i="1"/>
  <c r="N1902" i="1"/>
  <c r="O1902" i="1" s="1"/>
  <c r="P1901" i="1"/>
  <c r="N1901" i="1"/>
  <c r="O1901" i="1" s="1"/>
  <c r="P1900" i="1"/>
  <c r="O1900" i="1"/>
  <c r="N1900" i="1"/>
  <c r="P1899" i="1"/>
  <c r="N1899" i="1"/>
  <c r="O1899" i="1" s="1"/>
  <c r="Q1899" i="1" s="1"/>
  <c r="P1898" i="1"/>
  <c r="O1898" i="1"/>
  <c r="N1898" i="1"/>
  <c r="P1897" i="1"/>
  <c r="N1897" i="1"/>
  <c r="O1897" i="1" s="1"/>
  <c r="Q1897" i="1" s="1"/>
  <c r="Q1896" i="1"/>
  <c r="P1896" i="1"/>
  <c r="O1896" i="1"/>
  <c r="N1896" i="1"/>
  <c r="P1895" i="1"/>
  <c r="N1895" i="1"/>
  <c r="O1895" i="1" s="1"/>
  <c r="Q1894" i="1"/>
  <c r="R1894" i="1" s="1"/>
  <c r="P1894" i="1"/>
  <c r="O1894" i="1"/>
  <c r="N1894" i="1"/>
  <c r="P1893" i="1"/>
  <c r="N1893" i="1"/>
  <c r="O1893" i="1" s="1"/>
  <c r="P1892" i="1"/>
  <c r="O1892" i="1"/>
  <c r="N1892" i="1"/>
  <c r="R1891" i="1"/>
  <c r="P1891" i="1"/>
  <c r="N1891" i="1"/>
  <c r="O1891" i="1" s="1"/>
  <c r="Q1891" i="1" s="1"/>
  <c r="P1890" i="1"/>
  <c r="O1890" i="1"/>
  <c r="N1890" i="1"/>
  <c r="P1889" i="1"/>
  <c r="N1889" i="1"/>
  <c r="O1889" i="1" s="1"/>
  <c r="P1888" i="1"/>
  <c r="Q1888" i="1" s="1"/>
  <c r="R1888" i="1" s="1"/>
  <c r="O1888" i="1"/>
  <c r="N1888" i="1"/>
  <c r="P1887" i="1"/>
  <c r="N1887" i="1"/>
  <c r="O1887" i="1" s="1"/>
  <c r="P1886" i="1"/>
  <c r="N1886" i="1"/>
  <c r="O1886" i="1" s="1"/>
  <c r="P1885" i="1"/>
  <c r="N1885" i="1"/>
  <c r="O1885" i="1" s="1"/>
  <c r="P1884" i="1"/>
  <c r="O1884" i="1"/>
  <c r="N1884" i="1"/>
  <c r="P1883" i="1"/>
  <c r="N1883" i="1"/>
  <c r="O1883" i="1" s="1"/>
  <c r="P1882" i="1"/>
  <c r="N1882" i="1"/>
  <c r="O1882" i="1" s="1"/>
  <c r="P1881" i="1"/>
  <c r="N1881" i="1"/>
  <c r="O1881" i="1" s="1"/>
  <c r="Q1881" i="1" s="1"/>
  <c r="P1880" i="1"/>
  <c r="O1880" i="1"/>
  <c r="N1880" i="1"/>
  <c r="P1879" i="1"/>
  <c r="N1879" i="1"/>
  <c r="O1879" i="1" s="1"/>
  <c r="Q1878" i="1"/>
  <c r="R1878" i="1" s="1"/>
  <c r="P1878" i="1"/>
  <c r="O1878" i="1"/>
  <c r="N1878" i="1"/>
  <c r="P1877" i="1"/>
  <c r="N1877" i="1"/>
  <c r="O1877" i="1" s="1"/>
  <c r="P1876" i="1"/>
  <c r="N1876" i="1"/>
  <c r="O1876" i="1" s="1"/>
  <c r="Q1875" i="1"/>
  <c r="R1875" i="1" s="1"/>
  <c r="P1875" i="1"/>
  <c r="N1875" i="1"/>
  <c r="O1875" i="1" s="1"/>
  <c r="P1874" i="1"/>
  <c r="O1874" i="1"/>
  <c r="N1874" i="1"/>
  <c r="P1873" i="1"/>
  <c r="O1873" i="1"/>
  <c r="N1873" i="1"/>
  <c r="P1872" i="1"/>
  <c r="O1872" i="1"/>
  <c r="N1872" i="1"/>
  <c r="P1871" i="1"/>
  <c r="N1871" i="1"/>
  <c r="O1871" i="1" s="1"/>
  <c r="P1870" i="1"/>
  <c r="N1870" i="1"/>
  <c r="O1870" i="1" s="1"/>
  <c r="P1869" i="1"/>
  <c r="O1869" i="1"/>
  <c r="N1869" i="1"/>
  <c r="P1868" i="1"/>
  <c r="O1868" i="1"/>
  <c r="N1868" i="1"/>
  <c r="P1867" i="1"/>
  <c r="N1867" i="1"/>
  <c r="O1867" i="1" s="1"/>
  <c r="P1866" i="1"/>
  <c r="N1866" i="1"/>
  <c r="O1866" i="1" s="1"/>
  <c r="P1865" i="1"/>
  <c r="N1865" i="1"/>
  <c r="O1865" i="1" s="1"/>
  <c r="Q1865" i="1" s="1"/>
  <c r="P1864" i="1"/>
  <c r="O1864" i="1"/>
  <c r="N1864" i="1"/>
  <c r="P1863" i="1"/>
  <c r="O1863" i="1"/>
  <c r="N1863" i="1"/>
  <c r="Q1862" i="1"/>
  <c r="R1862" i="1" s="1"/>
  <c r="P1862" i="1"/>
  <c r="O1862" i="1"/>
  <c r="N1862" i="1"/>
  <c r="P1861" i="1"/>
  <c r="N1861" i="1"/>
  <c r="O1861" i="1" s="1"/>
  <c r="P1860" i="1"/>
  <c r="N1860" i="1"/>
  <c r="O1860" i="1" s="1"/>
  <c r="P1859" i="1"/>
  <c r="Q1859" i="1" s="1"/>
  <c r="R1859" i="1" s="1"/>
  <c r="N1859" i="1"/>
  <c r="O1859" i="1" s="1"/>
  <c r="P1858" i="1"/>
  <c r="O1858" i="1"/>
  <c r="N1858" i="1"/>
  <c r="P1857" i="1"/>
  <c r="O1857" i="1"/>
  <c r="Q1857" i="1" s="1"/>
  <c r="N1857" i="1"/>
  <c r="Q1856" i="1"/>
  <c r="P1856" i="1"/>
  <c r="O1856" i="1"/>
  <c r="R1856" i="1" s="1"/>
  <c r="N1856" i="1"/>
  <c r="P1855" i="1"/>
  <c r="N1855" i="1"/>
  <c r="O1855" i="1" s="1"/>
  <c r="P1854" i="1"/>
  <c r="N1854" i="1"/>
  <c r="O1854" i="1" s="1"/>
  <c r="P1853" i="1"/>
  <c r="O1853" i="1"/>
  <c r="N1853" i="1"/>
  <c r="P1852" i="1"/>
  <c r="O1852" i="1"/>
  <c r="N1852" i="1"/>
  <c r="P1851" i="1"/>
  <c r="N1851" i="1"/>
  <c r="O1851" i="1" s="1"/>
  <c r="P1850" i="1"/>
  <c r="N1850" i="1"/>
  <c r="O1850" i="1" s="1"/>
  <c r="Q1850" i="1" s="1"/>
  <c r="P1849" i="1"/>
  <c r="N1849" i="1"/>
  <c r="O1849" i="1" s="1"/>
  <c r="Q1849" i="1" s="1"/>
  <c r="Q1848" i="1"/>
  <c r="P1848" i="1"/>
  <c r="O1848" i="1"/>
  <c r="N1848" i="1"/>
  <c r="P1847" i="1"/>
  <c r="N1847" i="1"/>
  <c r="O1847" i="1" s="1"/>
  <c r="R1846" i="1"/>
  <c r="Q1846" i="1"/>
  <c r="P1846" i="1"/>
  <c r="O1846" i="1"/>
  <c r="N1846" i="1"/>
  <c r="P1845" i="1"/>
  <c r="N1845" i="1"/>
  <c r="O1845" i="1" s="1"/>
  <c r="P1844" i="1"/>
  <c r="N1844" i="1"/>
  <c r="O1844" i="1" s="1"/>
  <c r="P1843" i="1"/>
  <c r="Q1843" i="1" s="1"/>
  <c r="R1843" i="1" s="1"/>
  <c r="N1843" i="1"/>
  <c r="O1843" i="1" s="1"/>
  <c r="P1842" i="1"/>
  <c r="O1842" i="1"/>
  <c r="N1842" i="1"/>
  <c r="P1841" i="1"/>
  <c r="O1841" i="1"/>
  <c r="N1841" i="1"/>
  <c r="P1840" i="1"/>
  <c r="O1840" i="1"/>
  <c r="N1840" i="1"/>
  <c r="P1839" i="1"/>
  <c r="O1839" i="1"/>
  <c r="N1839" i="1"/>
  <c r="P1838" i="1"/>
  <c r="N1838" i="1"/>
  <c r="O1838" i="1" s="1"/>
  <c r="P1837" i="1"/>
  <c r="N1837" i="1"/>
  <c r="O1837" i="1" s="1"/>
  <c r="P1836" i="1"/>
  <c r="N1836" i="1"/>
  <c r="O1836" i="1" s="1"/>
  <c r="P1835" i="1"/>
  <c r="N1835" i="1"/>
  <c r="O1835" i="1" s="1"/>
  <c r="P1834" i="1"/>
  <c r="N1834" i="1"/>
  <c r="O1834" i="1" s="1"/>
  <c r="P1833" i="1"/>
  <c r="N1833" i="1"/>
  <c r="O1833" i="1" s="1"/>
  <c r="Q1833" i="1" s="1"/>
  <c r="P1832" i="1"/>
  <c r="N1832" i="1"/>
  <c r="O1832" i="1" s="1"/>
  <c r="P1831" i="1"/>
  <c r="O1831" i="1"/>
  <c r="N1831" i="1"/>
  <c r="Q1830" i="1"/>
  <c r="R1830" i="1" s="1"/>
  <c r="P1830" i="1"/>
  <c r="O1830" i="1"/>
  <c r="N1830" i="1"/>
  <c r="P1829" i="1"/>
  <c r="O1829" i="1"/>
  <c r="N1829" i="1"/>
  <c r="P1828" i="1"/>
  <c r="N1828" i="1"/>
  <c r="O1828" i="1" s="1"/>
  <c r="Q1828" i="1" s="1"/>
  <c r="P1827" i="1"/>
  <c r="N1827" i="1"/>
  <c r="O1827" i="1" s="1"/>
  <c r="P1826" i="1"/>
  <c r="O1826" i="1"/>
  <c r="N1826" i="1"/>
  <c r="P1825" i="1"/>
  <c r="O1825" i="1"/>
  <c r="N1825" i="1"/>
  <c r="P1824" i="1"/>
  <c r="O1824" i="1"/>
  <c r="N1824" i="1"/>
  <c r="P1823" i="1"/>
  <c r="O1823" i="1"/>
  <c r="N1823" i="1"/>
  <c r="P1822" i="1"/>
  <c r="N1822" i="1"/>
  <c r="O1822" i="1" s="1"/>
  <c r="P1821" i="1"/>
  <c r="N1821" i="1"/>
  <c r="O1821" i="1" s="1"/>
  <c r="P1820" i="1"/>
  <c r="N1820" i="1"/>
  <c r="O1820" i="1" s="1"/>
  <c r="P1819" i="1"/>
  <c r="N1819" i="1"/>
  <c r="O1819" i="1" s="1"/>
  <c r="P1818" i="1"/>
  <c r="N1818" i="1"/>
  <c r="O1818" i="1" s="1"/>
  <c r="P1817" i="1"/>
  <c r="N1817" i="1"/>
  <c r="O1817" i="1" s="1"/>
  <c r="Q1817" i="1" s="1"/>
  <c r="P1816" i="1"/>
  <c r="N1816" i="1"/>
  <c r="O1816" i="1" s="1"/>
  <c r="P1815" i="1"/>
  <c r="N1815" i="1"/>
  <c r="O1815" i="1" s="1"/>
  <c r="R1814" i="1"/>
  <c r="Q1814" i="1"/>
  <c r="P1814" i="1"/>
  <c r="O1814" i="1"/>
  <c r="N1814" i="1"/>
  <c r="P1813" i="1"/>
  <c r="N1813" i="1"/>
  <c r="O1813" i="1" s="1"/>
  <c r="P1812" i="1"/>
  <c r="O1812" i="1"/>
  <c r="N1812" i="1"/>
  <c r="P1811" i="1"/>
  <c r="N1811" i="1"/>
  <c r="O1811" i="1" s="1"/>
  <c r="P1810" i="1"/>
  <c r="N1810" i="1"/>
  <c r="O1810" i="1" s="1"/>
  <c r="P1809" i="1"/>
  <c r="O1809" i="1"/>
  <c r="N1809" i="1"/>
  <c r="Q1808" i="1"/>
  <c r="P1808" i="1"/>
  <c r="O1808" i="1"/>
  <c r="R1808" i="1" s="1"/>
  <c r="N1808" i="1"/>
  <c r="P1807" i="1"/>
  <c r="O1807" i="1"/>
  <c r="N1807" i="1"/>
  <c r="P1806" i="1"/>
  <c r="N1806" i="1"/>
  <c r="O1806" i="1" s="1"/>
  <c r="P1805" i="1"/>
  <c r="N1805" i="1"/>
  <c r="O1805" i="1" s="1"/>
  <c r="P1804" i="1"/>
  <c r="N1804" i="1"/>
  <c r="O1804" i="1" s="1"/>
  <c r="P1803" i="1"/>
  <c r="N1803" i="1"/>
  <c r="O1803" i="1" s="1"/>
  <c r="P1802" i="1"/>
  <c r="N1802" i="1"/>
  <c r="O1802" i="1" s="1"/>
  <c r="P1801" i="1"/>
  <c r="N1801" i="1"/>
  <c r="O1801" i="1" s="1"/>
  <c r="Q1801" i="1" s="1"/>
  <c r="P1800" i="1"/>
  <c r="N1800" i="1"/>
  <c r="O1800" i="1" s="1"/>
  <c r="P1799" i="1"/>
  <c r="O1799" i="1"/>
  <c r="N1799" i="1"/>
  <c r="Q1798" i="1"/>
  <c r="R1798" i="1" s="1"/>
  <c r="P1798" i="1"/>
  <c r="O1798" i="1"/>
  <c r="N1798" i="1"/>
  <c r="P1797" i="1"/>
  <c r="O1797" i="1"/>
  <c r="N1797" i="1"/>
  <c r="P1796" i="1"/>
  <c r="N1796" i="1"/>
  <c r="O1796" i="1" s="1"/>
  <c r="Q1796" i="1" s="1"/>
  <c r="P1795" i="1"/>
  <c r="N1795" i="1"/>
  <c r="O1795" i="1" s="1"/>
  <c r="P1794" i="1"/>
  <c r="O1794" i="1"/>
  <c r="N1794" i="1"/>
  <c r="P1793" i="1"/>
  <c r="O1793" i="1"/>
  <c r="N1793" i="1"/>
  <c r="P1792" i="1"/>
  <c r="O1792" i="1"/>
  <c r="N1792" i="1"/>
  <c r="P1791" i="1"/>
  <c r="O1791" i="1"/>
  <c r="N1791" i="1"/>
  <c r="P1790" i="1"/>
  <c r="N1790" i="1"/>
  <c r="O1790" i="1" s="1"/>
  <c r="P1789" i="1"/>
  <c r="N1789" i="1"/>
  <c r="O1789" i="1" s="1"/>
  <c r="P1788" i="1"/>
  <c r="N1788" i="1"/>
  <c r="O1788" i="1" s="1"/>
  <c r="P1787" i="1"/>
  <c r="N1787" i="1"/>
  <c r="O1787" i="1" s="1"/>
  <c r="P1786" i="1"/>
  <c r="N1786" i="1"/>
  <c r="O1786" i="1" s="1"/>
  <c r="P1785" i="1"/>
  <c r="N1785" i="1"/>
  <c r="O1785" i="1" s="1"/>
  <c r="Q1785" i="1" s="1"/>
  <c r="P1784" i="1"/>
  <c r="N1784" i="1"/>
  <c r="O1784" i="1" s="1"/>
  <c r="P1783" i="1"/>
  <c r="O1783" i="1"/>
  <c r="N1783" i="1"/>
  <c r="R1782" i="1"/>
  <c r="Q1782" i="1"/>
  <c r="P1782" i="1"/>
  <c r="O1782" i="1"/>
  <c r="N1782" i="1"/>
  <c r="P1781" i="1"/>
  <c r="N1781" i="1"/>
  <c r="O1781" i="1" s="1"/>
  <c r="P1780" i="1"/>
  <c r="O1780" i="1"/>
  <c r="N1780" i="1"/>
  <c r="P1779" i="1"/>
  <c r="N1779" i="1"/>
  <c r="O1779" i="1" s="1"/>
  <c r="P1778" i="1"/>
  <c r="N1778" i="1"/>
  <c r="O1778" i="1" s="1"/>
  <c r="P1777" i="1"/>
  <c r="O1777" i="1"/>
  <c r="N1777" i="1"/>
  <c r="Q1776" i="1"/>
  <c r="P1776" i="1"/>
  <c r="O1776" i="1"/>
  <c r="R1776" i="1" s="1"/>
  <c r="N1776" i="1"/>
  <c r="P1775" i="1"/>
  <c r="O1775" i="1"/>
  <c r="N1775" i="1"/>
  <c r="P1774" i="1"/>
  <c r="N1774" i="1"/>
  <c r="O1774" i="1" s="1"/>
  <c r="P1773" i="1"/>
  <c r="N1773" i="1"/>
  <c r="O1773" i="1" s="1"/>
  <c r="P1772" i="1"/>
  <c r="N1772" i="1"/>
  <c r="O1772" i="1" s="1"/>
  <c r="P1771" i="1"/>
  <c r="N1771" i="1"/>
  <c r="O1771" i="1" s="1"/>
  <c r="P1770" i="1"/>
  <c r="N1770" i="1"/>
  <c r="O1770" i="1" s="1"/>
  <c r="P1769" i="1"/>
  <c r="N1769" i="1"/>
  <c r="O1769" i="1" s="1"/>
  <c r="Q1769" i="1" s="1"/>
  <c r="P1768" i="1"/>
  <c r="N1768" i="1"/>
  <c r="O1768" i="1" s="1"/>
  <c r="P1767" i="1"/>
  <c r="O1767" i="1"/>
  <c r="N1767" i="1"/>
  <c r="Q1766" i="1"/>
  <c r="R1766" i="1" s="1"/>
  <c r="P1766" i="1"/>
  <c r="O1766" i="1"/>
  <c r="N1766" i="1"/>
  <c r="P1765" i="1"/>
  <c r="O1765" i="1"/>
  <c r="Q1765" i="1" s="1"/>
  <c r="N1765" i="1"/>
  <c r="R1764" i="1"/>
  <c r="P1764" i="1"/>
  <c r="N1764" i="1"/>
  <c r="O1764" i="1" s="1"/>
  <c r="Q1764" i="1" s="1"/>
  <c r="P1763" i="1"/>
  <c r="N1763" i="1"/>
  <c r="O1763" i="1" s="1"/>
  <c r="P1762" i="1"/>
  <c r="O1762" i="1"/>
  <c r="N1762" i="1"/>
  <c r="P1761" i="1"/>
  <c r="O1761" i="1"/>
  <c r="N1761" i="1"/>
  <c r="P1760" i="1"/>
  <c r="O1760" i="1"/>
  <c r="N1760" i="1"/>
  <c r="P1759" i="1"/>
  <c r="O1759" i="1"/>
  <c r="N1759" i="1"/>
  <c r="Q1758" i="1"/>
  <c r="P1758" i="1"/>
  <c r="N1758" i="1"/>
  <c r="O1758" i="1" s="1"/>
  <c r="P1757" i="1"/>
  <c r="N1757" i="1"/>
  <c r="O1757" i="1" s="1"/>
  <c r="P1756" i="1"/>
  <c r="N1756" i="1"/>
  <c r="O1756" i="1" s="1"/>
  <c r="P1755" i="1"/>
  <c r="N1755" i="1"/>
  <c r="O1755" i="1" s="1"/>
  <c r="P1754" i="1"/>
  <c r="N1754" i="1"/>
  <c r="O1754" i="1" s="1"/>
  <c r="P1753" i="1"/>
  <c r="N1753" i="1"/>
  <c r="O1753" i="1" s="1"/>
  <c r="Q1753" i="1" s="1"/>
  <c r="P1752" i="1"/>
  <c r="N1752" i="1"/>
  <c r="O1752" i="1" s="1"/>
  <c r="P1751" i="1"/>
  <c r="O1751" i="1"/>
  <c r="N1751" i="1"/>
  <c r="R1750" i="1"/>
  <c r="Q1750" i="1"/>
  <c r="P1750" i="1"/>
  <c r="O1750" i="1"/>
  <c r="N1750" i="1"/>
  <c r="P1749" i="1"/>
  <c r="N1749" i="1"/>
  <c r="O1749" i="1" s="1"/>
  <c r="P1748" i="1"/>
  <c r="O1748" i="1"/>
  <c r="N1748" i="1"/>
  <c r="P1747" i="1"/>
  <c r="N1747" i="1"/>
  <c r="O1747" i="1" s="1"/>
  <c r="P1746" i="1"/>
  <c r="N1746" i="1"/>
  <c r="O1746" i="1" s="1"/>
  <c r="P1745" i="1"/>
  <c r="O1745" i="1"/>
  <c r="N1745" i="1"/>
  <c r="Q1744" i="1"/>
  <c r="P1744" i="1"/>
  <c r="O1744" i="1"/>
  <c r="R1744" i="1" s="1"/>
  <c r="N1744" i="1"/>
  <c r="P1743" i="1"/>
  <c r="O1743" i="1"/>
  <c r="N1743" i="1"/>
  <c r="P1742" i="1"/>
  <c r="N1742" i="1"/>
  <c r="O1742" i="1" s="1"/>
  <c r="P1741" i="1"/>
  <c r="N1741" i="1"/>
  <c r="O1741" i="1" s="1"/>
  <c r="P1740" i="1"/>
  <c r="N1740" i="1"/>
  <c r="O1740" i="1" s="1"/>
  <c r="P1739" i="1"/>
  <c r="N1739" i="1"/>
  <c r="O1739" i="1" s="1"/>
  <c r="P1738" i="1"/>
  <c r="N1738" i="1"/>
  <c r="O1738" i="1" s="1"/>
  <c r="P1737" i="1"/>
  <c r="N1737" i="1"/>
  <c r="O1737" i="1" s="1"/>
  <c r="P1736" i="1"/>
  <c r="N1736" i="1"/>
  <c r="O1736" i="1" s="1"/>
  <c r="P1735" i="1"/>
  <c r="O1735" i="1"/>
  <c r="N1735" i="1"/>
  <c r="Q1734" i="1"/>
  <c r="R1734" i="1" s="1"/>
  <c r="P1734" i="1"/>
  <c r="O1734" i="1"/>
  <c r="N1734" i="1"/>
  <c r="P1733" i="1"/>
  <c r="O1733" i="1"/>
  <c r="Q1733" i="1" s="1"/>
  <c r="N1733" i="1"/>
  <c r="P1732" i="1"/>
  <c r="N1732" i="1"/>
  <c r="O1732" i="1" s="1"/>
  <c r="Q1732" i="1" s="1"/>
  <c r="P1731" i="1"/>
  <c r="N1731" i="1"/>
  <c r="O1731" i="1" s="1"/>
  <c r="P1730" i="1"/>
  <c r="O1730" i="1"/>
  <c r="N1730" i="1"/>
  <c r="Q1729" i="1"/>
  <c r="P1729" i="1"/>
  <c r="O1729" i="1"/>
  <c r="N1729" i="1"/>
  <c r="P1728" i="1"/>
  <c r="O1728" i="1"/>
  <c r="N1728" i="1"/>
  <c r="P1727" i="1"/>
  <c r="O1727" i="1"/>
  <c r="N1727" i="1"/>
  <c r="P1726" i="1"/>
  <c r="N1726" i="1"/>
  <c r="O1726" i="1" s="1"/>
  <c r="P1725" i="1"/>
  <c r="N1725" i="1"/>
  <c r="O1725" i="1" s="1"/>
  <c r="P1724" i="1"/>
  <c r="N1724" i="1"/>
  <c r="O1724" i="1" s="1"/>
  <c r="P1723" i="1"/>
  <c r="N1723" i="1"/>
  <c r="O1723" i="1" s="1"/>
  <c r="P1722" i="1"/>
  <c r="N1722" i="1"/>
  <c r="O1722" i="1" s="1"/>
  <c r="P1721" i="1"/>
  <c r="N1721" i="1"/>
  <c r="O1721" i="1" s="1"/>
  <c r="Q1721" i="1" s="1"/>
  <c r="P1720" i="1"/>
  <c r="N1720" i="1"/>
  <c r="O1720" i="1" s="1"/>
  <c r="P1719" i="1"/>
  <c r="O1719" i="1"/>
  <c r="N1719" i="1"/>
  <c r="R1718" i="1"/>
  <c r="Q1718" i="1"/>
  <c r="P1718" i="1"/>
  <c r="O1718" i="1"/>
  <c r="N1718" i="1"/>
  <c r="P1717" i="1"/>
  <c r="N1717" i="1"/>
  <c r="O1717" i="1" s="1"/>
  <c r="P1716" i="1"/>
  <c r="O1716" i="1"/>
  <c r="N1716" i="1"/>
  <c r="P1715" i="1"/>
  <c r="N1715" i="1"/>
  <c r="O1715" i="1" s="1"/>
  <c r="P1714" i="1"/>
  <c r="N1714" i="1"/>
  <c r="O1714" i="1" s="1"/>
  <c r="P1713" i="1"/>
  <c r="O1713" i="1"/>
  <c r="N1713" i="1"/>
  <c r="Q1712" i="1"/>
  <c r="P1712" i="1"/>
  <c r="O1712" i="1"/>
  <c r="R1712" i="1" s="1"/>
  <c r="N1712" i="1"/>
  <c r="P1711" i="1"/>
  <c r="O1711" i="1"/>
  <c r="N1711" i="1"/>
  <c r="P1710" i="1"/>
  <c r="N1710" i="1"/>
  <c r="O1710" i="1" s="1"/>
  <c r="P1709" i="1"/>
  <c r="O1709" i="1"/>
  <c r="N1709" i="1"/>
  <c r="P1708" i="1"/>
  <c r="N1708" i="1"/>
  <c r="O1708" i="1" s="1"/>
  <c r="P1707" i="1"/>
  <c r="O1707" i="1"/>
  <c r="N1707" i="1"/>
  <c r="P1706" i="1"/>
  <c r="O1706" i="1"/>
  <c r="N1706" i="1"/>
  <c r="P1705" i="1"/>
  <c r="N1705" i="1"/>
  <c r="O1705" i="1" s="1"/>
  <c r="P1704" i="1"/>
  <c r="Q1704" i="1" s="1"/>
  <c r="R1704" i="1" s="1"/>
  <c r="O1704" i="1"/>
  <c r="N1704" i="1"/>
  <c r="P1703" i="1"/>
  <c r="N1703" i="1"/>
  <c r="O1703" i="1" s="1"/>
  <c r="P1702" i="1"/>
  <c r="O1702" i="1"/>
  <c r="N1702" i="1"/>
  <c r="P1701" i="1"/>
  <c r="O1701" i="1"/>
  <c r="N1701" i="1"/>
  <c r="P1700" i="1"/>
  <c r="N1700" i="1"/>
  <c r="O1700" i="1" s="1"/>
  <c r="Q1699" i="1"/>
  <c r="R1699" i="1" s="1"/>
  <c r="P1699" i="1"/>
  <c r="N1699" i="1"/>
  <c r="O1699" i="1" s="1"/>
  <c r="P1698" i="1"/>
  <c r="N1698" i="1"/>
  <c r="O1698" i="1" s="1"/>
  <c r="Q1697" i="1"/>
  <c r="P1697" i="1"/>
  <c r="N1697" i="1"/>
  <c r="O1697" i="1" s="1"/>
  <c r="P1696" i="1"/>
  <c r="O1696" i="1"/>
  <c r="N1696" i="1"/>
  <c r="P1695" i="1"/>
  <c r="N1695" i="1"/>
  <c r="O1695" i="1" s="1"/>
  <c r="P1694" i="1"/>
  <c r="O1694" i="1"/>
  <c r="N1694" i="1"/>
  <c r="P1693" i="1"/>
  <c r="N1693" i="1"/>
  <c r="O1693" i="1" s="1"/>
  <c r="Q1692" i="1"/>
  <c r="P1692" i="1"/>
  <c r="O1692" i="1"/>
  <c r="N1692" i="1"/>
  <c r="P1691" i="1"/>
  <c r="O1691" i="1"/>
  <c r="N1691" i="1"/>
  <c r="R1690" i="1"/>
  <c r="P1690" i="1"/>
  <c r="N1690" i="1"/>
  <c r="O1690" i="1" s="1"/>
  <c r="Q1690" i="1" s="1"/>
  <c r="P1689" i="1"/>
  <c r="N1689" i="1"/>
  <c r="O1689" i="1" s="1"/>
  <c r="Q1689" i="1" s="1"/>
  <c r="P1688" i="1"/>
  <c r="O1688" i="1"/>
  <c r="N1688" i="1"/>
  <c r="Q1687" i="1"/>
  <c r="P1687" i="1"/>
  <c r="O1687" i="1"/>
  <c r="N1687" i="1"/>
  <c r="P1686" i="1"/>
  <c r="O1686" i="1"/>
  <c r="N1686" i="1"/>
  <c r="P1685" i="1"/>
  <c r="N1685" i="1"/>
  <c r="O1685" i="1" s="1"/>
  <c r="P1684" i="1"/>
  <c r="N1684" i="1"/>
  <c r="O1684" i="1" s="1"/>
  <c r="Q1684" i="1" s="1"/>
  <c r="P1683" i="1"/>
  <c r="N1683" i="1"/>
  <c r="O1683" i="1" s="1"/>
  <c r="P1682" i="1"/>
  <c r="N1682" i="1"/>
  <c r="O1682" i="1" s="1"/>
  <c r="P1681" i="1"/>
  <c r="O1681" i="1"/>
  <c r="N1681" i="1"/>
  <c r="P1680" i="1"/>
  <c r="Q1680" i="1" s="1"/>
  <c r="R1680" i="1" s="1"/>
  <c r="O1680" i="1"/>
  <c r="N1680" i="1"/>
  <c r="P1679" i="1"/>
  <c r="N1679" i="1"/>
  <c r="O1679" i="1" s="1"/>
  <c r="P1678" i="1"/>
  <c r="N1678" i="1"/>
  <c r="O1678" i="1" s="1"/>
  <c r="P1677" i="1"/>
  <c r="N1677" i="1"/>
  <c r="O1677" i="1" s="1"/>
  <c r="P1676" i="1"/>
  <c r="N1676" i="1"/>
  <c r="O1676" i="1" s="1"/>
  <c r="P1675" i="1"/>
  <c r="O1675" i="1"/>
  <c r="N1675" i="1"/>
  <c r="P1674" i="1"/>
  <c r="N1674" i="1"/>
  <c r="O1674" i="1" s="1"/>
  <c r="P1673" i="1"/>
  <c r="O1673" i="1"/>
  <c r="N1673" i="1"/>
  <c r="P1672" i="1"/>
  <c r="N1672" i="1"/>
  <c r="O1672" i="1" s="1"/>
  <c r="P1671" i="1"/>
  <c r="O1671" i="1"/>
  <c r="Q1671" i="1" s="1"/>
  <c r="N1671" i="1"/>
  <c r="P1670" i="1"/>
  <c r="O1670" i="1"/>
  <c r="N1670" i="1"/>
  <c r="P1669" i="1"/>
  <c r="N1669" i="1"/>
  <c r="O1669" i="1" s="1"/>
  <c r="P1668" i="1"/>
  <c r="N1668" i="1"/>
  <c r="O1668" i="1" s="1"/>
  <c r="P1667" i="1"/>
  <c r="N1667" i="1"/>
  <c r="O1667" i="1" s="1"/>
  <c r="P1666" i="1"/>
  <c r="N1666" i="1"/>
  <c r="O1666" i="1" s="1"/>
  <c r="Q1666" i="1" s="1"/>
  <c r="P1665" i="1"/>
  <c r="O1665" i="1"/>
  <c r="N1665" i="1"/>
  <c r="P1664" i="1"/>
  <c r="Q1664" i="1" s="1"/>
  <c r="O1664" i="1"/>
  <c r="N1664" i="1"/>
  <c r="P1663" i="1"/>
  <c r="N1663" i="1"/>
  <c r="O1663" i="1" s="1"/>
  <c r="P1662" i="1"/>
  <c r="N1662" i="1"/>
  <c r="O1662" i="1" s="1"/>
  <c r="P1661" i="1"/>
  <c r="N1661" i="1"/>
  <c r="O1661" i="1" s="1"/>
  <c r="P1660" i="1"/>
  <c r="Q1660" i="1" s="1"/>
  <c r="R1660" i="1" s="1"/>
  <c r="O1660" i="1"/>
  <c r="N1660" i="1"/>
  <c r="P1659" i="1"/>
  <c r="N1659" i="1"/>
  <c r="O1659" i="1" s="1"/>
  <c r="P1658" i="1"/>
  <c r="N1658" i="1"/>
  <c r="O1658" i="1" s="1"/>
  <c r="Q1657" i="1"/>
  <c r="P1657" i="1"/>
  <c r="O1657" i="1"/>
  <c r="R1657" i="1" s="1"/>
  <c r="N1657" i="1"/>
  <c r="P1656" i="1"/>
  <c r="N1656" i="1"/>
  <c r="O1656" i="1" s="1"/>
  <c r="P1655" i="1"/>
  <c r="N1655" i="1"/>
  <c r="O1655" i="1" s="1"/>
  <c r="P1654" i="1"/>
  <c r="N1654" i="1"/>
  <c r="O1654" i="1" s="1"/>
  <c r="P1653" i="1"/>
  <c r="O1653" i="1"/>
  <c r="N1653" i="1"/>
  <c r="P1652" i="1"/>
  <c r="Q1652" i="1" s="1"/>
  <c r="O1652" i="1"/>
  <c r="N1652" i="1"/>
  <c r="P1651" i="1"/>
  <c r="N1651" i="1"/>
  <c r="O1651" i="1" s="1"/>
  <c r="P1650" i="1"/>
  <c r="N1650" i="1"/>
  <c r="O1650" i="1" s="1"/>
  <c r="Q1650" i="1" s="1"/>
  <c r="P1649" i="1"/>
  <c r="O1649" i="1"/>
  <c r="N1649" i="1"/>
  <c r="P1648" i="1"/>
  <c r="O1648" i="1"/>
  <c r="N1648" i="1"/>
  <c r="P1647" i="1"/>
  <c r="N1647" i="1"/>
  <c r="O1647" i="1" s="1"/>
  <c r="P1646" i="1"/>
  <c r="N1646" i="1"/>
  <c r="O1646" i="1" s="1"/>
  <c r="P1645" i="1"/>
  <c r="N1645" i="1"/>
  <c r="O1645" i="1" s="1"/>
  <c r="P1644" i="1"/>
  <c r="Q1644" i="1" s="1"/>
  <c r="R1644" i="1" s="1"/>
  <c r="O1644" i="1"/>
  <c r="N1644" i="1"/>
  <c r="P1643" i="1"/>
  <c r="N1643" i="1"/>
  <c r="O1643" i="1" s="1"/>
  <c r="P1642" i="1"/>
  <c r="N1642" i="1"/>
  <c r="O1642" i="1" s="1"/>
  <c r="Q1641" i="1"/>
  <c r="R1641" i="1" s="1"/>
  <c r="P1641" i="1"/>
  <c r="O1641" i="1"/>
  <c r="N1641" i="1"/>
  <c r="P1640" i="1"/>
  <c r="N1640" i="1"/>
  <c r="O1640" i="1" s="1"/>
  <c r="P1639" i="1"/>
  <c r="N1639" i="1"/>
  <c r="O1639" i="1" s="1"/>
  <c r="P1638" i="1"/>
  <c r="N1638" i="1"/>
  <c r="O1638" i="1" s="1"/>
  <c r="P1637" i="1"/>
  <c r="O1637" i="1"/>
  <c r="N1637" i="1"/>
  <c r="P1636" i="1"/>
  <c r="Q1636" i="1" s="1"/>
  <c r="O1636" i="1"/>
  <c r="N1636" i="1"/>
  <c r="P1635" i="1"/>
  <c r="N1635" i="1"/>
  <c r="O1635" i="1" s="1"/>
  <c r="P1634" i="1"/>
  <c r="N1634" i="1"/>
  <c r="O1634" i="1" s="1"/>
  <c r="Q1634" i="1" s="1"/>
  <c r="P1633" i="1"/>
  <c r="O1633" i="1"/>
  <c r="N1633" i="1"/>
  <c r="P1632" i="1"/>
  <c r="Q1632" i="1" s="1"/>
  <c r="O1632" i="1"/>
  <c r="N1632" i="1"/>
  <c r="P1631" i="1"/>
  <c r="N1631" i="1"/>
  <c r="O1631" i="1" s="1"/>
  <c r="P1630" i="1"/>
  <c r="N1630" i="1"/>
  <c r="O1630" i="1" s="1"/>
  <c r="P1629" i="1"/>
  <c r="N1629" i="1"/>
  <c r="O1629" i="1" s="1"/>
  <c r="P1628" i="1"/>
  <c r="Q1628" i="1" s="1"/>
  <c r="R1628" i="1" s="1"/>
  <c r="O1628" i="1"/>
  <c r="N1628" i="1"/>
  <c r="P1627" i="1"/>
  <c r="N1627" i="1"/>
  <c r="O1627" i="1" s="1"/>
  <c r="P1626" i="1"/>
  <c r="N1626" i="1"/>
  <c r="O1626" i="1" s="1"/>
  <c r="Q1625" i="1"/>
  <c r="P1625" i="1"/>
  <c r="O1625" i="1"/>
  <c r="R1625" i="1" s="1"/>
  <c r="N1625" i="1"/>
  <c r="P1624" i="1"/>
  <c r="N1624" i="1"/>
  <c r="O1624" i="1" s="1"/>
  <c r="P1623" i="1"/>
  <c r="N1623" i="1"/>
  <c r="O1623" i="1" s="1"/>
  <c r="P1622" i="1"/>
  <c r="N1622" i="1"/>
  <c r="O1622" i="1" s="1"/>
  <c r="P1621" i="1"/>
  <c r="O1621" i="1"/>
  <c r="N1621" i="1"/>
  <c r="P1620" i="1"/>
  <c r="O1620" i="1"/>
  <c r="N1620" i="1"/>
  <c r="P1619" i="1"/>
  <c r="N1619" i="1"/>
  <c r="O1619" i="1" s="1"/>
  <c r="P1618" i="1"/>
  <c r="N1618" i="1"/>
  <c r="O1618" i="1" s="1"/>
  <c r="Q1618" i="1" s="1"/>
  <c r="P1617" i="1"/>
  <c r="O1617" i="1"/>
  <c r="N1617" i="1"/>
  <c r="P1616" i="1"/>
  <c r="O1616" i="1"/>
  <c r="N1616" i="1"/>
  <c r="P1615" i="1"/>
  <c r="N1615" i="1"/>
  <c r="O1615" i="1" s="1"/>
  <c r="P1614" i="1"/>
  <c r="N1614" i="1"/>
  <c r="O1614" i="1" s="1"/>
  <c r="P1613" i="1"/>
  <c r="N1613" i="1"/>
  <c r="O1613" i="1" s="1"/>
  <c r="P1612" i="1"/>
  <c r="Q1612" i="1" s="1"/>
  <c r="R1612" i="1" s="1"/>
  <c r="O1612" i="1"/>
  <c r="N1612" i="1"/>
  <c r="P1611" i="1"/>
  <c r="N1611" i="1"/>
  <c r="O1611" i="1" s="1"/>
  <c r="P1610" i="1"/>
  <c r="N1610" i="1"/>
  <c r="O1610" i="1" s="1"/>
  <c r="Q1609" i="1"/>
  <c r="R1609" i="1" s="1"/>
  <c r="P1609" i="1"/>
  <c r="O1609" i="1"/>
  <c r="N1609" i="1"/>
  <c r="P1608" i="1"/>
  <c r="N1608" i="1"/>
  <c r="O1608" i="1" s="1"/>
  <c r="P1607" i="1"/>
  <c r="N1607" i="1"/>
  <c r="O1607" i="1" s="1"/>
  <c r="P1606" i="1"/>
  <c r="N1606" i="1"/>
  <c r="O1606" i="1" s="1"/>
  <c r="P1605" i="1"/>
  <c r="O1605" i="1"/>
  <c r="N1605" i="1"/>
  <c r="P1604" i="1"/>
  <c r="O1604" i="1"/>
  <c r="N1604" i="1"/>
  <c r="P1603" i="1"/>
  <c r="N1603" i="1"/>
  <c r="O1603" i="1" s="1"/>
  <c r="P1602" i="1"/>
  <c r="N1602" i="1"/>
  <c r="O1602" i="1" s="1"/>
  <c r="Q1602" i="1" s="1"/>
  <c r="P1601" i="1"/>
  <c r="O1601" i="1"/>
  <c r="N1601" i="1"/>
  <c r="P1600" i="1"/>
  <c r="Q1600" i="1" s="1"/>
  <c r="O1600" i="1"/>
  <c r="N1600" i="1"/>
  <c r="P1599" i="1"/>
  <c r="N1599" i="1"/>
  <c r="O1599" i="1" s="1"/>
  <c r="P1598" i="1"/>
  <c r="N1598" i="1"/>
  <c r="O1598" i="1" s="1"/>
  <c r="P1597" i="1"/>
  <c r="N1597" i="1"/>
  <c r="O1597" i="1" s="1"/>
  <c r="P1596" i="1"/>
  <c r="Q1596" i="1" s="1"/>
  <c r="R1596" i="1" s="1"/>
  <c r="O1596" i="1"/>
  <c r="N1596" i="1"/>
  <c r="P1595" i="1"/>
  <c r="N1595" i="1"/>
  <c r="O1595" i="1" s="1"/>
  <c r="P1594" i="1"/>
  <c r="N1594" i="1"/>
  <c r="O1594" i="1" s="1"/>
  <c r="Q1593" i="1"/>
  <c r="P1593" i="1"/>
  <c r="O1593" i="1"/>
  <c r="R1593" i="1" s="1"/>
  <c r="N1593" i="1"/>
  <c r="P1592" i="1"/>
  <c r="N1592" i="1"/>
  <c r="O1592" i="1" s="1"/>
  <c r="R1591" i="1"/>
  <c r="Q1591" i="1"/>
  <c r="P1591" i="1"/>
  <c r="N1591" i="1"/>
  <c r="O1591" i="1" s="1"/>
  <c r="P1590" i="1"/>
  <c r="N1590" i="1"/>
  <c r="O1590" i="1" s="1"/>
  <c r="P1589" i="1"/>
  <c r="O1589" i="1"/>
  <c r="N1589" i="1"/>
  <c r="P1588" i="1"/>
  <c r="O1588" i="1"/>
  <c r="N1588" i="1"/>
  <c r="P1587" i="1"/>
  <c r="Q1587" i="1" s="1"/>
  <c r="R1587" i="1" s="1"/>
  <c r="O1587" i="1"/>
  <c r="N1587" i="1"/>
  <c r="P1586" i="1"/>
  <c r="N1586" i="1"/>
  <c r="O1586" i="1" s="1"/>
  <c r="Q1586" i="1" s="1"/>
  <c r="P1585" i="1"/>
  <c r="N1585" i="1"/>
  <c r="O1585" i="1" s="1"/>
  <c r="P1584" i="1"/>
  <c r="O1584" i="1"/>
  <c r="N1584" i="1"/>
  <c r="P1583" i="1"/>
  <c r="N1583" i="1"/>
  <c r="O1583" i="1" s="1"/>
  <c r="P1582" i="1"/>
  <c r="N1582" i="1"/>
  <c r="O1582" i="1" s="1"/>
  <c r="P1581" i="1"/>
  <c r="O1581" i="1"/>
  <c r="Q1581" i="1" s="1"/>
  <c r="N1581" i="1"/>
  <c r="R1580" i="1"/>
  <c r="Q1580" i="1"/>
  <c r="P1580" i="1"/>
  <c r="O1580" i="1"/>
  <c r="N1580" i="1"/>
  <c r="P1579" i="1"/>
  <c r="N1579" i="1"/>
  <c r="O1579" i="1" s="1"/>
  <c r="P1578" i="1"/>
  <c r="N1578" i="1"/>
  <c r="O1578" i="1" s="1"/>
  <c r="P1577" i="1"/>
  <c r="O1577" i="1"/>
  <c r="N1577" i="1"/>
  <c r="P1576" i="1"/>
  <c r="N1576" i="1"/>
  <c r="O1576" i="1" s="1"/>
  <c r="P1575" i="1"/>
  <c r="N1575" i="1"/>
  <c r="O1575" i="1" s="1"/>
  <c r="P1574" i="1"/>
  <c r="N1574" i="1"/>
  <c r="O1574" i="1" s="1"/>
  <c r="P1573" i="1"/>
  <c r="O1573" i="1"/>
  <c r="N1573" i="1"/>
  <c r="P1572" i="1"/>
  <c r="O1572" i="1"/>
  <c r="N1572" i="1"/>
  <c r="P1571" i="1"/>
  <c r="O1571" i="1"/>
  <c r="N1571" i="1"/>
  <c r="R1570" i="1"/>
  <c r="P1570" i="1"/>
  <c r="N1570" i="1"/>
  <c r="O1570" i="1" s="1"/>
  <c r="Q1570" i="1" s="1"/>
  <c r="P1569" i="1"/>
  <c r="N1569" i="1"/>
  <c r="O1569" i="1" s="1"/>
  <c r="P1568" i="1"/>
  <c r="O1568" i="1"/>
  <c r="N1568" i="1"/>
  <c r="P1567" i="1"/>
  <c r="N1567" i="1"/>
  <c r="O1567" i="1" s="1"/>
  <c r="P1566" i="1"/>
  <c r="O1566" i="1"/>
  <c r="N1566" i="1"/>
  <c r="P1565" i="1"/>
  <c r="N1565" i="1"/>
  <c r="O1565" i="1" s="1"/>
  <c r="P1564" i="1"/>
  <c r="Q1564" i="1" s="1"/>
  <c r="R1564" i="1" s="1"/>
  <c r="O1564" i="1"/>
  <c r="N1564" i="1"/>
  <c r="P1563" i="1"/>
  <c r="N1563" i="1"/>
  <c r="O1563" i="1" s="1"/>
  <c r="R1562" i="1"/>
  <c r="Q1562" i="1"/>
  <c r="P1562" i="1"/>
  <c r="O1562" i="1"/>
  <c r="N1562" i="1"/>
  <c r="P1561" i="1"/>
  <c r="O1561" i="1"/>
  <c r="N1561" i="1"/>
  <c r="P1560" i="1"/>
  <c r="N1560" i="1"/>
  <c r="O1560" i="1" s="1"/>
  <c r="P1559" i="1"/>
  <c r="N1559" i="1"/>
  <c r="O1559" i="1" s="1"/>
  <c r="P1558" i="1"/>
  <c r="Q1558" i="1" s="1"/>
  <c r="R1558" i="1" s="1"/>
  <c r="O1558" i="1"/>
  <c r="N1558" i="1"/>
  <c r="P1557" i="1"/>
  <c r="O1557" i="1"/>
  <c r="N1557" i="1"/>
  <c r="P1556" i="1"/>
  <c r="O1556" i="1"/>
  <c r="N1556" i="1"/>
  <c r="P1555" i="1"/>
  <c r="O1555" i="1"/>
  <c r="N1555" i="1"/>
  <c r="R1554" i="1"/>
  <c r="P1554" i="1"/>
  <c r="N1554" i="1"/>
  <c r="O1554" i="1" s="1"/>
  <c r="Q1554" i="1" s="1"/>
  <c r="P1553" i="1"/>
  <c r="N1553" i="1"/>
  <c r="O1553" i="1" s="1"/>
  <c r="P1552" i="1"/>
  <c r="O1552" i="1"/>
  <c r="N1552" i="1"/>
  <c r="P1551" i="1"/>
  <c r="N1551" i="1"/>
  <c r="O1551" i="1" s="1"/>
  <c r="P1550" i="1"/>
  <c r="O1550" i="1"/>
  <c r="N1550" i="1"/>
  <c r="P1549" i="1"/>
  <c r="N1549" i="1"/>
  <c r="O1549" i="1" s="1"/>
  <c r="Q1548" i="1"/>
  <c r="R1548" i="1" s="1"/>
  <c r="P1548" i="1"/>
  <c r="O1548" i="1"/>
  <c r="N1548" i="1"/>
  <c r="P1547" i="1"/>
  <c r="O1547" i="1"/>
  <c r="N1547" i="1"/>
  <c r="P1546" i="1"/>
  <c r="N1546" i="1"/>
  <c r="O1546" i="1" s="1"/>
  <c r="Q1546" i="1" s="1"/>
  <c r="P1545" i="1"/>
  <c r="O1545" i="1"/>
  <c r="N1545" i="1"/>
  <c r="P1544" i="1"/>
  <c r="N1544" i="1"/>
  <c r="O1544" i="1" s="1"/>
  <c r="P1543" i="1"/>
  <c r="Q1543" i="1" s="1"/>
  <c r="R1543" i="1" s="1"/>
  <c r="N1543" i="1"/>
  <c r="O1543" i="1" s="1"/>
  <c r="P1542" i="1"/>
  <c r="N1542" i="1"/>
  <c r="O1542" i="1" s="1"/>
  <c r="Q1542" i="1" s="1"/>
  <c r="P1541" i="1"/>
  <c r="O1541" i="1"/>
  <c r="N1541" i="1"/>
  <c r="P1540" i="1"/>
  <c r="O1540" i="1"/>
  <c r="Q1540" i="1" s="1"/>
  <c r="R1540" i="1" s="1"/>
  <c r="N1540" i="1"/>
  <c r="P1539" i="1"/>
  <c r="O1539" i="1"/>
  <c r="N1539" i="1"/>
  <c r="P1538" i="1"/>
  <c r="N1538" i="1"/>
  <c r="O1538" i="1" s="1"/>
  <c r="Q1538" i="1" s="1"/>
  <c r="P1537" i="1"/>
  <c r="N1537" i="1"/>
  <c r="O1537" i="1" s="1"/>
  <c r="P1536" i="1"/>
  <c r="O1536" i="1"/>
  <c r="N1536" i="1"/>
  <c r="P1535" i="1"/>
  <c r="N1535" i="1"/>
  <c r="O1535" i="1" s="1"/>
  <c r="P1534" i="1"/>
  <c r="N1534" i="1"/>
  <c r="O1534" i="1" s="1"/>
  <c r="P1533" i="1"/>
  <c r="N1533" i="1"/>
  <c r="O1533" i="1" s="1"/>
  <c r="P1532" i="1"/>
  <c r="Q1532" i="1" s="1"/>
  <c r="R1532" i="1" s="1"/>
  <c r="O1532" i="1"/>
  <c r="N1532" i="1"/>
  <c r="P1531" i="1"/>
  <c r="O1531" i="1"/>
  <c r="N1531" i="1"/>
  <c r="P1530" i="1"/>
  <c r="N1530" i="1"/>
  <c r="O1530" i="1" s="1"/>
  <c r="Q1529" i="1"/>
  <c r="P1529" i="1"/>
  <c r="O1529" i="1"/>
  <c r="R1529" i="1" s="1"/>
  <c r="N1529" i="1"/>
  <c r="P1528" i="1"/>
  <c r="N1528" i="1"/>
  <c r="O1528" i="1" s="1"/>
  <c r="P1527" i="1"/>
  <c r="Q1527" i="1" s="1"/>
  <c r="R1527" i="1" s="1"/>
  <c r="O1527" i="1"/>
  <c r="N1527" i="1"/>
  <c r="P1526" i="1"/>
  <c r="O1526" i="1"/>
  <c r="N1526" i="1"/>
  <c r="P1525" i="1"/>
  <c r="O1525" i="1"/>
  <c r="N1525" i="1"/>
  <c r="P1524" i="1"/>
  <c r="O1524" i="1"/>
  <c r="N1524" i="1"/>
  <c r="R1523" i="1"/>
  <c r="P1523" i="1"/>
  <c r="N1523" i="1"/>
  <c r="O1523" i="1" s="1"/>
  <c r="Q1523" i="1" s="1"/>
  <c r="P1522" i="1"/>
  <c r="N1522" i="1"/>
  <c r="O1522" i="1" s="1"/>
  <c r="Q1522" i="1" s="1"/>
  <c r="P1521" i="1"/>
  <c r="O1521" i="1"/>
  <c r="Q1521" i="1" s="1"/>
  <c r="R1521" i="1" s="1"/>
  <c r="N1521" i="1"/>
  <c r="P1520" i="1"/>
  <c r="O1520" i="1"/>
  <c r="N1520" i="1"/>
  <c r="P1519" i="1"/>
  <c r="N1519" i="1"/>
  <c r="O1519" i="1" s="1"/>
  <c r="P1518" i="1"/>
  <c r="O1518" i="1"/>
  <c r="N1518" i="1"/>
  <c r="P1517" i="1"/>
  <c r="O1517" i="1"/>
  <c r="N1517" i="1"/>
  <c r="R1516" i="1"/>
  <c r="Q1516" i="1"/>
  <c r="P1516" i="1"/>
  <c r="O1516" i="1"/>
  <c r="N1516" i="1"/>
  <c r="P1515" i="1"/>
  <c r="N1515" i="1"/>
  <c r="O1515" i="1" s="1"/>
  <c r="P1514" i="1"/>
  <c r="N1514" i="1"/>
  <c r="O1514" i="1" s="1"/>
  <c r="P1513" i="1"/>
  <c r="Q1513" i="1" s="1"/>
  <c r="R1513" i="1" s="1"/>
  <c r="O1513" i="1"/>
  <c r="N1513" i="1"/>
  <c r="P1512" i="1"/>
  <c r="N1512" i="1"/>
  <c r="O1512" i="1" s="1"/>
  <c r="P1511" i="1"/>
  <c r="O1511" i="1"/>
  <c r="N1511" i="1"/>
  <c r="P1510" i="1"/>
  <c r="O1510" i="1"/>
  <c r="N1510" i="1"/>
  <c r="P1509" i="1"/>
  <c r="O1509" i="1"/>
  <c r="N1509" i="1"/>
  <c r="P1508" i="1"/>
  <c r="O1508" i="1"/>
  <c r="N1508" i="1"/>
  <c r="P1507" i="1"/>
  <c r="O1507" i="1"/>
  <c r="Q1507" i="1" s="1"/>
  <c r="R1507" i="1" s="1"/>
  <c r="N1507" i="1"/>
  <c r="R1506" i="1"/>
  <c r="P1506" i="1"/>
  <c r="N1506" i="1"/>
  <c r="O1506" i="1" s="1"/>
  <c r="Q1506" i="1" s="1"/>
  <c r="P1505" i="1"/>
  <c r="N1505" i="1"/>
  <c r="O1505" i="1" s="1"/>
  <c r="Q1505" i="1" s="1"/>
  <c r="P1504" i="1"/>
  <c r="O1504" i="1"/>
  <c r="N1504" i="1"/>
  <c r="P1503" i="1"/>
  <c r="N1503" i="1"/>
  <c r="O1503" i="1" s="1"/>
  <c r="P1502" i="1"/>
  <c r="Q1502" i="1" s="1"/>
  <c r="R1502" i="1" s="1"/>
  <c r="O1502" i="1"/>
  <c r="N1502" i="1"/>
  <c r="P1501" i="1"/>
  <c r="O1501" i="1"/>
  <c r="N1501" i="1"/>
  <c r="R1500" i="1"/>
  <c r="Q1500" i="1"/>
  <c r="P1500" i="1"/>
  <c r="O1500" i="1"/>
  <c r="N1500" i="1"/>
  <c r="P1499" i="1"/>
  <c r="N1499" i="1"/>
  <c r="O1499" i="1" s="1"/>
  <c r="P1498" i="1"/>
  <c r="N1498" i="1"/>
  <c r="O1498" i="1" s="1"/>
  <c r="P1497" i="1"/>
  <c r="O1497" i="1"/>
  <c r="N1497" i="1"/>
  <c r="P1496" i="1"/>
  <c r="N1496" i="1"/>
  <c r="O1496" i="1" s="1"/>
  <c r="P1495" i="1"/>
  <c r="Q1495" i="1" s="1"/>
  <c r="R1495" i="1" s="1"/>
  <c r="O1495" i="1"/>
  <c r="N1495" i="1"/>
  <c r="P1494" i="1"/>
  <c r="O1494" i="1"/>
  <c r="N1494" i="1"/>
  <c r="P1493" i="1"/>
  <c r="O1493" i="1"/>
  <c r="N1493" i="1"/>
  <c r="P1492" i="1"/>
  <c r="O1492" i="1"/>
  <c r="N1492" i="1"/>
  <c r="P1491" i="1"/>
  <c r="N1491" i="1"/>
  <c r="O1491" i="1" s="1"/>
  <c r="Q1491" i="1" s="1"/>
  <c r="P1490" i="1"/>
  <c r="N1490" i="1"/>
  <c r="O1490" i="1" s="1"/>
  <c r="Q1490" i="1" s="1"/>
  <c r="P1489" i="1"/>
  <c r="O1489" i="1"/>
  <c r="Q1489" i="1" s="1"/>
  <c r="R1489" i="1" s="1"/>
  <c r="N1489" i="1"/>
  <c r="P1488" i="1"/>
  <c r="O1488" i="1"/>
  <c r="N1488" i="1"/>
  <c r="P1487" i="1"/>
  <c r="N1487" i="1"/>
  <c r="O1487" i="1" s="1"/>
  <c r="P1486" i="1"/>
  <c r="O1486" i="1"/>
  <c r="N1486" i="1"/>
  <c r="P1485" i="1"/>
  <c r="O1485" i="1"/>
  <c r="N1485" i="1"/>
  <c r="R1484" i="1"/>
  <c r="Q1484" i="1"/>
  <c r="P1484" i="1"/>
  <c r="O1484" i="1"/>
  <c r="N1484" i="1"/>
  <c r="P1483" i="1"/>
  <c r="N1483" i="1"/>
  <c r="O1483" i="1" s="1"/>
  <c r="P1482" i="1"/>
  <c r="N1482" i="1"/>
  <c r="O1482" i="1" s="1"/>
  <c r="R1481" i="1"/>
  <c r="P1481" i="1"/>
  <c r="Q1481" i="1" s="1"/>
  <c r="O1481" i="1"/>
  <c r="N1481" i="1"/>
  <c r="P1480" i="1"/>
  <c r="N1480" i="1"/>
  <c r="O1480" i="1" s="1"/>
  <c r="P1479" i="1"/>
  <c r="O1479" i="1"/>
  <c r="N1479" i="1"/>
  <c r="P1478" i="1"/>
  <c r="O1478" i="1"/>
  <c r="N1478" i="1"/>
  <c r="P1477" i="1"/>
  <c r="O1477" i="1"/>
  <c r="N1477" i="1"/>
  <c r="P1476" i="1"/>
  <c r="O1476" i="1"/>
  <c r="N1476" i="1"/>
  <c r="P1475" i="1"/>
  <c r="O1475" i="1"/>
  <c r="Q1475" i="1" s="1"/>
  <c r="R1475" i="1" s="1"/>
  <c r="N1475" i="1"/>
  <c r="R1474" i="1"/>
  <c r="P1474" i="1"/>
  <c r="N1474" i="1"/>
  <c r="O1474" i="1" s="1"/>
  <c r="Q1474" i="1" s="1"/>
  <c r="R1473" i="1"/>
  <c r="P1473" i="1"/>
  <c r="N1473" i="1"/>
  <c r="O1473" i="1" s="1"/>
  <c r="Q1473" i="1" s="1"/>
  <c r="P1472" i="1"/>
  <c r="O1472" i="1"/>
  <c r="N1472" i="1"/>
  <c r="P1471" i="1"/>
  <c r="N1471" i="1"/>
  <c r="O1471" i="1" s="1"/>
  <c r="R1470" i="1"/>
  <c r="P1470" i="1"/>
  <c r="Q1470" i="1" s="1"/>
  <c r="O1470" i="1"/>
  <c r="N1470" i="1"/>
  <c r="P1469" i="1"/>
  <c r="O1469" i="1"/>
  <c r="N1469" i="1"/>
  <c r="R1468" i="1"/>
  <c r="Q1468" i="1"/>
  <c r="P1468" i="1"/>
  <c r="O1468" i="1"/>
  <c r="N1468" i="1"/>
  <c r="P1467" i="1"/>
  <c r="N1467" i="1"/>
  <c r="O1467" i="1" s="1"/>
  <c r="P1466" i="1"/>
  <c r="N1466" i="1"/>
  <c r="O1466" i="1" s="1"/>
  <c r="P1465" i="1"/>
  <c r="O1465" i="1"/>
  <c r="N1465" i="1"/>
  <c r="P1464" i="1"/>
  <c r="N1464" i="1"/>
  <c r="O1464" i="1" s="1"/>
  <c r="P1463" i="1"/>
  <c r="Q1463" i="1" s="1"/>
  <c r="R1463" i="1" s="1"/>
  <c r="O1463" i="1"/>
  <c r="N1463" i="1"/>
  <c r="P1462" i="1"/>
  <c r="O1462" i="1"/>
  <c r="N1462" i="1"/>
  <c r="P1461" i="1"/>
  <c r="O1461" i="1"/>
  <c r="N1461" i="1"/>
  <c r="P1460" i="1"/>
  <c r="O1460" i="1"/>
  <c r="N1460" i="1"/>
  <c r="P1459" i="1"/>
  <c r="N1459" i="1"/>
  <c r="O1459" i="1" s="1"/>
  <c r="Q1459" i="1" s="1"/>
  <c r="P1458" i="1"/>
  <c r="N1458" i="1"/>
  <c r="O1458" i="1" s="1"/>
  <c r="Q1458" i="1" s="1"/>
  <c r="P1457" i="1"/>
  <c r="O1457" i="1"/>
  <c r="Q1457" i="1" s="1"/>
  <c r="R1457" i="1" s="1"/>
  <c r="N1457" i="1"/>
  <c r="P1456" i="1"/>
  <c r="O1456" i="1"/>
  <c r="N1456" i="1"/>
  <c r="P1455" i="1"/>
  <c r="N1455" i="1"/>
  <c r="O1455" i="1" s="1"/>
  <c r="P1454" i="1"/>
  <c r="O1454" i="1"/>
  <c r="N1454" i="1"/>
  <c r="P1453" i="1"/>
  <c r="O1453" i="1"/>
  <c r="N1453" i="1"/>
  <c r="R1452" i="1"/>
  <c r="Q1452" i="1"/>
  <c r="P1452" i="1"/>
  <c r="O1452" i="1"/>
  <c r="N1452" i="1"/>
  <c r="P1451" i="1"/>
  <c r="N1451" i="1"/>
  <c r="O1451" i="1" s="1"/>
  <c r="P1450" i="1"/>
  <c r="N1450" i="1"/>
  <c r="O1450" i="1" s="1"/>
  <c r="P1449" i="1"/>
  <c r="Q1449" i="1" s="1"/>
  <c r="R1449" i="1" s="1"/>
  <c r="O1449" i="1"/>
  <c r="N1449" i="1"/>
  <c r="P1448" i="1"/>
  <c r="N1448" i="1"/>
  <c r="O1448" i="1" s="1"/>
  <c r="P1447" i="1"/>
  <c r="O1447" i="1"/>
  <c r="N1447" i="1"/>
  <c r="P1446" i="1"/>
  <c r="O1446" i="1"/>
  <c r="N1446" i="1"/>
  <c r="P1445" i="1"/>
  <c r="O1445" i="1"/>
  <c r="N1445" i="1"/>
  <c r="P1444" i="1"/>
  <c r="O1444" i="1"/>
  <c r="N1444" i="1"/>
  <c r="R1443" i="1"/>
  <c r="P1443" i="1"/>
  <c r="O1443" i="1"/>
  <c r="Q1443" i="1" s="1"/>
  <c r="N1443" i="1"/>
  <c r="R1442" i="1"/>
  <c r="P1442" i="1"/>
  <c r="N1442" i="1"/>
  <c r="O1442" i="1" s="1"/>
  <c r="Q1442" i="1" s="1"/>
  <c r="R1441" i="1"/>
  <c r="P1441" i="1"/>
  <c r="N1441" i="1"/>
  <c r="O1441" i="1" s="1"/>
  <c r="Q1441" i="1" s="1"/>
  <c r="P1440" i="1"/>
  <c r="O1440" i="1"/>
  <c r="N1440" i="1"/>
  <c r="P1439" i="1"/>
  <c r="N1439" i="1"/>
  <c r="O1439" i="1" s="1"/>
  <c r="R1438" i="1"/>
  <c r="P1438" i="1"/>
  <c r="Q1438" i="1" s="1"/>
  <c r="O1438" i="1"/>
  <c r="N1438" i="1"/>
  <c r="P1437" i="1"/>
  <c r="O1437" i="1"/>
  <c r="N1437" i="1"/>
  <c r="R1436" i="1"/>
  <c r="Q1436" i="1"/>
  <c r="P1436" i="1"/>
  <c r="O1436" i="1"/>
  <c r="N1436" i="1"/>
  <c r="P1435" i="1"/>
  <c r="N1435" i="1"/>
  <c r="O1435" i="1" s="1"/>
  <c r="P1434" i="1"/>
  <c r="N1434" i="1"/>
  <c r="O1434" i="1" s="1"/>
  <c r="P1433" i="1"/>
  <c r="O1433" i="1"/>
  <c r="N1433" i="1"/>
  <c r="P1432" i="1"/>
  <c r="N1432" i="1"/>
  <c r="O1432" i="1" s="1"/>
  <c r="P1431" i="1"/>
  <c r="Q1431" i="1" s="1"/>
  <c r="R1431" i="1" s="1"/>
  <c r="O1431" i="1"/>
  <c r="N1431" i="1"/>
  <c r="P1430" i="1"/>
  <c r="O1430" i="1"/>
  <c r="N1430" i="1"/>
  <c r="P1429" i="1"/>
  <c r="O1429" i="1"/>
  <c r="N1429" i="1"/>
  <c r="P1428" i="1"/>
  <c r="O1428" i="1"/>
  <c r="N1428" i="1"/>
  <c r="P1427" i="1"/>
  <c r="N1427" i="1"/>
  <c r="O1427" i="1" s="1"/>
  <c r="Q1427" i="1" s="1"/>
  <c r="P1426" i="1"/>
  <c r="N1426" i="1"/>
  <c r="O1426" i="1" s="1"/>
  <c r="Q1426" i="1" s="1"/>
  <c r="R1425" i="1"/>
  <c r="P1425" i="1"/>
  <c r="O1425" i="1"/>
  <c r="Q1425" i="1" s="1"/>
  <c r="N1425" i="1"/>
  <c r="P1424" i="1"/>
  <c r="O1424" i="1"/>
  <c r="N1424" i="1"/>
  <c r="P1423" i="1"/>
  <c r="N1423" i="1"/>
  <c r="O1423" i="1" s="1"/>
  <c r="P1422" i="1"/>
  <c r="O1422" i="1"/>
  <c r="N1422" i="1"/>
  <c r="P1421" i="1"/>
  <c r="O1421" i="1"/>
  <c r="N1421" i="1"/>
  <c r="R1420" i="1"/>
  <c r="Q1420" i="1"/>
  <c r="P1420" i="1"/>
  <c r="O1420" i="1"/>
  <c r="N1420" i="1"/>
  <c r="P1419" i="1"/>
  <c r="N1419" i="1"/>
  <c r="O1419" i="1" s="1"/>
  <c r="P1418" i="1"/>
  <c r="N1418" i="1"/>
  <c r="O1418" i="1" s="1"/>
  <c r="R1417" i="1"/>
  <c r="P1417" i="1"/>
  <c r="Q1417" i="1" s="1"/>
  <c r="O1417" i="1"/>
  <c r="N1417" i="1"/>
  <c r="P1416" i="1"/>
  <c r="N1416" i="1"/>
  <c r="O1416" i="1" s="1"/>
  <c r="P1415" i="1"/>
  <c r="O1415" i="1"/>
  <c r="N1415" i="1"/>
  <c r="P1414" i="1"/>
  <c r="O1414" i="1"/>
  <c r="N1414" i="1"/>
  <c r="R1413" i="1"/>
  <c r="P1413" i="1"/>
  <c r="O1413" i="1"/>
  <c r="Q1413" i="1" s="1"/>
  <c r="N1413" i="1"/>
  <c r="P1412" i="1"/>
  <c r="N1412" i="1"/>
  <c r="O1412" i="1" s="1"/>
  <c r="P1411" i="1"/>
  <c r="N1411" i="1"/>
  <c r="O1411" i="1" s="1"/>
  <c r="R1410" i="1"/>
  <c r="Q1410" i="1"/>
  <c r="P1410" i="1"/>
  <c r="N1410" i="1"/>
  <c r="O1410" i="1" s="1"/>
  <c r="P1409" i="1"/>
  <c r="N1409" i="1"/>
  <c r="O1409" i="1" s="1"/>
  <c r="P1408" i="1"/>
  <c r="N1408" i="1"/>
  <c r="O1408" i="1" s="1"/>
  <c r="P1407" i="1"/>
  <c r="Q1407" i="1" s="1"/>
  <c r="N1407" i="1"/>
  <c r="O1407" i="1" s="1"/>
  <c r="R1406" i="1"/>
  <c r="P1406" i="1"/>
  <c r="N1406" i="1"/>
  <c r="O1406" i="1" s="1"/>
  <c r="Q1406" i="1" s="1"/>
  <c r="P1405" i="1"/>
  <c r="O1405" i="1"/>
  <c r="N1405" i="1"/>
  <c r="Q1404" i="1"/>
  <c r="P1404" i="1"/>
  <c r="O1404" i="1"/>
  <c r="N1404" i="1"/>
  <c r="Q1403" i="1"/>
  <c r="R1403" i="1" s="1"/>
  <c r="P1403" i="1"/>
  <c r="O1403" i="1"/>
  <c r="N1403" i="1"/>
  <c r="P1402" i="1"/>
  <c r="N1402" i="1"/>
  <c r="O1402" i="1" s="1"/>
  <c r="P1401" i="1"/>
  <c r="N1401" i="1"/>
  <c r="O1401" i="1" s="1"/>
  <c r="P1400" i="1"/>
  <c r="O1400" i="1"/>
  <c r="N1400" i="1"/>
  <c r="P1399" i="1"/>
  <c r="N1399" i="1"/>
  <c r="O1399" i="1" s="1"/>
  <c r="P1398" i="1"/>
  <c r="N1398" i="1"/>
  <c r="O1398" i="1" s="1"/>
  <c r="P1397" i="1"/>
  <c r="O1397" i="1"/>
  <c r="N1397" i="1"/>
  <c r="P1396" i="1"/>
  <c r="N1396" i="1"/>
  <c r="O1396" i="1" s="1"/>
  <c r="Q1396" i="1" s="1"/>
  <c r="P1395" i="1"/>
  <c r="O1395" i="1"/>
  <c r="N1395" i="1"/>
  <c r="P1394" i="1"/>
  <c r="N1394" i="1"/>
  <c r="O1394" i="1" s="1"/>
  <c r="Q1393" i="1"/>
  <c r="R1393" i="1" s="1"/>
  <c r="P1393" i="1"/>
  <c r="O1393" i="1"/>
  <c r="N1393" i="1"/>
  <c r="P1392" i="1"/>
  <c r="N1392" i="1"/>
  <c r="O1392" i="1" s="1"/>
  <c r="P1391" i="1"/>
  <c r="N1391" i="1"/>
  <c r="O1391" i="1" s="1"/>
  <c r="Q1391" i="1" s="1"/>
  <c r="R1391" i="1" s="1"/>
  <c r="P1390" i="1"/>
  <c r="O1390" i="1"/>
  <c r="N1390" i="1"/>
  <c r="P1389" i="1"/>
  <c r="N1389" i="1"/>
  <c r="O1389" i="1" s="1"/>
  <c r="Q1388" i="1"/>
  <c r="P1388" i="1"/>
  <c r="O1388" i="1"/>
  <c r="N1388" i="1"/>
  <c r="P1387" i="1"/>
  <c r="N1387" i="1"/>
  <c r="O1387" i="1" s="1"/>
  <c r="P1386" i="1"/>
  <c r="N1386" i="1"/>
  <c r="O1386" i="1" s="1"/>
  <c r="P1385" i="1"/>
  <c r="O1385" i="1"/>
  <c r="N1385" i="1"/>
  <c r="P1384" i="1"/>
  <c r="N1384" i="1"/>
  <c r="O1384" i="1" s="1"/>
  <c r="Q1383" i="1"/>
  <c r="R1383" i="1" s="1"/>
  <c r="P1383" i="1"/>
  <c r="O1383" i="1"/>
  <c r="N1383" i="1"/>
  <c r="P1382" i="1"/>
  <c r="N1382" i="1"/>
  <c r="O1382" i="1" s="1"/>
  <c r="P1381" i="1"/>
  <c r="O1381" i="1"/>
  <c r="N1381" i="1"/>
  <c r="P1380" i="1"/>
  <c r="O1380" i="1"/>
  <c r="N1380" i="1"/>
  <c r="P1379" i="1"/>
  <c r="N1379" i="1"/>
  <c r="O1379" i="1" s="1"/>
  <c r="Q1378" i="1"/>
  <c r="P1378" i="1"/>
  <c r="N1378" i="1"/>
  <c r="O1378" i="1" s="1"/>
  <c r="P1377" i="1"/>
  <c r="N1377" i="1"/>
  <c r="O1377" i="1" s="1"/>
  <c r="P1376" i="1"/>
  <c r="N1376" i="1"/>
  <c r="O1376" i="1" s="1"/>
  <c r="P1375" i="1"/>
  <c r="N1375" i="1"/>
  <c r="O1375" i="1" s="1"/>
  <c r="P1374" i="1"/>
  <c r="O1374" i="1"/>
  <c r="N1374" i="1"/>
  <c r="Q1373" i="1"/>
  <c r="R1373" i="1" s="1"/>
  <c r="P1373" i="1"/>
  <c r="O1373" i="1"/>
  <c r="N1373" i="1"/>
  <c r="P1372" i="1"/>
  <c r="O1372" i="1"/>
  <c r="N1372" i="1"/>
  <c r="P1371" i="1"/>
  <c r="N1371" i="1"/>
  <c r="O1371" i="1" s="1"/>
  <c r="Q1371" i="1" s="1"/>
  <c r="R1370" i="1"/>
  <c r="P1370" i="1"/>
  <c r="Q1370" i="1" s="1"/>
  <c r="O1370" i="1"/>
  <c r="N1370" i="1"/>
  <c r="P1369" i="1"/>
  <c r="O1369" i="1"/>
  <c r="N1369" i="1"/>
  <c r="P1368" i="1"/>
  <c r="Q1368" i="1" s="1"/>
  <c r="N1368" i="1"/>
  <c r="O1368" i="1" s="1"/>
  <c r="P1367" i="1"/>
  <c r="N1367" i="1"/>
  <c r="O1367" i="1" s="1"/>
  <c r="P1366" i="1"/>
  <c r="N1366" i="1"/>
  <c r="O1366" i="1" s="1"/>
  <c r="P1365" i="1"/>
  <c r="O1365" i="1"/>
  <c r="Q1365" i="1" s="1"/>
  <c r="N1365" i="1"/>
  <c r="P1364" i="1"/>
  <c r="N1364" i="1"/>
  <c r="O1364" i="1" s="1"/>
  <c r="Q1363" i="1"/>
  <c r="R1363" i="1" s="1"/>
  <c r="P1363" i="1"/>
  <c r="O1363" i="1"/>
  <c r="N1363" i="1"/>
  <c r="P1362" i="1"/>
  <c r="N1362" i="1"/>
  <c r="O1362" i="1" s="1"/>
  <c r="P1361" i="1"/>
  <c r="N1361" i="1"/>
  <c r="O1361" i="1" s="1"/>
  <c r="Q1361" i="1" s="1"/>
  <c r="R1360" i="1"/>
  <c r="P1360" i="1"/>
  <c r="Q1360" i="1" s="1"/>
  <c r="O1360" i="1"/>
  <c r="N1360" i="1"/>
  <c r="P1359" i="1"/>
  <c r="N1359" i="1"/>
  <c r="O1359" i="1" s="1"/>
  <c r="P1358" i="1"/>
  <c r="N1358" i="1"/>
  <c r="O1358" i="1" s="1"/>
  <c r="P1357" i="1"/>
  <c r="N1357" i="1"/>
  <c r="O1357" i="1" s="1"/>
  <c r="P1356" i="1"/>
  <c r="O1356" i="1"/>
  <c r="Q1356" i="1" s="1"/>
  <c r="R1356" i="1" s="1"/>
  <c r="N1356" i="1"/>
  <c r="P1355" i="1"/>
  <c r="O1355" i="1"/>
  <c r="N1355" i="1"/>
  <c r="P1354" i="1"/>
  <c r="N1354" i="1"/>
  <c r="O1354" i="1" s="1"/>
  <c r="R1353" i="1"/>
  <c r="P1353" i="1"/>
  <c r="N1353" i="1"/>
  <c r="O1353" i="1" s="1"/>
  <c r="Q1353" i="1" s="1"/>
  <c r="P1352" i="1"/>
  <c r="N1352" i="1"/>
  <c r="O1352" i="1" s="1"/>
  <c r="P1351" i="1"/>
  <c r="N1351" i="1"/>
  <c r="O1351" i="1" s="1"/>
  <c r="Q1351" i="1" s="1"/>
  <c r="R1350" i="1"/>
  <c r="Q1350" i="1"/>
  <c r="P1350" i="1"/>
  <c r="O1350" i="1"/>
  <c r="N1350" i="1"/>
  <c r="P1349" i="1"/>
  <c r="N1349" i="1"/>
  <c r="O1349" i="1" s="1"/>
  <c r="P1348" i="1"/>
  <c r="Q1348" i="1" s="1"/>
  <c r="N1348" i="1"/>
  <c r="O1348" i="1" s="1"/>
  <c r="P1347" i="1"/>
  <c r="O1347" i="1"/>
  <c r="N1347" i="1"/>
  <c r="P1346" i="1"/>
  <c r="N1346" i="1"/>
  <c r="O1346" i="1" s="1"/>
  <c r="P1345" i="1"/>
  <c r="O1345" i="1"/>
  <c r="N1345" i="1"/>
  <c r="P1344" i="1"/>
  <c r="O1344" i="1"/>
  <c r="N1344" i="1"/>
  <c r="P1343" i="1"/>
  <c r="N1343" i="1"/>
  <c r="O1343" i="1" s="1"/>
  <c r="Q1343" i="1" s="1"/>
  <c r="P1342" i="1"/>
  <c r="N1342" i="1"/>
  <c r="O1342" i="1" s="1"/>
  <c r="P1341" i="1"/>
  <c r="N1341" i="1"/>
  <c r="O1341" i="1" s="1"/>
  <c r="Q1340" i="1"/>
  <c r="R1340" i="1" s="1"/>
  <c r="P1340" i="1"/>
  <c r="O1340" i="1"/>
  <c r="N1340" i="1"/>
  <c r="P1339" i="1"/>
  <c r="N1339" i="1"/>
  <c r="O1339" i="1" s="1"/>
  <c r="P1338" i="1"/>
  <c r="N1338" i="1"/>
  <c r="O1338" i="1" s="1"/>
  <c r="R1337" i="1"/>
  <c r="Q1337" i="1"/>
  <c r="P1337" i="1"/>
  <c r="O1337" i="1"/>
  <c r="N1337" i="1"/>
  <c r="P1336" i="1"/>
  <c r="O1336" i="1"/>
  <c r="N1336" i="1"/>
  <c r="P1335" i="1"/>
  <c r="N1335" i="1"/>
  <c r="O1335" i="1" s="1"/>
  <c r="Q1335" i="1" s="1"/>
  <c r="P1334" i="1"/>
  <c r="O1334" i="1"/>
  <c r="N1334" i="1"/>
  <c r="P1333" i="1"/>
  <c r="N1333" i="1"/>
  <c r="O1333" i="1" s="1"/>
  <c r="P1332" i="1"/>
  <c r="N1332" i="1"/>
  <c r="O1332" i="1" s="1"/>
  <c r="Q1331" i="1"/>
  <c r="R1331" i="1" s="1"/>
  <c r="P1331" i="1"/>
  <c r="O1331" i="1"/>
  <c r="N1331" i="1"/>
  <c r="P1330" i="1"/>
  <c r="N1330" i="1"/>
  <c r="O1330" i="1" s="1"/>
  <c r="P1329" i="1"/>
  <c r="O1329" i="1"/>
  <c r="Q1329" i="1" s="1"/>
  <c r="N1329" i="1"/>
  <c r="P1328" i="1"/>
  <c r="N1328" i="1"/>
  <c r="O1328" i="1" s="1"/>
  <c r="R1327" i="1"/>
  <c r="P1327" i="1"/>
  <c r="N1327" i="1"/>
  <c r="O1327" i="1" s="1"/>
  <c r="Q1327" i="1" s="1"/>
  <c r="P1326" i="1"/>
  <c r="N1326" i="1"/>
  <c r="O1326" i="1" s="1"/>
  <c r="P1325" i="1"/>
  <c r="O1325" i="1"/>
  <c r="N1325" i="1"/>
  <c r="R1324" i="1"/>
  <c r="Q1324" i="1"/>
  <c r="P1324" i="1"/>
  <c r="O1324" i="1"/>
  <c r="N1324" i="1"/>
  <c r="P1323" i="1"/>
  <c r="N1323" i="1"/>
  <c r="O1323" i="1" s="1"/>
  <c r="P1322" i="1"/>
  <c r="N1322" i="1"/>
  <c r="O1322" i="1" s="1"/>
  <c r="P1321" i="1"/>
  <c r="Q1321" i="1" s="1"/>
  <c r="R1321" i="1" s="1"/>
  <c r="O1321" i="1"/>
  <c r="N1321" i="1"/>
  <c r="P1320" i="1"/>
  <c r="O1320" i="1"/>
  <c r="N1320" i="1"/>
  <c r="P1319" i="1"/>
  <c r="O1319" i="1"/>
  <c r="N1319" i="1"/>
  <c r="P1318" i="1"/>
  <c r="O1318" i="1"/>
  <c r="N1318" i="1"/>
  <c r="P1317" i="1"/>
  <c r="N1317" i="1"/>
  <c r="O1317" i="1" s="1"/>
  <c r="Q1316" i="1"/>
  <c r="P1316" i="1"/>
  <c r="N1316" i="1"/>
  <c r="O1316" i="1" s="1"/>
  <c r="P1315" i="1"/>
  <c r="N1315" i="1"/>
  <c r="O1315" i="1" s="1"/>
  <c r="P1314" i="1"/>
  <c r="N1314" i="1"/>
  <c r="O1314" i="1" s="1"/>
  <c r="P1313" i="1"/>
  <c r="O1313" i="1"/>
  <c r="Q1313" i="1" s="1"/>
  <c r="N1313" i="1"/>
  <c r="Q1312" i="1"/>
  <c r="R1312" i="1" s="1"/>
  <c r="P1312" i="1"/>
  <c r="O1312" i="1"/>
  <c r="N1312" i="1"/>
  <c r="P1311" i="1"/>
  <c r="N1311" i="1"/>
  <c r="O1311" i="1" s="1"/>
  <c r="Q1311" i="1" s="1"/>
  <c r="P1310" i="1"/>
  <c r="N1310" i="1"/>
  <c r="O1310" i="1" s="1"/>
  <c r="P1309" i="1"/>
  <c r="O1309" i="1"/>
  <c r="N1309" i="1"/>
  <c r="Q1308" i="1"/>
  <c r="R1308" i="1" s="1"/>
  <c r="P1308" i="1"/>
  <c r="O1308" i="1"/>
  <c r="N1308" i="1"/>
  <c r="P1307" i="1"/>
  <c r="N1307" i="1"/>
  <c r="O1307" i="1" s="1"/>
  <c r="P1306" i="1"/>
  <c r="O1306" i="1"/>
  <c r="N1306" i="1"/>
  <c r="P1305" i="1"/>
  <c r="Q1305" i="1" s="1"/>
  <c r="R1305" i="1" s="1"/>
  <c r="O1305" i="1"/>
  <c r="N1305" i="1"/>
  <c r="P1304" i="1"/>
  <c r="O1304" i="1"/>
  <c r="N1304" i="1"/>
  <c r="P1303" i="1"/>
  <c r="N1303" i="1"/>
  <c r="O1303" i="1" s="1"/>
  <c r="Q1302" i="1"/>
  <c r="R1302" i="1" s="1"/>
  <c r="P1302" i="1"/>
  <c r="O1302" i="1"/>
  <c r="N1302" i="1"/>
  <c r="P1301" i="1"/>
  <c r="N1301" i="1"/>
  <c r="O1301" i="1" s="1"/>
  <c r="P1300" i="1"/>
  <c r="N1300" i="1"/>
  <c r="O1300" i="1" s="1"/>
  <c r="P1299" i="1"/>
  <c r="N1299" i="1"/>
  <c r="O1299" i="1" s="1"/>
  <c r="P1298" i="1"/>
  <c r="N1298" i="1"/>
  <c r="O1298" i="1" s="1"/>
  <c r="R1297" i="1"/>
  <c r="P1297" i="1"/>
  <c r="O1297" i="1"/>
  <c r="Q1297" i="1" s="1"/>
  <c r="N1297" i="1"/>
  <c r="P1296" i="1"/>
  <c r="N1296" i="1"/>
  <c r="O1296" i="1" s="1"/>
  <c r="R1295" i="1"/>
  <c r="P1295" i="1"/>
  <c r="N1295" i="1"/>
  <c r="O1295" i="1" s="1"/>
  <c r="Q1295" i="1" s="1"/>
  <c r="P1294" i="1"/>
  <c r="O1294" i="1"/>
  <c r="N1294" i="1"/>
  <c r="Q1293" i="1"/>
  <c r="P1293" i="1"/>
  <c r="O1293" i="1"/>
  <c r="N1293" i="1"/>
  <c r="Q1292" i="1"/>
  <c r="R1292" i="1" s="1"/>
  <c r="P1292" i="1"/>
  <c r="O1292" i="1"/>
  <c r="N1292" i="1"/>
  <c r="P1291" i="1"/>
  <c r="N1291" i="1"/>
  <c r="O1291" i="1" s="1"/>
  <c r="P1290" i="1"/>
  <c r="N1290" i="1"/>
  <c r="O1290" i="1" s="1"/>
  <c r="Q1289" i="1"/>
  <c r="R1289" i="1" s="1"/>
  <c r="P1289" i="1"/>
  <c r="O1289" i="1"/>
  <c r="N1289" i="1"/>
  <c r="P1288" i="1"/>
  <c r="O1288" i="1"/>
  <c r="N1288" i="1"/>
  <c r="Q1287" i="1"/>
  <c r="R1287" i="1" s="1"/>
  <c r="P1287" i="1"/>
  <c r="O1287" i="1"/>
  <c r="N1287" i="1"/>
  <c r="P1286" i="1"/>
  <c r="O1286" i="1"/>
  <c r="N1286" i="1"/>
  <c r="P1285" i="1"/>
  <c r="N1285" i="1"/>
  <c r="O1285" i="1" s="1"/>
  <c r="P1284" i="1"/>
  <c r="N1284" i="1"/>
  <c r="O1284" i="1" s="1"/>
  <c r="P1283" i="1"/>
  <c r="O1283" i="1"/>
  <c r="N1283" i="1"/>
  <c r="P1282" i="1"/>
  <c r="N1282" i="1"/>
  <c r="O1282" i="1" s="1"/>
  <c r="P1281" i="1"/>
  <c r="O1281" i="1"/>
  <c r="N1281" i="1"/>
  <c r="P1280" i="1"/>
  <c r="N1280" i="1"/>
  <c r="O1280" i="1" s="1"/>
  <c r="P1279" i="1"/>
  <c r="N1279" i="1"/>
  <c r="O1279" i="1" s="1"/>
  <c r="Q1279" i="1" s="1"/>
  <c r="P1278" i="1"/>
  <c r="N1278" i="1"/>
  <c r="O1278" i="1" s="1"/>
  <c r="P1277" i="1"/>
  <c r="O1277" i="1"/>
  <c r="N1277" i="1"/>
  <c r="R1276" i="1"/>
  <c r="Q1276" i="1"/>
  <c r="P1276" i="1"/>
  <c r="O1276" i="1"/>
  <c r="N1276" i="1"/>
  <c r="P1275" i="1"/>
  <c r="N1275" i="1"/>
  <c r="O1275" i="1" s="1"/>
  <c r="P1274" i="1"/>
  <c r="N1274" i="1"/>
  <c r="O1274" i="1" s="1"/>
  <c r="P1273" i="1"/>
  <c r="Q1273" i="1" s="1"/>
  <c r="R1273" i="1" s="1"/>
  <c r="O1273" i="1"/>
  <c r="N1273" i="1"/>
  <c r="P1272" i="1"/>
  <c r="O1272" i="1"/>
  <c r="N1272" i="1"/>
  <c r="P1271" i="1"/>
  <c r="O1271" i="1"/>
  <c r="N1271" i="1"/>
  <c r="P1270" i="1"/>
  <c r="O1270" i="1"/>
  <c r="N1270" i="1"/>
  <c r="P1269" i="1"/>
  <c r="N1269" i="1"/>
  <c r="O1269" i="1" s="1"/>
  <c r="P1268" i="1"/>
  <c r="N1268" i="1"/>
  <c r="O1268" i="1" s="1"/>
  <c r="P1267" i="1"/>
  <c r="O1267" i="1"/>
  <c r="N1267" i="1"/>
  <c r="P1266" i="1"/>
  <c r="N1266" i="1"/>
  <c r="O1266" i="1" s="1"/>
  <c r="P1265" i="1"/>
  <c r="N1265" i="1"/>
  <c r="O1265" i="1" s="1"/>
  <c r="P1264" i="1"/>
  <c r="N1264" i="1"/>
  <c r="O1264" i="1" s="1"/>
  <c r="P1263" i="1"/>
  <c r="N1263" i="1"/>
  <c r="O1263" i="1" s="1"/>
  <c r="Q1263" i="1" s="1"/>
  <c r="P1262" i="1"/>
  <c r="N1262" i="1"/>
  <c r="O1262" i="1" s="1"/>
  <c r="P1261" i="1"/>
  <c r="O1261" i="1"/>
  <c r="N1261" i="1"/>
  <c r="R1260" i="1"/>
  <c r="Q1260" i="1"/>
  <c r="P1260" i="1"/>
  <c r="O1260" i="1"/>
  <c r="N1260" i="1"/>
  <c r="P1259" i="1"/>
  <c r="O1259" i="1"/>
  <c r="N1259" i="1"/>
  <c r="P1258" i="1"/>
  <c r="N1258" i="1"/>
  <c r="O1258" i="1" s="1"/>
  <c r="Q1257" i="1"/>
  <c r="R1257" i="1" s="1"/>
  <c r="P1257" i="1"/>
  <c r="O1257" i="1"/>
  <c r="N1257" i="1"/>
  <c r="P1256" i="1"/>
  <c r="O1256" i="1"/>
  <c r="N1256" i="1"/>
  <c r="Q1255" i="1"/>
  <c r="R1255" i="1" s="1"/>
  <c r="P1255" i="1"/>
  <c r="O1255" i="1"/>
  <c r="N1255" i="1"/>
  <c r="P1254" i="1"/>
  <c r="O1254" i="1"/>
  <c r="N1254" i="1"/>
  <c r="P1253" i="1"/>
  <c r="N1253" i="1"/>
  <c r="O1253" i="1" s="1"/>
  <c r="P1252" i="1"/>
  <c r="N1252" i="1"/>
  <c r="O1252" i="1" s="1"/>
  <c r="P1251" i="1"/>
  <c r="N1251" i="1"/>
  <c r="O1251" i="1" s="1"/>
  <c r="P1250" i="1"/>
  <c r="N1250" i="1"/>
  <c r="O1250" i="1" s="1"/>
  <c r="Q1249" i="1"/>
  <c r="R1249" i="1" s="1"/>
  <c r="P1249" i="1"/>
  <c r="O1249" i="1"/>
  <c r="N1249" i="1"/>
  <c r="P1248" i="1"/>
  <c r="N1248" i="1"/>
  <c r="O1248" i="1" s="1"/>
  <c r="R1247" i="1"/>
  <c r="P1247" i="1"/>
  <c r="N1247" i="1"/>
  <c r="O1247" i="1" s="1"/>
  <c r="Q1247" i="1" s="1"/>
  <c r="P1246" i="1"/>
  <c r="O1246" i="1"/>
  <c r="N1246" i="1"/>
  <c r="P1245" i="1"/>
  <c r="N1245" i="1"/>
  <c r="O1245" i="1" s="1"/>
  <c r="Q1245" i="1" s="1"/>
  <c r="R1244" i="1"/>
  <c r="Q1244" i="1"/>
  <c r="P1244" i="1"/>
  <c r="O1244" i="1"/>
  <c r="N1244" i="1"/>
  <c r="P1243" i="1"/>
  <c r="N1243" i="1"/>
  <c r="O1243" i="1" s="1"/>
  <c r="P1242" i="1"/>
  <c r="O1242" i="1"/>
  <c r="N1242" i="1"/>
  <c r="P1241" i="1"/>
  <c r="Q1241" i="1" s="1"/>
  <c r="R1241" i="1" s="1"/>
  <c r="O1241" i="1"/>
  <c r="N1241" i="1"/>
  <c r="P1240" i="1"/>
  <c r="O1240" i="1"/>
  <c r="N1240" i="1"/>
  <c r="P1239" i="1"/>
  <c r="N1239" i="1"/>
  <c r="O1239" i="1" s="1"/>
  <c r="Q1238" i="1"/>
  <c r="R1238" i="1" s="1"/>
  <c r="P1238" i="1"/>
  <c r="O1238" i="1"/>
  <c r="N1238" i="1"/>
  <c r="P1237" i="1"/>
  <c r="O1237" i="1"/>
  <c r="N1237" i="1"/>
  <c r="Q1236" i="1"/>
  <c r="R1236" i="1" s="1"/>
  <c r="P1236" i="1"/>
  <c r="O1236" i="1"/>
  <c r="N1236" i="1"/>
  <c r="P1235" i="1"/>
  <c r="N1235" i="1"/>
  <c r="O1235" i="1" s="1"/>
  <c r="P1234" i="1"/>
  <c r="N1234" i="1"/>
  <c r="O1234" i="1" s="1"/>
  <c r="P1233" i="1"/>
  <c r="N1233" i="1"/>
  <c r="O1233" i="1" s="1"/>
  <c r="P1232" i="1"/>
  <c r="N1232" i="1"/>
  <c r="O1232" i="1" s="1"/>
  <c r="P1231" i="1"/>
  <c r="N1231" i="1"/>
  <c r="O1231" i="1" s="1"/>
  <c r="Q1231" i="1" s="1"/>
  <c r="R1230" i="1"/>
  <c r="P1230" i="1"/>
  <c r="N1230" i="1"/>
  <c r="O1230" i="1" s="1"/>
  <c r="Q1230" i="1" s="1"/>
  <c r="P1229" i="1"/>
  <c r="O1229" i="1"/>
  <c r="N1229" i="1"/>
  <c r="R1228" i="1"/>
  <c r="Q1228" i="1"/>
  <c r="P1228" i="1"/>
  <c r="O1228" i="1"/>
  <c r="N1228" i="1"/>
  <c r="P1227" i="1"/>
  <c r="N1227" i="1"/>
  <c r="O1227" i="1" s="1"/>
  <c r="P1226" i="1"/>
  <c r="N1226" i="1"/>
  <c r="O1226" i="1" s="1"/>
  <c r="R1225" i="1"/>
  <c r="Q1225" i="1"/>
  <c r="P1225" i="1"/>
  <c r="O1225" i="1"/>
  <c r="N1225" i="1"/>
  <c r="P1224" i="1"/>
  <c r="O1224" i="1"/>
  <c r="N1224" i="1"/>
  <c r="P1223" i="1"/>
  <c r="N1223" i="1"/>
  <c r="O1223" i="1" s="1"/>
  <c r="Q1223" i="1" s="1"/>
  <c r="P1222" i="1"/>
  <c r="O1222" i="1"/>
  <c r="N1222" i="1"/>
  <c r="P1221" i="1"/>
  <c r="N1221" i="1"/>
  <c r="O1221" i="1" s="1"/>
  <c r="P1220" i="1"/>
  <c r="O1220" i="1"/>
  <c r="N1220" i="1"/>
  <c r="P1219" i="1"/>
  <c r="O1219" i="1"/>
  <c r="N1219" i="1"/>
  <c r="P1218" i="1"/>
  <c r="N1218" i="1"/>
  <c r="O1218" i="1" s="1"/>
  <c r="P1217" i="1"/>
  <c r="O1217" i="1"/>
  <c r="N1217" i="1"/>
  <c r="P1216" i="1"/>
  <c r="N1216" i="1"/>
  <c r="O1216" i="1" s="1"/>
  <c r="P1215" i="1"/>
  <c r="N1215" i="1"/>
  <c r="O1215" i="1" s="1"/>
  <c r="Q1215" i="1" s="1"/>
  <c r="P1214" i="1"/>
  <c r="O1214" i="1"/>
  <c r="N1214" i="1"/>
  <c r="P1213" i="1"/>
  <c r="O1213" i="1"/>
  <c r="N1213" i="1"/>
  <c r="R1212" i="1"/>
  <c r="Q1212" i="1"/>
  <c r="P1212" i="1"/>
  <c r="O1212" i="1"/>
  <c r="N1212" i="1"/>
  <c r="P1211" i="1"/>
  <c r="N1211" i="1"/>
  <c r="O1211" i="1" s="1"/>
  <c r="P1210" i="1"/>
  <c r="O1210" i="1"/>
  <c r="N1210" i="1"/>
  <c r="P1209" i="1"/>
  <c r="Q1209" i="1" s="1"/>
  <c r="R1209" i="1" s="1"/>
  <c r="O1209" i="1"/>
  <c r="N1209" i="1"/>
  <c r="P1208" i="1"/>
  <c r="N1208" i="1"/>
  <c r="O1208" i="1" s="1"/>
  <c r="P1207" i="1"/>
  <c r="O1207" i="1"/>
  <c r="N1207" i="1"/>
  <c r="P1206" i="1"/>
  <c r="O1206" i="1"/>
  <c r="N1206" i="1"/>
  <c r="P1205" i="1"/>
  <c r="N1205" i="1"/>
  <c r="O1205" i="1" s="1"/>
  <c r="P1204" i="1"/>
  <c r="N1204" i="1"/>
  <c r="O1204" i="1" s="1"/>
  <c r="P1203" i="1"/>
  <c r="N1203" i="1"/>
  <c r="O1203" i="1" s="1"/>
  <c r="P1202" i="1"/>
  <c r="N1202" i="1"/>
  <c r="O1202" i="1" s="1"/>
  <c r="Q1202" i="1" s="1"/>
  <c r="P1201" i="1"/>
  <c r="N1201" i="1"/>
  <c r="O1201" i="1" s="1"/>
  <c r="Q1201" i="1" s="1"/>
  <c r="P1200" i="1"/>
  <c r="O1200" i="1"/>
  <c r="N1200" i="1"/>
  <c r="P1199" i="1"/>
  <c r="N1199" i="1"/>
  <c r="O1199" i="1" s="1"/>
  <c r="P1198" i="1"/>
  <c r="N1198" i="1"/>
  <c r="O1198" i="1" s="1"/>
  <c r="P1197" i="1"/>
  <c r="N1197" i="1"/>
  <c r="O1197" i="1" s="1"/>
  <c r="R1196" i="1"/>
  <c r="Q1196" i="1"/>
  <c r="P1196" i="1"/>
  <c r="O1196" i="1"/>
  <c r="N1196" i="1"/>
  <c r="P1195" i="1"/>
  <c r="N1195" i="1"/>
  <c r="O1195" i="1" s="1"/>
  <c r="P1194" i="1"/>
  <c r="N1194" i="1"/>
  <c r="O1194" i="1" s="1"/>
  <c r="P1193" i="1"/>
  <c r="O1193" i="1"/>
  <c r="N1193" i="1"/>
  <c r="P1192" i="1"/>
  <c r="O1192" i="1"/>
  <c r="N1192" i="1"/>
  <c r="P1191" i="1"/>
  <c r="N1191" i="1"/>
  <c r="O1191" i="1" s="1"/>
  <c r="P1190" i="1"/>
  <c r="N1190" i="1"/>
  <c r="O1190" i="1" s="1"/>
  <c r="P1189" i="1"/>
  <c r="O1189" i="1"/>
  <c r="N1189" i="1"/>
  <c r="P1188" i="1"/>
  <c r="O1188" i="1"/>
  <c r="N1188" i="1"/>
  <c r="P1187" i="1"/>
  <c r="N1187" i="1"/>
  <c r="O1187" i="1" s="1"/>
  <c r="Q1187" i="1" s="1"/>
  <c r="R1186" i="1"/>
  <c r="P1186" i="1"/>
  <c r="N1186" i="1"/>
  <c r="O1186" i="1" s="1"/>
  <c r="Q1186" i="1" s="1"/>
  <c r="P1185" i="1"/>
  <c r="N1185" i="1"/>
  <c r="O1185" i="1" s="1"/>
  <c r="P1184" i="1"/>
  <c r="O1184" i="1"/>
  <c r="N1184" i="1"/>
  <c r="P1183" i="1"/>
  <c r="N1183" i="1"/>
  <c r="O1183" i="1" s="1"/>
  <c r="P1182" i="1"/>
  <c r="O1182" i="1"/>
  <c r="N1182" i="1"/>
  <c r="P1181" i="1"/>
  <c r="O1181" i="1"/>
  <c r="N1181" i="1"/>
  <c r="P1180" i="1"/>
  <c r="Q1180" i="1" s="1"/>
  <c r="R1180" i="1" s="1"/>
  <c r="O1180" i="1"/>
  <c r="N1180" i="1"/>
  <c r="P1179" i="1"/>
  <c r="N1179" i="1"/>
  <c r="O1179" i="1" s="1"/>
  <c r="P1178" i="1"/>
  <c r="O1178" i="1"/>
  <c r="Q1178" i="1" s="1"/>
  <c r="R1178" i="1" s="1"/>
  <c r="N1178" i="1"/>
  <c r="P1177" i="1"/>
  <c r="N1177" i="1"/>
  <c r="O1177" i="1" s="1"/>
  <c r="P1176" i="1"/>
  <c r="O1176" i="1"/>
  <c r="N1176" i="1"/>
  <c r="Q1175" i="1"/>
  <c r="R1175" i="1" s="1"/>
  <c r="P1175" i="1"/>
  <c r="O1175" i="1"/>
  <c r="N1175" i="1"/>
  <c r="P1174" i="1"/>
  <c r="N1174" i="1"/>
  <c r="O1174" i="1" s="1"/>
  <c r="P1173" i="1"/>
  <c r="N1173" i="1"/>
  <c r="O1173" i="1" s="1"/>
  <c r="P1172" i="1"/>
  <c r="O1172" i="1"/>
  <c r="N1172" i="1"/>
  <c r="P1171" i="1"/>
  <c r="N1171" i="1"/>
  <c r="O1171" i="1" s="1"/>
  <c r="Q1170" i="1"/>
  <c r="R1170" i="1" s="1"/>
  <c r="P1170" i="1"/>
  <c r="O1170" i="1"/>
  <c r="N1170" i="1"/>
  <c r="P1169" i="1"/>
  <c r="N1169" i="1"/>
  <c r="O1169" i="1" s="1"/>
  <c r="P1168" i="1"/>
  <c r="O1168" i="1"/>
  <c r="Q1168" i="1" s="1"/>
  <c r="R1168" i="1" s="1"/>
  <c r="N1168" i="1"/>
  <c r="P1167" i="1"/>
  <c r="Q1167" i="1" s="1"/>
  <c r="R1167" i="1" s="1"/>
  <c r="N1167" i="1"/>
  <c r="O1167" i="1" s="1"/>
  <c r="P1166" i="1"/>
  <c r="O1166" i="1"/>
  <c r="N1166" i="1"/>
  <c r="Q1165" i="1"/>
  <c r="R1165" i="1" s="1"/>
  <c r="P1165" i="1"/>
  <c r="O1165" i="1"/>
  <c r="N1165" i="1"/>
  <c r="P1164" i="1"/>
  <c r="O1164" i="1"/>
  <c r="N1164" i="1"/>
  <c r="P1163" i="1"/>
  <c r="N1163" i="1"/>
  <c r="O1163" i="1" s="1"/>
  <c r="P1162" i="1"/>
  <c r="O1162" i="1"/>
  <c r="N1162" i="1"/>
  <c r="P1161" i="1"/>
  <c r="O1161" i="1"/>
  <c r="N1161" i="1"/>
  <c r="Q1160" i="1"/>
  <c r="P1160" i="1"/>
  <c r="O1160" i="1"/>
  <c r="N1160" i="1"/>
  <c r="P1159" i="1"/>
  <c r="N1159" i="1"/>
  <c r="O1159" i="1" s="1"/>
  <c r="P1158" i="1"/>
  <c r="O1158" i="1"/>
  <c r="Q1158" i="1" s="1"/>
  <c r="R1158" i="1" s="1"/>
  <c r="N1158" i="1"/>
  <c r="P1157" i="1"/>
  <c r="O1157" i="1"/>
  <c r="N1157" i="1"/>
  <c r="P1156" i="1"/>
  <c r="O1156" i="1"/>
  <c r="N1156" i="1"/>
  <c r="Q1155" i="1"/>
  <c r="R1155" i="1" s="1"/>
  <c r="P1155" i="1"/>
  <c r="O1155" i="1"/>
  <c r="N1155" i="1"/>
  <c r="P1154" i="1"/>
  <c r="N1154" i="1"/>
  <c r="O1154" i="1" s="1"/>
  <c r="P1153" i="1"/>
  <c r="N1153" i="1"/>
  <c r="O1153" i="1" s="1"/>
  <c r="P1152" i="1"/>
  <c r="O1152" i="1"/>
  <c r="N1152" i="1"/>
  <c r="P1151" i="1"/>
  <c r="N1151" i="1"/>
  <c r="O1151" i="1" s="1"/>
  <c r="Q1150" i="1"/>
  <c r="R1150" i="1" s="1"/>
  <c r="P1150" i="1"/>
  <c r="O1150" i="1"/>
  <c r="N1150" i="1"/>
  <c r="P1149" i="1"/>
  <c r="N1149" i="1"/>
  <c r="O1149" i="1" s="1"/>
  <c r="P1148" i="1"/>
  <c r="O1148" i="1"/>
  <c r="Q1148" i="1" s="1"/>
  <c r="R1148" i="1" s="1"/>
  <c r="N1148" i="1"/>
  <c r="P1147" i="1"/>
  <c r="N1147" i="1"/>
  <c r="O1147" i="1" s="1"/>
  <c r="P1146" i="1"/>
  <c r="N1146" i="1"/>
  <c r="O1146" i="1" s="1"/>
  <c r="P1145" i="1"/>
  <c r="N1145" i="1"/>
  <c r="O1145" i="1" s="1"/>
  <c r="P1144" i="1"/>
  <c r="O1144" i="1"/>
  <c r="N1144" i="1"/>
  <c r="P1143" i="1"/>
  <c r="O1143" i="1"/>
  <c r="N1143" i="1"/>
  <c r="Q1142" i="1"/>
  <c r="R1142" i="1" s="1"/>
  <c r="P1142" i="1"/>
  <c r="O1142" i="1"/>
  <c r="N1142" i="1"/>
  <c r="P1141" i="1"/>
  <c r="N1141" i="1"/>
  <c r="O1141" i="1" s="1"/>
  <c r="P1140" i="1"/>
  <c r="N1140" i="1"/>
  <c r="O1140" i="1" s="1"/>
  <c r="P1139" i="1"/>
  <c r="O1139" i="1"/>
  <c r="N1139" i="1"/>
  <c r="P1138" i="1"/>
  <c r="O1138" i="1"/>
  <c r="N1138" i="1"/>
  <c r="P1137" i="1"/>
  <c r="N1137" i="1"/>
  <c r="O1137" i="1" s="1"/>
  <c r="Q1137" i="1" s="1"/>
  <c r="P1136" i="1"/>
  <c r="O1136" i="1"/>
  <c r="N1136" i="1"/>
  <c r="P1135" i="1"/>
  <c r="N1135" i="1"/>
  <c r="O1135" i="1" s="1"/>
  <c r="Q1134" i="1"/>
  <c r="R1134" i="1" s="1"/>
  <c r="P1134" i="1"/>
  <c r="O1134" i="1"/>
  <c r="N1134" i="1"/>
  <c r="P1133" i="1"/>
  <c r="N1133" i="1"/>
  <c r="O1133" i="1" s="1"/>
  <c r="P1132" i="1"/>
  <c r="O1132" i="1"/>
  <c r="Q1132" i="1" s="1"/>
  <c r="R1132" i="1" s="1"/>
  <c r="N1132" i="1"/>
  <c r="P1131" i="1"/>
  <c r="N1131" i="1"/>
  <c r="O1131" i="1" s="1"/>
  <c r="P1130" i="1"/>
  <c r="N1130" i="1"/>
  <c r="O1130" i="1" s="1"/>
  <c r="P1129" i="1"/>
  <c r="N1129" i="1"/>
  <c r="O1129" i="1" s="1"/>
  <c r="Q1129" i="1" s="1"/>
  <c r="P1128" i="1"/>
  <c r="O1128" i="1"/>
  <c r="N1128" i="1"/>
  <c r="P1127" i="1"/>
  <c r="O1127" i="1"/>
  <c r="N1127" i="1"/>
  <c r="Q1126" i="1"/>
  <c r="R1126" i="1" s="1"/>
  <c r="P1126" i="1"/>
  <c r="O1126" i="1"/>
  <c r="N1126" i="1"/>
  <c r="P1125" i="1"/>
  <c r="N1125" i="1"/>
  <c r="O1125" i="1" s="1"/>
  <c r="P1124" i="1"/>
  <c r="N1124" i="1"/>
  <c r="O1124" i="1" s="1"/>
  <c r="P1123" i="1"/>
  <c r="O1123" i="1"/>
  <c r="N1123" i="1"/>
  <c r="P1122" i="1"/>
  <c r="O1122" i="1"/>
  <c r="N1122" i="1"/>
  <c r="P1121" i="1"/>
  <c r="N1121" i="1"/>
  <c r="O1121" i="1" s="1"/>
  <c r="Q1121" i="1" s="1"/>
  <c r="P1120" i="1"/>
  <c r="O1120" i="1"/>
  <c r="N1120" i="1"/>
  <c r="P1119" i="1"/>
  <c r="N1119" i="1"/>
  <c r="O1119" i="1" s="1"/>
  <c r="Q1118" i="1"/>
  <c r="R1118" i="1" s="1"/>
  <c r="P1118" i="1"/>
  <c r="O1118" i="1"/>
  <c r="N1118" i="1"/>
  <c r="P1117" i="1"/>
  <c r="N1117" i="1"/>
  <c r="O1117" i="1" s="1"/>
  <c r="P1116" i="1"/>
  <c r="O1116" i="1"/>
  <c r="Q1116" i="1" s="1"/>
  <c r="R1116" i="1" s="1"/>
  <c r="N1116" i="1"/>
  <c r="P1115" i="1"/>
  <c r="N1115" i="1"/>
  <c r="O1115" i="1" s="1"/>
  <c r="P1114" i="1"/>
  <c r="N1114" i="1"/>
  <c r="O1114" i="1" s="1"/>
  <c r="P1113" i="1"/>
  <c r="N1113" i="1"/>
  <c r="O1113" i="1" s="1"/>
  <c r="Q1113" i="1" s="1"/>
  <c r="P1112" i="1"/>
  <c r="O1112" i="1"/>
  <c r="N1112" i="1"/>
  <c r="P1111" i="1"/>
  <c r="O1111" i="1"/>
  <c r="N1111" i="1"/>
  <c r="Q1110" i="1"/>
  <c r="R1110" i="1" s="1"/>
  <c r="P1110" i="1"/>
  <c r="O1110" i="1"/>
  <c r="N1110" i="1"/>
  <c r="P1109" i="1"/>
  <c r="N1109" i="1"/>
  <c r="O1109" i="1" s="1"/>
  <c r="P1108" i="1"/>
  <c r="N1108" i="1"/>
  <c r="O1108" i="1" s="1"/>
  <c r="P1107" i="1"/>
  <c r="O1107" i="1"/>
  <c r="N1107" i="1"/>
  <c r="P1106" i="1"/>
  <c r="O1106" i="1"/>
  <c r="N1106" i="1"/>
  <c r="P1105" i="1"/>
  <c r="N1105" i="1"/>
  <c r="O1105" i="1" s="1"/>
  <c r="Q1105" i="1" s="1"/>
  <c r="P1104" i="1"/>
  <c r="O1104" i="1"/>
  <c r="N1104" i="1"/>
  <c r="P1103" i="1"/>
  <c r="N1103" i="1"/>
  <c r="O1103" i="1" s="1"/>
  <c r="Q1102" i="1"/>
  <c r="R1102" i="1" s="1"/>
  <c r="P1102" i="1"/>
  <c r="O1102" i="1"/>
  <c r="N1102" i="1"/>
  <c r="P1101" i="1"/>
  <c r="N1101" i="1"/>
  <c r="O1101" i="1" s="1"/>
  <c r="P1100" i="1"/>
  <c r="O1100" i="1"/>
  <c r="Q1100" i="1" s="1"/>
  <c r="R1100" i="1" s="1"/>
  <c r="N1100" i="1"/>
  <c r="P1099" i="1"/>
  <c r="N1099" i="1"/>
  <c r="O1099" i="1" s="1"/>
  <c r="P1098" i="1"/>
  <c r="N1098" i="1"/>
  <c r="O1098" i="1" s="1"/>
  <c r="P1097" i="1"/>
  <c r="N1097" i="1"/>
  <c r="O1097" i="1" s="1"/>
  <c r="Q1097" i="1" s="1"/>
  <c r="P1096" i="1"/>
  <c r="O1096" i="1"/>
  <c r="N1096" i="1"/>
  <c r="P1095" i="1"/>
  <c r="O1095" i="1"/>
  <c r="N1095" i="1"/>
  <c r="Q1094" i="1"/>
  <c r="P1094" i="1"/>
  <c r="O1094" i="1"/>
  <c r="R1094" i="1" s="1"/>
  <c r="N1094" i="1"/>
  <c r="P1093" i="1"/>
  <c r="N1093" i="1"/>
  <c r="O1093" i="1" s="1"/>
  <c r="P1092" i="1"/>
  <c r="N1092" i="1"/>
  <c r="O1092" i="1" s="1"/>
  <c r="P1091" i="1"/>
  <c r="O1091" i="1"/>
  <c r="N1091" i="1"/>
  <c r="P1090" i="1"/>
  <c r="O1090" i="1"/>
  <c r="N1090" i="1"/>
  <c r="P1089" i="1"/>
  <c r="N1089" i="1"/>
  <c r="O1089" i="1" s="1"/>
  <c r="Q1089" i="1" s="1"/>
  <c r="P1088" i="1"/>
  <c r="O1088" i="1"/>
  <c r="N1088" i="1"/>
  <c r="P1087" i="1"/>
  <c r="N1087" i="1"/>
  <c r="O1087" i="1" s="1"/>
  <c r="Q1086" i="1"/>
  <c r="R1086" i="1" s="1"/>
  <c r="P1086" i="1"/>
  <c r="O1086" i="1"/>
  <c r="N1086" i="1"/>
  <c r="P1085" i="1"/>
  <c r="N1085" i="1"/>
  <c r="O1085" i="1" s="1"/>
  <c r="P1084" i="1"/>
  <c r="O1084" i="1"/>
  <c r="Q1084" i="1" s="1"/>
  <c r="R1084" i="1" s="1"/>
  <c r="N1084" i="1"/>
  <c r="P1083" i="1"/>
  <c r="N1083" i="1"/>
  <c r="O1083" i="1" s="1"/>
  <c r="Q1083" i="1" s="1"/>
  <c r="P1082" i="1"/>
  <c r="N1082" i="1"/>
  <c r="O1082" i="1" s="1"/>
  <c r="P1081" i="1"/>
  <c r="N1081" i="1"/>
  <c r="O1081" i="1" s="1"/>
  <c r="Q1081" i="1" s="1"/>
  <c r="Q1080" i="1"/>
  <c r="P1080" i="1"/>
  <c r="O1080" i="1"/>
  <c r="N1080" i="1"/>
  <c r="P1079" i="1"/>
  <c r="O1079" i="1"/>
  <c r="N1079" i="1"/>
  <c r="Q1078" i="1"/>
  <c r="P1078" i="1"/>
  <c r="O1078" i="1"/>
  <c r="R1078" i="1" s="1"/>
  <c r="N1078" i="1"/>
  <c r="P1077" i="1"/>
  <c r="N1077" i="1"/>
  <c r="O1077" i="1" s="1"/>
  <c r="P1076" i="1"/>
  <c r="N1076" i="1"/>
  <c r="O1076" i="1" s="1"/>
  <c r="P1075" i="1"/>
  <c r="O1075" i="1"/>
  <c r="N1075" i="1"/>
  <c r="P1074" i="1"/>
  <c r="O1074" i="1"/>
  <c r="N1074" i="1"/>
  <c r="P1073" i="1"/>
  <c r="N1073" i="1"/>
  <c r="O1073" i="1" s="1"/>
  <c r="Q1073" i="1" s="1"/>
  <c r="P1072" i="1"/>
  <c r="O1072" i="1"/>
  <c r="N1072" i="1"/>
  <c r="P1071" i="1"/>
  <c r="N1071" i="1"/>
  <c r="O1071" i="1" s="1"/>
  <c r="Q1070" i="1"/>
  <c r="R1070" i="1" s="1"/>
  <c r="P1070" i="1"/>
  <c r="O1070" i="1"/>
  <c r="N1070" i="1"/>
  <c r="P1069" i="1"/>
  <c r="N1069" i="1"/>
  <c r="O1069" i="1" s="1"/>
  <c r="P1068" i="1"/>
  <c r="O1068" i="1"/>
  <c r="Q1068" i="1" s="1"/>
  <c r="R1068" i="1" s="1"/>
  <c r="N1068" i="1"/>
  <c r="P1067" i="1"/>
  <c r="N1067" i="1"/>
  <c r="O1067" i="1" s="1"/>
  <c r="P1066" i="1"/>
  <c r="N1066" i="1"/>
  <c r="O1066" i="1" s="1"/>
  <c r="P1065" i="1"/>
  <c r="N1065" i="1"/>
  <c r="O1065" i="1" s="1"/>
  <c r="Q1065" i="1" s="1"/>
  <c r="Q1064" i="1"/>
  <c r="P1064" i="1"/>
  <c r="O1064" i="1"/>
  <c r="N1064" i="1"/>
  <c r="P1063" i="1"/>
  <c r="O1063" i="1"/>
  <c r="N1063" i="1"/>
  <c r="Q1062" i="1"/>
  <c r="P1062" i="1"/>
  <c r="O1062" i="1"/>
  <c r="R1062" i="1" s="1"/>
  <c r="N1062" i="1"/>
  <c r="P1061" i="1"/>
  <c r="O1061" i="1"/>
  <c r="N1061" i="1"/>
  <c r="P1060" i="1"/>
  <c r="N1060" i="1"/>
  <c r="O1060" i="1" s="1"/>
  <c r="P1059" i="1"/>
  <c r="O1059" i="1"/>
  <c r="N1059" i="1"/>
  <c r="P1058" i="1"/>
  <c r="O1058" i="1"/>
  <c r="N1058" i="1"/>
  <c r="P1057" i="1"/>
  <c r="N1057" i="1"/>
  <c r="O1057" i="1" s="1"/>
  <c r="Q1057" i="1" s="1"/>
  <c r="P1056" i="1"/>
  <c r="O1056" i="1"/>
  <c r="N1056" i="1"/>
  <c r="P1055" i="1"/>
  <c r="N1055" i="1"/>
  <c r="O1055" i="1" s="1"/>
  <c r="Q1054" i="1"/>
  <c r="R1054" i="1" s="1"/>
  <c r="P1054" i="1"/>
  <c r="O1054" i="1"/>
  <c r="N1054" i="1"/>
  <c r="P1053" i="1"/>
  <c r="N1053" i="1"/>
  <c r="O1053" i="1" s="1"/>
  <c r="P1052" i="1"/>
  <c r="O1052" i="1"/>
  <c r="Q1052" i="1" s="1"/>
  <c r="R1052" i="1" s="1"/>
  <c r="N1052" i="1"/>
  <c r="P1051" i="1"/>
  <c r="Q1051" i="1" s="1"/>
  <c r="N1051" i="1"/>
  <c r="O1051" i="1" s="1"/>
  <c r="P1050" i="1"/>
  <c r="N1050" i="1"/>
  <c r="O1050" i="1" s="1"/>
  <c r="P1049" i="1"/>
  <c r="N1049" i="1"/>
  <c r="O1049" i="1" s="1"/>
  <c r="Q1049" i="1" s="1"/>
  <c r="P1048" i="1"/>
  <c r="O1048" i="1"/>
  <c r="N1048" i="1"/>
  <c r="P1047" i="1"/>
  <c r="O1047" i="1"/>
  <c r="N1047" i="1"/>
  <c r="P1046" i="1"/>
  <c r="Q1046" i="1" s="1"/>
  <c r="O1046" i="1"/>
  <c r="N1046" i="1"/>
  <c r="P1045" i="1"/>
  <c r="N1045" i="1"/>
  <c r="O1045" i="1" s="1"/>
  <c r="P1044" i="1"/>
  <c r="N1044" i="1"/>
  <c r="O1044" i="1" s="1"/>
  <c r="P1043" i="1"/>
  <c r="O1043" i="1"/>
  <c r="N1043" i="1"/>
  <c r="P1042" i="1"/>
  <c r="N1042" i="1"/>
  <c r="O1042" i="1" s="1"/>
  <c r="P1041" i="1"/>
  <c r="N1041" i="1"/>
  <c r="O1041" i="1" s="1"/>
  <c r="Q1041" i="1" s="1"/>
  <c r="P1040" i="1"/>
  <c r="O1040" i="1"/>
  <c r="N1040" i="1"/>
  <c r="P1039" i="1"/>
  <c r="N1039" i="1"/>
  <c r="O1039" i="1" s="1"/>
  <c r="R1038" i="1"/>
  <c r="Q1038" i="1"/>
  <c r="P1038" i="1"/>
  <c r="O1038" i="1"/>
  <c r="N1038" i="1"/>
  <c r="P1037" i="1"/>
  <c r="N1037" i="1"/>
  <c r="O1037" i="1" s="1"/>
  <c r="P1036" i="1"/>
  <c r="O1036" i="1"/>
  <c r="Q1036" i="1" s="1"/>
  <c r="N1036" i="1"/>
  <c r="P1035" i="1"/>
  <c r="N1035" i="1"/>
  <c r="O1035" i="1" s="1"/>
  <c r="Q1035" i="1" s="1"/>
  <c r="R1035" i="1" s="1"/>
  <c r="P1034" i="1"/>
  <c r="N1034" i="1"/>
  <c r="O1034" i="1" s="1"/>
  <c r="P1033" i="1"/>
  <c r="N1033" i="1"/>
  <c r="O1033" i="1" s="1"/>
  <c r="P1032" i="1"/>
  <c r="O1032" i="1"/>
  <c r="N1032" i="1"/>
  <c r="P1031" i="1"/>
  <c r="O1031" i="1"/>
  <c r="N1031" i="1"/>
  <c r="P1030" i="1"/>
  <c r="Q1030" i="1" s="1"/>
  <c r="O1030" i="1"/>
  <c r="N1030" i="1"/>
  <c r="P1029" i="1"/>
  <c r="N1029" i="1"/>
  <c r="O1029" i="1" s="1"/>
  <c r="P1028" i="1"/>
  <c r="N1028" i="1"/>
  <c r="O1028" i="1" s="1"/>
  <c r="P1027" i="1"/>
  <c r="O1027" i="1"/>
  <c r="N1027" i="1"/>
  <c r="P1026" i="1"/>
  <c r="O1026" i="1"/>
  <c r="N1026" i="1"/>
  <c r="P1025" i="1"/>
  <c r="N1025" i="1"/>
  <c r="O1025" i="1" s="1"/>
  <c r="Q1025" i="1" s="1"/>
  <c r="P1024" i="1"/>
  <c r="N1024" i="1"/>
  <c r="O1024" i="1" s="1"/>
  <c r="P1023" i="1"/>
  <c r="N1023" i="1"/>
  <c r="O1023" i="1" s="1"/>
  <c r="Q1022" i="1"/>
  <c r="R1022" i="1" s="1"/>
  <c r="P1022" i="1"/>
  <c r="O1022" i="1"/>
  <c r="N1022" i="1"/>
  <c r="Q1021" i="1"/>
  <c r="P1021" i="1"/>
  <c r="N1021" i="1"/>
  <c r="O1021" i="1" s="1"/>
  <c r="R1020" i="1"/>
  <c r="P1020" i="1"/>
  <c r="O1020" i="1"/>
  <c r="Q1020" i="1" s="1"/>
  <c r="N1020" i="1"/>
  <c r="Q1019" i="1"/>
  <c r="P1019" i="1"/>
  <c r="N1019" i="1"/>
  <c r="O1019" i="1" s="1"/>
  <c r="R1019" i="1" s="1"/>
  <c r="P1018" i="1"/>
  <c r="N1018" i="1"/>
  <c r="O1018" i="1" s="1"/>
  <c r="P1017" i="1"/>
  <c r="N1017" i="1"/>
  <c r="O1017" i="1" s="1"/>
  <c r="P1016" i="1"/>
  <c r="O1016" i="1"/>
  <c r="N1016" i="1"/>
  <c r="P1015" i="1"/>
  <c r="O1015" i="1"/>
  <c r="N1015" i="1"/>
  <c r="Q1014" i="1"/>
  <c r="P1014" i="1"/>
  <c r="O1014" i="1"/>
  <c r="N1014" i="1"/>
  <c r="P1013" i="1"/>
  <c r="O1013" i="1"/>
  <c r="Q1013" i="1" s="1"/>
  <c r="N1013" i="1"/>
  <c r="P1012" i="1"/>
  <c r="N1012" i="1"/>
  <c r="O1012" i="1" s="1"/>
  <c r="P1011" i="1"/>
  <c r="N1011" i="1"/>
  <c r="O1011" i="1" s="1"/>
  <c r="P1010" i="1"/>
  <c r="N1010" i="1"/>
  <c r="O1010" i="1" s="1"/>
  <c r="P1009" i="1"/>
  <c r="N1009" i="1"/>
  <c r="O1009" i="1" s="1"/>
  <c r="Q1009" i="1" s="1"/>
  <c r="P1008" i="1"/>
  <c r="O1008" i="1"/>
  <c r="Q1008" i="1" s="1"/>
  <c r="N1008" i="1"/>
  <c r="P1007" i="1"/>
  <c r="N1007" i="1"/>
  <c r="O1007" i="1" s="1"/>
  <c r="Q1007" i="1" s="1"/>
  <c r="R1006" i="1"/>
  <c r="Q1006" i="1"/>
  <c r="P1006" i="1"/>
  <c r="O1006" i="1"/>
  <c r="N1006" i="1"/>
  <c r="P1005" i="1"/>
  <c r="N1005" i="1"/>
  <c r="O1005" i="1" s="1"/>
  <c r="P1004" i="1"/>
  <c r="N1004" i="1"/>
  <c r="O1004" i="1" s="1"/>
  <c r="P1003" i="1"/>
  <c r="N1003" i="1"/>
  <c r="O1003" i="1" s="1"/>
  <c r="P1002" i="1"/>
  <c r="N1002" i="1"/>
  <c r="O1002" i="1" s="1"/>
  <c r="Q1001" i="1"/>
  <c r="P1001" i="1"/>
  <c r="N1001" i="1"/>
  <c r="O1001" i="1" s="1"/>
  <c r="R1001" i="1" s="1"/>
  <c r="P1000" i="1"/>
  <c r="O1000" i="1"/>
  <c r="N1000" i="1"/>
  <c r="P999" i="1"/>
  <c r="O999" i="1"/>
  <c r="N999" i="1"/>
  <c r="Q998" i="1"/>
  <c r="R998" i="1" s="1"/>
  <c r="P998" i="1"/>
  <c r="O998" i="1"/>
  <c r="N998" i="1"/>
  <c r="P997" i="1"/>
  <c r="N997" i="1"/>
  <c r="O997" i="1" s="1"/>
  <c r="P996" i="1"/>
  <c r="N996" i="1"/>
  <c r="O996" i="1" s="1"/>
  <c r="P995" i="1"/>
  <c r="N995" i="1"/>
  <c r="O995" i="1" s="1"/>
  <c r="P994" i="1"/>
  <c r="N994" i="1"/>
  <c r="O994" i="1" s="1"/>
  <c r="P993" i="1"/>
  <c r="N993" i="1"/>
  <c r="O993" i="1" s="1"/>
  <c r="Q993" i="1" s="1"/>
  <c r="P992" i="1"/>
  <c r="N992" i="1"/>
  <c r="O992" i="1" s="1"/>
  <c r="P991" i="1"/>
  <c r="O991" i="1"/>
  <c r="N991" i="1"/>
  <c r="Q990" i="1"/>
  <c r="R990" i="1" s="1"/>
  <c r="P990" i="1"/>
  <c r="O990" i="1"/>
  <c r="N990" i="1"/>
  <c r="P989" i="1"/>
  <c r="N989" i="1"/>
  <c r="O989" i="1" s="1"/>
  <c r="P988" i="1"/>
  <c r="O988" i="1"/>
  <c r="N988" i="1"/>
  <c r="P987" i="1"/>
  <c r="N987" i="1"/>
  <c r="O987" i="1" s="1"/>
  <c r="Q987" i="1" s="1"/>
  <c r="R987" i="1" s="1"/>
  <c r="P986" i="1"/>
  <c r="N986" i="1"/>
  <c r="O986" i="1" s="1"/>
  <c r="P985" i="1"/>
  <c r="N985" i="1"/>
  <c r="O985" i="1" s="1"/>
  <c r="P984" i="1"/>
  <c r="O984" i="1"/>
  <c r="N984" i="1"/>
  <c r="P983" i="1"/>
  <c r="O983" i="1"/>
  <c r="N983" i="1"/>
  <c r="P982" i="1"/>
  <c r="Q982" i="1" s="1"/>
  <c r="O982" i="1"/>
  <c r="R982" i="1" s="1"/>
  <c r="N982" i="1"/>
  <c r="P981" i="1"/>
  <c r="N981" i="1"/>
  <c r="O981" i="1" s="1"/>
  <c r="P980" i="1"/>
  <c r="N980" i="1"/>
  <c r="O980" i="1" s="1"/>
  <c r="P979" i="1"/>
  <c r="O979" i="1"/>
  <c r="N979" i="1"/>
  <c r="P978" i="1"/>
  <c r="O978" i="1"/>
  <c r="N978" i="1"/>
  <c r="P977" i="1"/>
  <c r="N977" i="1"/>
  <c r="O977" i="1" s="1"/>
  <c r="Q977" i="1" s="1"/>
  <c r="P976" i="1"/>
  <c r="N976" i="1"/>
  <c r="O976" i="1" s="1"/>
  <c r="P975" i="1"/>
  <c r="N975" i="1"/>
  <c r="O975" i="1" s="1"/>
  <c r="Q974" i="1"/>
  <c r="R974" i="1" s="1"/>
  <c r="P974" i="1"/>
  <c r="O974" i="1"/>
  <c r="N974" i="1"/>
  <c r="P973" i="1"/>
  <c r="O973" i="1"/>
  <c r="N973" i="1"/>
  <c r="P972" i="1"/>
  <c r="N972" i="1"/>
  <c r="O972" i="1" s="1"/>
  <c r="Q971" i="1"/>
  <c r="R971" i="1" s="1"/>
  <c r="P971" i="1"/>
  <c r="N971" i="1"/>
  <c r="O971" i="1" s="1"/>
  <c r="P970" i="1"/>
  <c r="N970" i="1"/>
  <c r="O970" i="1" s="1"/>
  <c r="P969" i="1"/>
  <c r="N969" i="1"/>
  <c r="O969" i="1" s="1"/>
  <c r="P968" i="1"/>
  <c r="O968" i="1"/>
  <c r="N968" i="1"/>
  <c r="P967" i="1"/>
  <c r="O967" i="1"/>
  <c r="N967" i="1"/>
  <c r="P966" i="1"/>
  <c r="O966" i="1"/>
  <c r="N966" i="1"/>
  <c r="P965" i="1"/>
  <c r="N965" i="1"/>
  <c r="O965" i="1" s="1"/>
  <c r="P964" i="1"/>
  <c r="N964" i="1"/>
  <c r="O964" i="1" s="1"/>
  <c r="P963" i="1"/>
  <c r="N963" i="1"/>
  <c r="O963" i="1" s="1"/>
  <c r="P962" i="1"/>
  <c r="N962" i="1"/>
  <c r="O962" i="1" s="1"/>
  <c r="P961" i="1"/>
  <c r="N961" i="1"/>
  <c r="O961" i="1" s="1"/>
  <c r="Q961" i="1" s="1"/>
  <c r="P960" i="1"/>
  <c r="N960" i="1"/>
  <c r="O960" i="1" s="1"/>
  <c r="P959" i="1"/>
  <c r="N959" i="1"/>
  <c r="O959" i="1" s="1"/>
  <c r="Q958" i="1"/>
  <c r="R958" i="1" s="1"/>
  <c r="P958" i="1"/>
  <c r="O958" i="1"/>
  <c r="N958" i="1"/>
  <c r="P957" i="1"/>
  <c r="O957" i="1"/>
  <c r="N957" i="1"/>
  <c r="P956" i="1"/>
  <c r="N956" i="1"/>
  <c r="O956" i="1" s="1"/>
  <c r="Q955" i="1"/>
  <c r="R955" i="1" s="1"/>
  <c r="P955" i="1"/>
  <c r="N955" i="1"/>
  <c r="O955" i="1" s="1"/>
  <c r="P954" i="1"/>
  <c r="N954" i="1"/>
  <c r="O954" i="1" s="1"/>
  <c r="P953" i="1"/>
  <c r="O953" i="1"/>
  <c r="N953" i="1"/>
  <c r="P952" i="1"/>
  <c r="O952" i="1"/>
  <c r="N952" i="1"/>
  <c r="P951" i="1"/>
  <c r="O951" i="1"/>
  <c r="N951" i="1"/>
  <c r="P950" i="1"/>
  <c r="N950" i="1"/>
  <c r="O950" i="1" s="1"/>
  <c r="P949" i="1"/>
  <c r="N949" i="1"/>
  <c r="O949" i="1" s="1"/>
  <c r="P948" i="1"/>
  <c r="N948" i="1"/>
  <c r="O948" i="1" s="1"/>
  <c r="P947" i="1"/>
  <c r="O947" i="1"/>
  <c r="N947" i="1"/>
  <c r="P946" i="1"/>
  <c r="N946" i="1"/>
  <c r="O946" i="1" s="1"/>
  <c r="P945" i="1"/>
  <c r="N945" i="1"/>
  <c r="O945" i="1" s="1"/>
  <c r="Q945" i="1" s="1"/>
  <c r="P944" i="1"/>
  <c r="N944" i="1"/>
  <c r="O944" i="1" s="1"/>
  <c r="P943" i="1"/>
  <c r="N943" i="1"/>
  <c r="O943" i="1" s="1"/>
  <c r="Q942" i="1"/>
  <c r="R942" i="1" s="1"/>
  <c r="P942" i="1"/>
  <c r="O942" i="1"/>
  <c r="N942" i="1"/>
  <c r="P941" i="1"/>
  <c r="N941" i="1"/>
  <c r="O941" i="1" s="1"/>
  <c r="P940" i="1"/>
  <c r="N940" i="1"/>
  <c r="O940" i="1" s="1"/>
  <c r="P939" i="1"/>
  <c r="N939" i="1"/>
  <c r="O939" i="1" s="1"/>
  <c r="P938" i="1"/>
  <c r="N938" i="1"/>
  <c r="O938" i="1" s="1"/>
  <c r="P937" i="1"/>
  <c r="N937" i="1"/>
  <c r="O937" i="1" s="1"/>
  <c r="P936" i="1"/>
  <c r="Q936" i="1" s="1"/>
  <c r="O936" i="1"/>
  <c r="R936" i="1" s="1"/>
  <c r="N936" i="1"/>
  <c r="P935" i="1"/>
  <c r="O935" i="1"/>
  <c r="N935" i="1"/>
  <c r="P934" i="1"/>
  <c r="N934" i="1"/>
  <c r="O934" i="1" s="1"/>
  <c r="P933" i="1"/>
  <c r="N933" i="1"/>
  <c r="O933" i="1" s="1"/>
  <c r="P932" i="1"/>
  <c r="N932" i="1"/>
  <c r="O932" i="1" s="1"/>
  <c r="P931" i="1"/>
  <c r="N931" i="1"/>
  <c r="O931" i="1" s="1"/>
  <c r="P930" i="1"/>
  <c r="N930" i="1"/>
  <c r="O930" i="1" s="1"/>
  <c r="P929" i="1"/>
  <c r="N929" i="1"/>
  <c r="O929" i="1" s="1"/>
  <c r="Q929" i="1" s="1"/>
  <c r="P928" i="1"/>
  <c r="O928" i="1"/>
  <c r="Q928" i="1" s="1"/>
  <c r="N928" i="1"/>
  <c r="P927" i="1"/>
  <c r="N927" i="1"/>
  <c r="O927" i="1" s="1"/>
  <c r="Q926" i="1"/>
  <c r="R926" i="1" s="1"/>
  <c r="P926" i="1"/>
  <c r="O926" i="1"/>
  <c r="N926" i="1"/>
  <c r="P925" i="1"/>
  <c r="N925" i="1"/>
  <c r="O925" i="1" s="1"/>
  <c r="P924" i="1"/>
  <c r="N924" i="1"/>
  <c r="O924" i="1" s="1"/>
  <c r="Q923" i="1"/>
  <c r="P923" i="1"/>
  <c r="N923" i="1"/>
  <c r="O923" i="1" s="1"/>
  <c r="R923" i="1" s="1"/>
  <c r="P922" i="1"/>
  <c r="N922" i="1"/>
  <c r="O922" i="1" s="1"/>
  <c r="P921" i="1"/>
  <c r="N921" i="1"/>
  <c r="O921" i="1" s="1"/>
  <c r="P920" i="1"/>
  <c r="Q920" i="1" s="1"/>
  <c r="R920" i="1" s="1"/>
  <c r="O920" i="1"/>
  <c r="N920" i="1"/>
  <c r="R919" i="1"/>
  <c r="P919" i="1"/>
  <c r="O919" i="1"/>
  <c r="Q919" i="1" s="1"/>
  <c r="N919" i="1"/>
  <c r="P918" i="1"/>
  <c r="N918" i="1"/>
  <c r="O918" i="1" s="1"/>
  <c r="P917" i="1"/>
  <c r="N917" i="1"/>
  <c r="O917" i="1" s="1"/>
  <c r="P916" i="1"/>
  <c r="N916" i="1"/>
  <c r="O916" i="1" s="1"/>
  <c r="P915" i="1"/>
  <c r="N915" i="1"/>
  <c r="O915" i="1" s="1"/>
  <c r="P914" i="1"/>
  <c r="N914" i="1"/>
  <c r="O914" i="1" s="1"/>
  <c r="P913" i="1"/>
  <c r="N913" i="1"/>
  <c r="O913" i="1" s="1"/>
  <c r="P912" i="1"/>
  <c r="N912" i="1"/>
  <c r="O912" i="1" s="1"/>
  <c r="Q912" i="1" s="1"/>
  <c r="P911" i="1"/>
  <c r="N911" i="1"/>
  <c r="O911" i="1" s="1"/>
  <c r="P910" i="1"/>
  <c r="O910" i="1"/>
  <c r="N910" i="1"/>
  <c r="P909" i="1"/>
  <c r="O909" i="1"/>
  <c r="N909" i="1"/>
  <c r="P908" i="1"/>
  <c r="N908" i="1"/>
  <c r="O908" i="1" s="1"/>
  <c r="Q907" i="1"/>
  <c r="P907" i="1"/>
  <c r="N907" i="1"/>
  <c r="O907" i="1" s="1"/>
  <c r="R907" i="1" s="1"/>
  <c r="P906" i="1"/>
  <c r="N906" i="1"/>
  <c r="O906" i="1" s="1"/>
  <c r="P905" i="1"/>
  <c r="O905" i="1"/>
  <c r="N905" i="1"/>
  <c r="P904" i="1"/>
  <c r="Q904" i="1" s="1"/>
  <c r="O904" i="1"/>
  <c r="R904" i="1" s="1"/>
  <c r="N904" i="1"/>
  <c r="P903" i="1"/>
  <c r="O903" i="1"/>
  <c r="Q903" i="1" s="1"/>
  <c r="N903" i="1"/>
  <c r="P902" i="1"/>
  <c r="O902" i="1"/>
  <c r="N902" i="1"/>
  <c r="P901" i="1"/>
  <c r="N901" i="1"/>
  <c r="O901" i="1" s="1"/>
  <c r="Q901" i="1" s="1"/>
  <c r="P900" i="1"/>
  <c r="N900" i="1"/>
  <c r="O900" i="1" s="1"/>
  <c r="P899" i="1"/>
  <c r="N899" i="1"/>
  <c r="O899" i="1" s="1"/>
  <c r="P898" i="1"/>
  <c r="N898" i="1"/>
  <c r="O898" i="1" s="1"/>
  <c r="P897" i="1"/>
  <c r="N897" i="1"/>
  <c r="O897" i="1" s="1"/>
  <c r="Q897" i="1" s="1"/>
  <c r="P896" i="1"/>
  <c r="N896" i="1"/>
  <c r="O896" i="1" s="1"/>
  <c r="P895" i="1"/>
  <c r="N895" i="1"/>
  <c r="O895" i="1" s="1"/>
  <c r="P894" i="1"/>
  <c r="O894" i="1"/>
  <c r="N894" i="1"/>
  <c r="P893" i="1"/>
  <c r="O893" i="1"/>
  <c r="N893" i="1"/>
  <c r="P892" i="1"/>
  <c r="N892" i="1"/>
  <c r="O892" i="1" s="1"/>
  <c r="P891" i="1"/>
  <c r="N891" i="1"/>
  <c r="O891" i="1" s="1"/>
  <c r="P890" i="1"/>
  <c r="N890" i="1"/>
  <c r="O890" i="1" s="1"/>
  <c r="P889" i="1"/>
  <c r="O889" i="1"/>
  <c r="N889" i="1"/>
  <c r="P888" i="1"/>
  <c r="O888" i="1"/>
  <c r="N888" i="1"/>
  <c r="P887" i="1"/>
  <c r="O887" i="1"/>
  <c r="Q887" i="1" s="1"/>
  <c r="N887" i="1"/>
  <c r="P886" i="1"/>
  <c r="N886" i="1"/>
  <c r="O886" i="1" s="1"/>
  <c r="P885" i="1"/>
  <c r="N885" i="1"/>
  <c r="O885" i="1" s="1"/>
  <c r="P884" i="1"/>
  <c r="N884" i="1"/>
  <c r="O884" i="1" s="1"/>
  <c r="P883" i="1"/>
  <c r="O883" i="1"/>
  <c r="N883" i="1"/>
  <c r="R882" i="1"/>
  <c r="P882" i="1"/>
  <c r="N882" i="1"/>
  <c r="O882" i="1" s="1"/>
  <c r="Q882" i="1" s="1"/>
  <c r="P881" i="1"/>
  <c r="N881" i="1"/>
  <c r="O881" i="1" s="1"/>
  <c r="Q881" i="1" s="1"/>
  <c r="P880" i="1"/>
  <c r="N880" i="1"/>
  <c r="O880" i="1" s="1"/>
  <c r="P879" i="1"/>
  <c r="N879" i="1"/>
  <c r="O879" i="1" s="1"/>
  <c r="P878" i="1"/>
  <c r="O878" i="1"/>
  <c r="N878" i="1"/>
  <c r="P877" i="1"/>
  <c r="O877" i="1"/>
  <c r="N877" i="1"/>
  <c r="P876" i="1"/>
  <c r="N876" i="1"/>
  <c r="O876" i="1" s="1"/>
  <c r="Q875" i="1"/>
  <c r="R875" i="1" s="1"/>
  <c r="P875" i="1"/>
  <c r="N875" i="1"/>
  <c r="O875" i="1" s="1"/>
  <c r="P874" i="1"/>
  <c r="N874" i="1"/>
  <c r="O874" i="1" s="1"/>
  <c r="P873" i="1"/>
  <c r="O873" i="1"/>
  <c r="N873" i="1"/>
  <c r="P872" i="1"/>
  <c r="O872" i="1"/>
  <c r="N872" i="1"/>
  <c r="R871" i="1"/>
  <c r="P871" i="1"/>
  <c r="O871" i="1"/>
  <c r="Q871" i="1" s="1"/>
  <c r="N871" i="1"/>
  <c r="P870" i="1"/>
  <c r="N870" i="1"/>
  <c r="O870" i="1" s="1"/>
  <c r="P869" i="1"/>
  <c r="N869" i="1"/>
  <c r="O869" i="1" s="1"/>
  <c r="Q868" i="1"/>
  <c r="P868" i="1"/>
  <c r="N868" i="1"/>
  <c r="O868" i="1" s="1"/>
  <c r="P867" i="1"/>
  <c r="N867" i="1"/>
  <c r="O867" i="1" s="1"/>
  <c r="P866" i="1"/>
  <c r="N866" i="1"/>
  <c r="O866" i="1" s="1"/>
  <c r="P865" i="1"/>
  <c r="N865" i="1"/>
  <c r="O865" i="1" s="1"/>
  <c r="Q865" i="1" s="1"/>
  <c r="P864" i="1"/>
  <c r="O864" i="1"/>
  <c r="Q864" i="1" s="1"/>
  <c r="N864" i="1"/>
  <c r="R863" i="1"/>
  <c r="P863" i="1"/>
  <c r="N863" i="1"/>
  <c r="O863" i="1" s="1"/>
  <c r="Q863" i="1" s="1"/>
  <c r="P862" i="1"/>
  <c r="O862" i="1"/>
  <c r="N862" i="1"/>
  <c r="P861" i="1"/>
  <c r="N861" i="1"/>
  <c r="O861" i="1" s="1"/>
  <c r="P860" i="1"/>
  <c r="N860" i="1"/>
  <c r="O860" i="1" s="1"/>
  <c r="Q859" i="1"/>
  <c r="R859" i="1" s="1"/>
  <c r="P859" i="1"/>
  <c r="N859" i="1"/>
  <c r="O859" i="1" s="1"/>
  <c r="P858" i="1"/>
  <c r="N858" i="1"/>
  <c r="O858" i="1" s="1"/>
  <c r="P857" i="1"/>
  <c r="O857" i="1"/>
  <c r="N857" i="1"/>
  <c r="P856" i="1"/>
  <c r="O856" i="1"/>
  <c r="Q856" i="1" s="1"/>
  <c r="R856" i="1" s="1"/>
  <c r="N856" i="1"/>
  <c r="P855" i="1"/>
  <c r="N855" i="1"/>
  <c r="O855" i="1" s="1"/>
  <c r="P854" i="1"/>
  <c r="N854" i="1"/>
  <c r="O854" i="1" s="1"/>
  <c r="P853" i="1"/>
  <c r="N853" i="1"/>
  <c r="O853" i="1" s="1"/>
  <c r="P852" i="1"/>
  <c r="N852" i="1"/>
  <c r="O852" i="1" s="1"/>
  <c r="P851" i="1"/>
  <c r="N851" i="1"/>
  <c r="O851" i="1" s="1"/>
  <c r="P850" i="1"/>
  <c r="N850" i="1"/>
  <c r="O850" i="1" s="1"/>
  <c r="P849" i="1"/>
  <c r="N849" i="1"/>
  <c r="O849" i="1" s="1"/>
  <c r="Q849" i="1" s="1"/>
  <c r="P848" i="1"/>
  <c r="N848" i="1"/>
  <c r="O848" i="1" s="1"/>
  <c r="P847" i="1"/>
  <c r="N847" i="1"/>
  <c r="O847" i="1" s="1"/>
  <c r="R846" i="1"/>
  <c r="Q846" i="1"/>
  <c r="P846" i="1"/>
  <c r="O846" i="1"/>
  <c r="N846" i="1"/>
  <c r="P845" i="1"/>
  <c r="N845" i="1"/>
  <c r="O845" i="1" s="1"/>
  <c r="P844" i="1"/>
  <c r="O844" i="1"/>
  <c r="Q844" i="1" s="1"/>
  <c r="R844" i="1" s="1"/>
  <c r="N844" i="1"/>
  <c r="P843" i="1"/>
  <c r="N843" i="1"/>
  <c r="O843" i="1" s="1"/>
  <c r="P842" i="1"/>
  <c r="N842" i="1"/>
  <c r="O842" i="1" s="1"/>
  <c r="P841" i="1"/>
  <c r="O841" i="1"/>
  <c r="N841" i="1"/>
  <c r="P840" i="1"/>
  <c r="O840" i="1"/>
  <c r="N840" i="1"/>
  <c r="P839" i="1"/>
  <c r="N839" i="1"/>
  <c r="O839" i="1" s="1"/>
  <c r="P838" i="1"/>
  <c r="N838" i="1"/>
  <c r="O838" i="1" s="1"/>
  <c r="P837" i="1"/>
  <c r="O837" i="1"/>
  <c r="Q837" i="1" s="1"/>
  <c r="R837" i="1" s="1"/>
  <c r="N837" i="1"/>
  <c r="P836" i="1"/>
  <c r="N836" i="1"/>
  <c r="O836" i="1" s="1"/>
  <c r="P835" i="1"/>
  <c r="O835" i="1"/>
  <c r="N835" i="1"/>
  <c r="P834" i="1"/>
  <c r="N834" i="1"/>
  <c r="O834" i="1" s="1"/>
  <c r="P833" i="1"/>
  <c r="N833" i="1"/>
  <c r="O833" i="1" s="1"/>
  <c r="Q833" i="1" s="1"/>
  <c r="P832" i="1"/>
  <c r="N832" i="1"/>
  <c r="O832" i="1" s="1"/>
  <c r="P831" i="1"/>
  <c r="N831" i="1"/>
  <c r="O831" i="1" s="1"/>
  <c r="P830" i="1"/>
  <c r="O830" i="1"/>
  <c r="Q830" i="1" s="1"/>
  <c r="R830" i="1" s="1"/>
  <c r="N830" i="1"/>
  <c r="P829" i="1"/>
  <c r="O829" i="1"/>
  <c r="N829" i="1"/>
  <c r="P828" i="1"/>
  <c r="N828" i="1"/>
  <c r="O828" i="1" s="1"/>
  <c r="Q827" i="1"/>
  <c r="P827" i="1"/>
  <c r="N827" i="1"/>
  <c r="O827" i="1" s="1"/>
  <c r="R827" i="1" s="1"/>
  <c r="P826" i="1"/>
  <c r="N826" i="1"/>
  <c r="O826" i="1" s="1"/>
  <c r="P825" i="1"/>
  <c r="N825" i="1"/>
  <c r="O825" i="1" s="1"/>
  <c r="P824" i="1"/>
  <c r="O824" i="1"/>
  <c r="Q824" i="1" s="1"/>
  <c r="R824" i="1" s="1"/>
  <c r="N824" i="1"/>
  <c r="P823" i="1"/>
  <c r="O823" i="1"/>
  <c r="Q823" i="1" s="1"/>
  <c r="N823" i="1"/>
  <c r="P822" i="1"/>
  <c r="O822" i="1"/>
  <c r="N822" i="1"/>
  <c r="P821" i="1"/>
  <c r="N821" i="1"/>
  <c r="O821" i="1" s="1"/>
  <c r="P820" i="1"/>
  <c r="N820" i="1"/>
  <c r="O820" i="1" s="1"/>
  <c r="P819" i="1"/>
  <c r="O819" i="1"/>
  <c r="N819" i="1"/>
  <c r="R818" i="1"/>
  <c r="P818" i="1"/>
  <c r="N818" i="1"/>
  <c r="O818" i="1" s="1"/>
  <c r="Q818" i="1" s="1"/>
  <c r="P817" i="1"/>
  <c r="N817" i="1"/>
  <c r="O817" i="1" s="1"/>
  <c r="Q817" i="1" s="1"/>
  <c r="P816" i="1"/>
  <c r="O816" i="1"/>
  <c r="Q816" i="1" s="1"/>
  <c r="R816" i="1" s="1"/>
  <c r="N816" i="1"/>
  <c r="P815" i="1"/>
  <c r="O815" i="1"/>
  <c r="N815" i="1"/>
  <c r="Q814" i="1"/>
  <c r="P814" i="1"/>
  <c r="O814" i="1"/>
  <c r="R814" i="1" s="1"/>
  <c r="N814" i="1"/>
  <c r="P813" i="1"/>
  <c r="N813" i="1"/>
  <c r="O813" i="1" s="1"/>
  <c r="P812" i="1"/>
  <c r="N812" i="1"/>
  <c r="O812" i="1" s="1"/>
  <c r="P811" i="1"/>
  <c r="N811" i="1"/>
  <c r="O811" i="1" s="1"/>
  <c r="P810" i="1"/>
  <c r="N810" i="1"/>
  <c r="O810" i="1" s="1"/>
  <c r="P809" i="1"/>
  <c r="N809" i="1"/>
  <c r="O809" i="1" s="1"/>
  <c r="P808" i="1"/>
  <c r="Q808" i="1" s="1"/>
  <c r="R808" i="1" s="1"/>
  <c r="O808" i="1"/>
  <c r="N808" i="1"/>
  <c r="P807" i="1"/>
  <c r="N807" i="1"/>
  <c r="O807" i="1" s="1"/>
  <c r="P806" i="1"/>
  <c r="N806" i="1"/>
  <c r="O806" i="1" s="1"/>
  <c r="P805" i="1"/>
  <c r="N805" i="1"/>
  <c r="O805" i="1" s="1"/>
  <c r="P804" i="1"/>
  <c r="N804" i="1"/>
  <c r="O804" i="1" s="1"/>
  <c r="P803" i="1"/>
  <c r="O803" i="1"/>
  <c r="N803" i="1"/>
  <c r="P802" i="1"/>
  <c r="N802" i="1"/>
  <c r="O802" i="1" s="1"/>
  <c r="P801" i="1"/>
  <c r="N801" i="1"/>
  <c r="O801" i="1" s="1"/>
  <c r="P800" i="1"/>
  <c r="N800" i="1"/>
  <c r="O800" i="1" s="1"/>
  <c r="P799" i="1"/>
  <c r="N799" i="1"/>
  <c r="O799" i="1" s="1"/>
  <c r="Q798" i="1"/>
  <c r="P798" i="1"/>
  <c r="O798" i="1"/>
  <c r="R798" i="1" s="1"/>
  <c r="N798" i="1"/>
  <c r="P797" i="1"/>
  <c r="O797" i="1"/>
  <c r="N797" i="1"/>
  <c r="P796" i="1"/>
  <c r="N796" i="1"/>
  <c r="O796" i="1" s="1"/>
  <c r="P795" i="1"/>
  <c r="N795" i="1"/>
  <c r="O795" i="1" s="1"/>
  <c r="P794" i="1"/>
  <c r="N794" i="1"/>
  <c r="O794" i="1" s="1"/>
  <c r="P793" i="1"/>
  <c r="N793" i="1"/>
  <c r="O793" i="1" s="1"/>
  <c r="P792" i="1"/>
  <c r="O792" i="1"/>
  <c r="Q792" i="1" s="1"/>
  <c r="R792" i="1" s="1"/>
  <c r="N792" i="1"/>
  <c r="P791" i="1"/>
  <c r="N791" i="1"/>
  <c r="O791" i="1" s="1"/>
  <c r="P790" i="1"/>
  <c r="O790" i="1"/>
  <c r="N790" i="1"/>
  <c r="P789" i="1"/>
  <c r="N789" i="1"/>
  <c r="O789" i="1" s="1"/>
  <c r="P788" i="1"/>
  <c r="N788" i="1"/>
  <c r="O788" i="1" s="1"/>
  <c r="P787" i="1"/>
  <c r="N787" i="1"/>
  <c r="O787" i="1" s="1"/>
  <c r="P786" i="1"/>
  <c r="N786" i="1"/>
  <c r="O786" i="1" s="1"/>
  <c r="P785" i="1"/>
  <c r="N785" i="1"/>
  <c r="O785" i="1" s="1"/>
  <c r="R784" i="1"/>
  <c r="P784" i="1"/>
  <c r="N784" i="1"/>
  <c r="O784" i="1" s="1"/>
  <c r="Q784" i="1" s="1"/>
  <c r="P783" i="1"/>
  <c r="N783" i="1"/>
  <c r="O783" i="1" s="1"/>
  <c r="P782" i="1"/>
  <c r="O782" i="1"/>
  <c r="Q782" i="1" s="1"/>
  <c r="R782" i="1" s="1"/>
  <c r="N782" i="1"/>
  <c r="P781" i="1"/>
  <c r="O781" i="1"/>
  <c r="N781" i="1"/>
  <c r="P780" i="1"/>
  <c r="N780" i="1"/>
  <c r="O780" i="1" s="1"/>
  <c r="P779" i="1"/>
  <c r="N779" i="1"/>
  <c r="O779" i="1" s="1"/>
  <c r="P778" i="1"/>
  <c r="N778" i="1"/>
  <c r="O778" i="1" s="1"/>
  <c r="P777" i="1"/>
  <c r="O777" i="1"/>
  <c r="N777" i="1"/>
  <c r="P776" i="1"/>
  <c r="N776" i="1"/>
  <c r="O776" i="1" s="1"/>
  <c r="P775" i="1"/>
  <c r="O775" i="1"/>
  <c r="N775" i="1"/>
  <c r="P774" i="1"/>
  <c r="N774" i="1"/>
  <c r="O774" i="1" s="1"/>
  <c r="Q774" i="1" s="1"/>
  <c r="P773" i="1"/>
  <c r="O773" i="1"/>
  <c r="N773" i="1"/>
  <c r="P772" i="1"/>
  <c r="N772" i="1"/>
  <c r="O772" i="1" s="1"/>
  <c r="P771" i="1"/>
  <c r="N771" i="1"/>
  <c r="O771" i="1" s="1"/>
  <c r="P770" i="1"/>
  <c r="N770" i="1"/>
  <c r="O770" i="1" s="1"/>
  <c r="P769" i="1"/>
  <c r="N769" i="1"/>
  <c r="O769" i="1" s="1"/>
  <c r="P768" i="1"/>
  <c r="N768" i="1"/>
  <c r="O768" i="1" s="1"/>
  <c r="P767" i="1"/>
  <c r="N767" i="1"/>
  <c r="O767" i="1" s="1"/>
  <c r="R766" i="1"/>
  <c r="P766" i="1"/>
  <c r="O766" i="1"/>
  <c r="Q766" i="1" s="1"/>
  <c r="N766" i="1"/>
  <c r="P765" i="1"/>
  <c r="O765" i="1"/>
  <c r="N765" i="1"/>
  <c r="P764" i="1"/>
  <c r="N764" i="1"/>
  <c r="O764" i="1" s="1"/>
  <c r="P763" i="1"/>
  <c r="N763" i="1"/>
  <c r="O763" i="1" s="1"/>
  <c r="P762" i="1"/>
  <c r="N762" i="1"/>
  <c r="O762" i="1" s="1"/>
  <c r="P761" i="1"/>
  <c r="O761" i="1"/>
  <c r="N761" i="1"/>
  <c r="P760" i="1"/>
  <c r="N760" i="1"/>
  <c r="O760" i="1" s="1"/>
  <c r="P759" i="1"/>
  <c r="O759" i="1"/>
  <c r="N759" i="1"/>
  <c r="P758" i="1"/>
  <c r="N758" i="1"/>
  <c r="O758" i="1" s="1"/>
  <c r="Q758" i="1" s="1"/>
  <c r="P757" i="1"/>
  <c r="O757" i="1"/>
  <c r="N757" i="1"/>
  <c r="P756" i="1"/>
  <c r="N756" i="1"/>
  <c r="O756" i="1" s="1"/>
  <c r="Q755" i="1"/>
  <c r="P755" i="1"/>
  <c r="N755" i="1"/>
  <c r="O755" i="1" s="1"/>
  <c r="P754" i="1"/>
  <c r="N754" i="1"/>
  <c r="O754" i="1" s="1"/>
  <c r="P753" i="1"/>
  <c r="N753" i="1"/>
  <c r="O753" i="1" s="1"/>
  <c r="P752" i="1"/>
  <c r="N752" i="1"/>
  <c r="O752" i="1" s="1"/>
  <c r="P751" i="1"/>
  <c r="N751" i="1"/>
  <c r="O751" i="1" s="1"/>
  <c r="P750" i="1"/>
  <c r="O750" i="1"/>
  <c r="Q750" i="1" s="1"/>
  <c r="R750" i="1" s="1"/>
  <c r="N750" i="1"/>
  <c r="P749" i="1"/>
  <c r="O749" i="1"/>
  <c r="Q749" i="1" s="1"/>
  <c r="R749" i="1" s="1"/>
  <c r="N749" i="1"/>
  <c r="P748" i="1"/>
  <c r="N748" i="1"/>
  <c r="O748" i="1" s="1"/>
  <c r="P747" i="1"/>
  <c r="N747" i="1"/>
  <c r="O747" i="1" s="1"/>
  <c r="P746" i="1"/>
  <c r="N746" i="1"/>
  <c r="O746" i="1" s="1"/>
  <c r="P745" i="1"/>
  <c r="O745" i="1"/>
  <c r="N745" i="1"/>
  <c r="P744" i="1"/>
  <c r="N744" i="1"/>
  <c r="O744" i="1" s="1"/>
  <c r="P743" i="1"/>
  <c r="O743" i="1"/>
  <c r="N743" i="1"/>
  <c r="P742" i="1"/>
  <c r="N742" i="1"/>
  <c r="O742" i="1" s="1"/>
  <c r="Q742" i="1" s="1"/>
  <c r="P741" i="1"/>
  <c r="O741" i="1"/>
  <c r="N741" i="1"/>
  <c r="P740" i="1"/>
  <c r="N740" i="1"/>
  <c r="O740" i="1" s="1"/>
  <c r="Q739" i="1"/>
  <c r="P739" i="1"/>
  <c r="N739" i="1"/>
  <c r="O739" i="1" s="1"/>
  <c r="P738" i="1"/>
  <c r="N738" i="1"/>
  <c r="O738" i="1" s="1"/>
  <c r="P737" i="1"/>
  <c r="N737" i="1"/>
  <c r="O737" i="1" s="1"/>
  <c r="P736" i="1"/>
  <c r="N736" i="1"/>
  <c r="O736" i="1" s="1"/>
  <c r="P735" i="1"/>
  <c r="N735" i="1"/>
  <c r="O735" i="1" s="1"/>
  <c r="P734" i="1"/>
  <c r="O734" i="1"/>
  <c r="Q734" i="1" s="1"/>
  <c r="R734" i="1" s="1"/>
  <c r="N734" i="1"/>
  <c r="Q733" i="1"/>
  <c r="R733" i="1" s="1"/>
  <c r="P733" i="1"/>
  <c r="O733" i="1"/>
  <c r="N733" i="1"/>
  <c r="P732" i="1"/>
  <c r="N732" i="1"/>
  <c r="O732" i="1" s="1"/>
  <c r="P731" i="1"/>
  <c r="N731" i="1"/>
  <c r="O731" i="1" s="1"/>
  <c r="P730" i="1"/>
  <c r="N730" i="1"/>
  <c r="O730" i="1" s="1"/>
  <c r="P729" i="1"/>
  <c r="O729" i="1"/>
  <c r="N729" i="1"/>
  <c r="P728" i="1"/>
  <c r="N728" i="1"/>
  <c r="O728" i="1" s="1"/>
  <c r="P727" i="1"/>
  <c r="N727" i="1"/>
  <c r="O727" i="1" s="1"/>
  <c r="P726" i="1"/>
  <c r="N726" i="1"/>
  <c r="O726" i="1" s="1"/>
  <c r="Q726" i="1" s="1"/>
  <c r="P725" i="1"/>
  <c r="O725" i="1"/>
  <c r="N725" i="1"/>
  <c r="P724" i="1"/>
  <c r="N724" i="1"/>
  <c r="O724" i="1" s="1"/>
  <c r="R723" i="1"/>
  <c r="Q723" i="1"/>
  <c r="P723" i="1"/>
  <c r="N723" i="1"/>
  <c r="O723" i="1" s="1"/>
  <c r="P722" i="1"/>
  <c r="N722" i="1"/>
  <c r="O722" i="1" s="1"/>
  <c r="P721" i="1"/>
  <c r="N721" i="1"/>
  <c r="O721" i="1" s="1"/>
  <c r="P720" i="1"/>
  <c r="N720" i="1"/>
  <c r="O720" i="1" s="1"/>
  <c r="P719" i="1"/>
  <c r="N719" i="1"/>
  <c r="O719" i="1" s="1"/>
  <c r="P718" i="1"/>
  <c r="O718" i="1"/>
  <c r="N718" i="1"/>
  <c r="P717" i="1"/>
  <c r="O717" i="1"/>
  <c r="N717" i="1"/>
  <c r="P716" i="1"/>
  <c r="N716" i="1"/>
  <c r="O716" i="1" s="1"/>
  <c r="P715" i="1"/>
  <c r="N715" i="1"/>
  <c r="O715" i="1" s="1"/>
  <c r="P714" i="1"/>
  <c r="N714" i="1"/>
  <c r="O714" i="1" s="1"/>
  <c r="P713" i="1"/>
  <c r="O713" i="1"/>
  <c r="N713" i="1"/>
  <c r="P712" i="1"/>
  <c r="N712" i="1"/>
  <c r="O712" i="1" s="1"/>
  <c r="P711" i="1"/>
  <c r="O711" i="1"/>
  <c r="Q711" i="1" s="1"/>
  <c r="N711" i="1"/>
  <c r="P710" i="1"/>
  <c r="N710" i="1"/>
  <c r="O710" i="1" s="1"/>
  <c r="Q710" i="1" s="1"/>
  <c r="P709" i="1"/>
  <c r="O709" i="1"/>
  <c r="N709" i="1"/>
  <c r="Q708" i="1"/>
  <c r="P708" i="1"/>
  <c r="O708" i="1"/>
  <c r="N708" i="1"/>
  <c r="P707" i="1"/>
  <c r="N707" i="1"/>
  <c r="O707" i="1" s="1"/>
  <c r="P706" i="1"/>
  <c r="N706" i="1"/>
  <c r="O706" i="1" s="1"/>
  <c r="P705" i="1"/>
  <c r="N705" i="1"/>
  <c r="O705" i="1" s="1"/>
  <c r="P704" i="1"/>
  <c r="N704" i="1"/>
  <c r="O704" i="1" s="1"/>
  <c r="P703" i="1"/>
  <c r="N703" i="1"/>
  <c r="O703" i="1" s="1"/>
  <c r="R702" i="1"/>
  <c r="P702" i="1"/>
  <c r="O702" i="1"/>
  <c r="Q702" i="1" s="1"/>
  <c r="N702" i="1"/>
  <c r="P701" i="1"/>
  <c r="O701" i="1"/>
  <c r="N701" i="1"/>
  <c r="P700" i="1"/>
  <c r="N700" i="1"/>
  <c r="O700" i="1" s="1"/>
  <c r="P699" i="1"/>
  <c r="N699" i="1"/>
  <c r="O699" i="1" s="1"/>
  <c r="P698" i="1"/>
  <c r="Q698" i="1" s="1"/>
  <c r="O698" i="1"/>
  <c r="N698" i="1"/>
  <c r="P697" i="1"/>
  <c r="O697" i="1"/>
  <c r="N697" i="1"/>
  <c r="P696" i="1"/>
  <c r="N696" i="1"/>
  <c r="O696" i="1" s="1"/>
  <c r="P695" i="1"/>
  <c r="N695" i="1"/>
  <c r="O695" i="1" s="1"/>
  <c r="P694" i="1"/>
  <c r="N694" i="1"/>
  <c r="O694" i="1" s="1"/>
  <c r="Q694" i="1" s="1"/>
  <c r="P693" i="1"/>
  <c r="O693" i="1"/>
  <c r="N693" i="1"/>
  <c r="P692" i="1"/>
  <c r="N692" i="1"/>
  <c r="O692" i="1" s="1"/>
  <c r="Q691" i="1"/>
  <c r="P691" i="1"/>
  <c r="N691" i="1"/>
  <c r="O691" i="1" s="1"/>
  <c r="R691" i="1" s="1"/>
  <c r="P690" i="1"/>
  <c r="N690" i="1"/>
  <c r="O690" i="1" s="1"/>
  <c r="P689" i="1"/>
  <c r="N689" i="1"/>
  <c r="O689" i="1" s="1"/>
  <c r="Q688" i="1"/>
  <c r="R688" i="1" s="1"/>
  <c r="P688" i="1"/>
  <c r="N688" i="1"/>
  <c r="O688" i="1" s="1"/>
  <c r="P687" i="1"/>
  <c r="N687" i="1"/>
  <c r="O687" i="1" s="1"/>
  <c r="P686" i="1"/>
  <c r="O686" i="1"/>
  <c r="Q686" i="1" s="1"/>
  <c r="N686" i="1"/>
  <c r="P685" i="1"/>
  <c r="Q685" i="1" s="1"/>
  <c r="R685" i="1" s="1"/>
  <c r="O685" i="1"/>
  <c r="N685" i="1"/>
  <c r="P684" i="1"/>
  <c r="N684" i="1"/>
  <c r="O684" i="1" s="1"/>
  <c r="Q683" i="1"/>
  <c r="P683" i="1"/>
  <c r="N683" i="1"/>
  <c r="O683" i="1" s="1"/>
  <c r="P682" i="1"/>
  <c r="N682" i="1"/>
  <c r="O682" i="1" s="1"/>
  <c r="P681" i="1"/>
  <c r="O681" i="1"/>
  <c r="N681" i="1"/>
  <c r="P680" i="1"/>
  <c r="N680" i="1"/>
  <c r="O680" i="1" s="1"/>
  <c r="P679" i="1"/>
  <c r="O679" i="1"/>
  <c r="N679" i="1"/>
  <c r="P678" i="1"/>
  <c r="N678" i="1"/>
  <c r="O678" i="1" s="1"/>
  <c r="Q678" i="1" s="1"/>
  <c r="P677" i="1"/>
  <c r="O677" i="1"/>
  <c r="N677" i="1"/>
  <c r="P676" i="1"/>
  <c r="N676" i="1"/>
  <c r="O676" i="1" s="1"/>
  <c r="P675" i="1"/>
  <c r="N675" i="1"/>
  <c r="O675" i="1" s="1"/>
  <c r="P674" i="1"/>
  <c r="N674" i="1"/>
  <c r="O674" i="1" s="1"/>
  <c r="P673" i="1"/>
  <c r="O673" i="1"/>
  <c r="N673" i="1"/>
  <c r="P672" i="1"/>
  <c r="N672" i="1"/>
  <c r="O672" i="1" s="1"/>
  <c r="P671" i="1"/>
  <c r="N671" i="1"/>
  <c r="O671" i="1" s="1"/>
  <c r="P670" i="1"/>
  <c r="N670" i="1"/>
  <c r="O670" i="1" s="1"/>
  <c r="Q669" i="1"/>
  <c r="R669" i="1" s="1"/>
  <c r="P669" i="1"/>
  <c r="O669" i="1"/>
  <c r="N669" i="1"/>
  <c r="P668" i="1"/>
  <c r="N668" i="1"/>
  <c r="O668" i="1" s="1"/>
  <c r="P667" i="1"/>
  <c r="N667" i="1"/>
  <c r="O667" i="1" s="1"/>
  <c r="P666" i="1"/>
  <c r="N666" i="1"/>
  <c r="O666" i="1" s="1"/>
  <c r="P665" i="1"/>
  <c r="O665" i="1"/>
  <c r="N665" i="1"/>
  <c r="P664" i="1"/>
  <c r="N664" i="1"/>
  <c r="O664" i="1" s="1"/>
  <c r="P663" i="1"/>
  <c r="N663" i="1"/>
  <c r="O663" i="1" s="1"/>
  <c r="P662" i="1"/>
  <c r="N662" i="1"/>
  <c r="O662" i="1" s="1"/>
  <c r="Q662" i="1" s="1"/>
  <c r="P661" i="1"/>
  <c r="O661" i="1"/>
  <c r="N661" i="1"/>
  <c r="P660" i="1"/>
  <c r="O660" i="1"/>
  <c r="N660" i="1"/>
  <c r="P659" i="1"/>
  <c r="N659" i="1"/>
  <c r="O659" i="1" s="1"/>
  <c r="P658" i="1"/>
  <c r="N658" i="1"/>
  <c r="O658" i="1" s="1"/>
  <c r="P657" i="1"/>
  <c r="N657" i="1"/>
  <c r="O657" i="1" s="1"/>
  <c r="P656" i="1"/>
  <c r="Q656" i="1" s="1"/>
  <c r="R656" i="1" s="1"/>
  <c r="O656" i="1"/>
  <c r="N656" i="1"/>
  <c r="P655" i="1"/>
  <c r="N655" i="1"/>
  <c r="O655" i="1" s="1"/>
  <c r="P654" i="1"/>
  <c r="N654" i="1"/>
  <c r="O654" i="1" s="1"/>
  <c r="Q653" i="1"/>
  <c r="P653" i="1"/>
  <c r="O653" i="1"/>
  <c r="R653" i="1" s="1"/>
  <c r="N653" i="1"/>
  <c r="P652" i="1"/>
  <c r="N652" i="1"/>
  <c r="O652" i="1" s="1"/>
  <c r="P651" i="1"/>
  <c r="N651" i="1"/>
  <c r="O651" i="1" s="1"/>
  <c r="R650" i="1"/>
  <c r="Q650" i="1"/>
  <c r="P650" i="1"/>
  <c r="O650" i="1"/>
  <c r="N650" i="1"/>
  <c r="P649" i="1"/>
  <c r="O649" i="1"/>
  <c r="N649" i="1"/>
  <c r="P648" i="1"/>
  <c r="N648" i="1"/>
  <c r="O648" i="1" s="1"/>
  <c r="P647" i="1"/>
  <c r="N647" i="1"/>
  <c r="O647" i="1" s="1"/>
  <c r="R646" i="1"/>
  <c r="P646" i="1"/>
  <c r="N646" i="1"/>
  <c r="O646" i="1" s="1"/>
  <c r="Q646" i="1" s="1"/>
  <c r="P645" i="1"/>
  <c r="O645" i="1"/>
  <c r="N645" i="1"/>
  <c r="P644" i="1"/>
  <c r="O644" i="1"/>
  <c r="N644" i="1"/>
  <c r="P643" i="1"/>
  <c r="N643" i="1"/>
  <c r="O643" i="1" s="1"/>
  <c r="Q643" i="1" s="1"/>
  <c r="R643" i="1" s="1"/>
  <c r="P642" i="1"/>
  <c r="N642" i="1"/>
  <c r="O642" i="1" s="1"/>
  <c r="P641" i="1"/>
  <c r="O641" i="1"/>
  <c r="N641" i="1"/>
  <c r="Q640" i="1"/>
  <c r="R640" i="1" s="1"/>
  <c r="P640" i="1"/>
  <c r="O640" i="1"/>
  <c r="N640" i="1"/>
  <c r="P639" i="1"/>
  <c r="N639" i="1"/>
  <c r="O639" i="1" s="1"/>
  <c r="P638" i="1"/>
  <c r="O638" i="1"/>
  <c r="Q638" i="1" s="1"/>
  <c r="N638" i="1"/>
  <c r="P637" i="1"/>
  <c r="O637" i="1"/>
  <c r="N637" i="1"/>
  <c r="P636" i="1"/>
  <c r="N636" i="1"/>
  <c r="O636" i="1" s="1"/>
  <c r="P635" i="1"/>
  <c r="N635" i="1"/>
  <c r="O635" i="1" s="1"/>
  <c r="P634" i="1"/>
  <c r="N634" i="1"/>
  <c r="O634" i="1" s="1"/>
  <c r="P633" i="1"/>
  <c r="O633" i="1"/>
  <c r="N633" i="1"/>
  <c r="P632" i="1"/>
  <c r="N632" i="1"/>
  <c r="O632" i="1" s="1"/>
  <c r="P631" i="1"/>
  <c r="N631" i="1"/>
  <c r="O631" i="1" s="1"/>
  <c r="P630" i="1"/>
  <c r="N630" i="1"/>
  <c r="O630" i="1" s="1"/>
  <c r="Q630" i="1" s="1"/>
  <c r="P629" i="1"/>
  <c r="O629" i="1"/>
  <c r="N629" i="1"/>
  <c r="P628" i="1"/>
  <c r="N628" i="1"/>
  <c r="O628" i="1" s="1"/>
  <c r="R627" i="1"/>
  <c r="Q627" i="1"/>
  <c r="P627" i="1"/>
  <c r="N627" i="1"/>
  <c r="O627" i="1" s="1"/>
  <c r="P626" i="1"/>
  <c r="N626" i="1"/>
  <c r="O626" i="1" s="1"/>
  <c r="P625" i="1"/>
  <c r="N625" i="1"/>
  <c r="O625" i="1" s="1"/>
  <c r="Q624" i="1"/>
  <c r="R624" i="1" s="1"/>
  <c r="P624" i="1"/>
  <c r="O624" i="1"/>
  <c r="N624" i="1"/>
  <c r="P623" i="1"/>
  <c r="N623" i="1"/>
  <c r="O623" i="1" s="1"/>
  <c r="R622" i="1"/>
  <c r="P622" i="1"/>
  <c r="O622" i="1"/>
  <c r="Q622" i="1" s="1"/>
  <c r="N622" i="1"/>
  <c r="P621" i="1"/>
  <c r="O621" i="1"/>
  <c r="N621" i="1"/>
  <c r="P620" i="1"/>
  <c r="N620" i="1"/>
  <c r="O620" i="1" s="1"/>
  <c r="P619" i="1"/>
  <c r="N619" i="1"/>
  <c r="O619" i="1" s="1"/>
  <c r="R618" i="1"/>
  <c r="Q618" i="1"/>
  <c r="P618" i="1"/>
  <c r="O618" i="1"/>
  <c r="N618" i="1"/>
  <c r="P617" i="1"/>
  <c r="O617" i="1"/>
  <c r="N617" i="1"/>
  <c r="P616" i="1"/>
  <c r="N616" i="1"/>
  <c r="O616" i="1" s="1"/>
  <c r="P615" i="1"/>
  <c r="N615" i="1"/>
  <c r="O615" i="1" s="1"/>
  <c r="R614" i="1"/>
  <c r="P614" i="1"/>
  <c r="N614" i="1"/>
  <c r="O614" i="1" s="1"/>
  <c r="Q614" i="1" s="1"/>
  <c r="P613" i="1"/>
  <c r="O613" i="1"/>
  <c r="N613" i="1"/>
  <c r="P612" i="1"/>
  <c r="N612" i="1"/>
  <c r="O612" i="1" s="1"/>
  <c r="Q611" i="1"/>
  <c r="P611" i="1"/>
  <c r="N611" i="1"/>
  <c r="O611" i="1" s="1"/>
  <c r="R611" i="1" s="1"/>
  <c r="P610" i="1"/>
  <c r="N610" i="1"/>
  <c r="O610" i="1" s="1"/>
  <c r="Q609" i="1"/>
  <c r="P609" i="1"/>
  <c r="O609" i="1"/>
  <c r="N609" i="1"/>
  <c r="P608" i="1"/>
  <c r="Q608" i="1" s="1"/>
  <c r="R608" i="1" s="1"/>
  <c r="O608" i="1"/>
  <c r="N608" i="1"/>
  <c r="P607" i="1"/>
  <c r="N607" i="1"/>
  <c r="O607" i="1" s="1"/>
  <c r="P606" i="1"/>
  <c r="N606" i="1"/>
  <c r="O606" i="1" s="1"/>
  <c r="P605" i="1"/>
  <c r="O605" i="1"/>
  <c r="Q605" i="1" s="1"/>
  <c r="R605" i="1" s="1"/>
  <c r="N605" i="1"/>
  <c r="P604" i="1"/>
  <c r="N604" i="1"/>
  <c r="O604" i="1" s="1"/>
  <c r="P603" i="1"/>
  <c r="N603" i="1"/>
  <c r="O603" i="1" s="1"/>
  <c r="P602" i="1"/>
  <c r="N602" i="1"/>
  <c r="O602" i="1" s="1"/>
  <c r="P601" i="1"/>
  <c r="O601" i="1"/>
  <c r="N601" i="1"/>
  <c r="P600" i="1"/>
  <c r="N600" i="1"/>
  <c r="O600" i="1" s="1"/>
  <c r="Q599" i="1"/>
  <c r="P599" i="1"/>
  <c r="O599" i="1"/>
  <c r="R599" i="1" s="1"/>
  <c r="N599" i="1"/>
  <c r="R598" i="1"/>
  <c r="P598" i="1"/>
  <c r="N598" i="1"/>
  <c r="O598" i="1" s="1"/>
  <c r="Q598" i="1" s="1"/>
  <c r="P597" i="1"/>
  <c r="O597" i="1"/>
  <c r="N597" i="1"/>
  <c r="P596" i="1"/>
  <c r="N596" i="1"/>
  <c r="O596" i="1" s="1"/>
  <c r="Q595" i="1"/>
  <c r="P595" i="1"/>
  <c r="N595" i="1"/>
  <c r="O595" i="1" s="1"/>
  <c r="R595" i="1" s="1"/>
  <c r="P594" i="1"/>
  <c r="N594" i="1"/>
  <c r="O594" i="1" s="1"/>
  <c r="Q594" i="1" s="1"/>
  <c r="P593" i="1"/>
  <c r="N593" i="1"/>
  <c r="O593" i="1" s="1"/>
  <c r="P592" i="1"/>
  <c r="Q592" i="1" s="1"/>
  <c r="R592" i="1" s="1"/>
  <c r="O592" i="1"/>
  <c r="N592" i="1"/>
  <c r="P591" i="1"/>
  <c r="N591" i="1"/>
  <c r="O591" i="1" s="1"/>
  <c r="P590" i="1"/>
  <c r="O590" i="1"/>
  <c r="Q590" i="1" s="1"/>
  <c r="N590" i="1"/>
  <c r="P589" i="1"/>
  <c r="O589" i="1"/>
  <c r="N589" i="1"/>
  <c r="P588" i="1"/>
  <c r="N588" i="1"/>
  <c r="O588" i="1" s="1"/>
  <c r="P587" i="1"/>
  <c r="N587" i="1"/>
  <c r="O587" i="1" s="1"/>
  <c r="P586" i="1"/>
  <c r="O586" i="1"/>
  <c r="N586" i="1"/>
  <c r="P585" i="1"/>
  <c r="O585" i="1"/>
  <c r="N585" i="1"/>
  <c r="P584" i="1"/>
  <c r="O584" i="1"/>
  <c r="N584" i="1"/>
  <c r="P583" i="1"/>
  <c r="N583" i="1"/>
  <c r="O583" i="1" s="1"/>
  <c r="P582" i="1"/>
  <c r="N582" i="1"/>
  <c r="O582" i="1" s="1"/>
  <c r="Q582" i="1" s="1"/>
  <c r="P581" i="1"/>
  <c r="N581" i="1"/>
  <c r="O581" i="1" s="1"/>
  <c r="P580" i="1"/>
  <c r="Q580" i="1" s="1"/>
  <c r="R580" i="1" s="1"/>
  <c r="O580" i="1"/>
  <c r="N580" i="1"/>
  <c r="P579" i="1"/>
  <c r="N579" i="1"/>
  <c r="O579" i="1" s="1"/>
  <c r="Q579" i="1" s="1"/>
  <c r="R579" i="1" s="1"/>
  <c r="R578" i="1"/>
  <c r="P578" i="1"/>
  <c r="N578" i="1"/>
  <c r="O578" i="1" s="1"/>
  <c r="Q578" i="1" s="1"/>
  <c r="P577" i="1"/>
  <c r="N577" i="1"/>
  <c r="O577" i="1" s="1"/>
  <c r="Q576" i="1"/>
  <c r="R576" i="1" s="1"/>
  <c r="P576" i="1"/>
  <c r="O576" i="1"/>
  <c r="N576" i="1"/>
  <c r="P575" i="1"/>
  <c r="N575" i="1"/>
  <c r="O575" i="1" s="1"/>
  <c r="P574" i="1"/>
  <c r="N574" i="1"/>
  <c r="O574" i="1" s="1"/>
  <c r="P573" i="1"/>
  <c r="O573" i="1"/>
  <c r="N573" i="1"/>
  <c r="P572" i="1"/>
  <c r="N572" i="1"/>
  <c r="O572" i="1" s="1"/>
  <c r="P571" i="1"/>
  <c r="N571" i="1"/>
  <c r="O571" i="1" s="1"/>
  <c r="P570" i="1"/>
  <c r="N570" i="1"/>
  <c r="O570" i="1" s="1"/>
  <c r="P569" i="1"/>
  <c r="O569" i="1"/>
  <c r="N569" i="1"/>
  <c r="P568" i="1"/>
  <c r="O568" i="1"/>
  <c r="N568" i="1"/>
  <c r="P567" i="1"/>
  <c r="N567" i="1"/>
  <c r="O567" i="1" s="1"/>
  <c r="R566" i="1"/>
  <c r="P566" i="1"/>
  <c r="N566" i="1"/>
  <c r="O566" i="1" s="1"/>
  <c r="Q566" i="1" s="1"/>
  <c r="P565" i="1"/>
  <c r="O565" i="1"/>
  <c r="N565" i="1"/>
  <c r="P564" i="1"/>
  <c r="O564" i="1"/>
  <c r="N564" i="1"/>
  <c r="Q563" i="1"/>
  <c r="P563" i="1"/>
  <c r="N563" i="1"/>
  <c r="O563" i="1" s="1"/>
  <c r="R563" i="1" s="1"/>
  <c r="P562" i="1"/>
  <c r="N562" i="1"/>
  <c r="O562" i="1" s="1"/>
  <c r="P561" i="1"/>
  <c r="N561" i="1"/>
  <c r="O561" i="1" s="1"/>
  <c r="Q560" i="1"/>
  <c r="R560" i="1" s="1"/>
  <c r="P560" i="1"/>
  <c r="O560" i="1"/>
  <c r="N560" i="1"/>
  <c r="P559" i="1"/>
  <c r="N559" i="1"/>
  <c r="O559" i="1" s="1"/>
  <c r="P558" i="1"/>
  <c r="N558" i="1"/>
  <c r="O558" i="1" s="1"/>
  <c r="P557" i="1"/>
  <c r="O557" i="1"/>
  <c r="N557" i="1"/>
  <c r="P556" i="1"/>
  <c r="N556" i="1"/>
  <c r="O556" i="1" s="1"/>
  <c r="P555" i="1"/>
  <c r="N555" i="1"/>
  <c r="O555" i="1" s="1"/>
  <c r="P554" i="1"/>
  <c r="O554" i="1"/>
  <c r="N554" i="1"/>
  <c r="P553" i="1"/>
  <c r="O553" i="1"/>
  <c r="N553" i="1"/>
  <c r="P552" i="1"/>
  <c r="N552" i="1"/>
  <c r="O552" i="1" s="1"/>
  <c r="P551" i="1"/>
  <c r="O551" i="1"/>
  <c r="N551" i="1"/>
  <c r="P550" i="1"/>
  <c r="N550" i="1"/>
  <c r="O550" i="1" s="1"/>
  <c r="Q550" i="1" s="1"/>
  <c r="P549" i="1"/>
  <c r="N549" i="1"/>
  <c r="O549" i="1" s="1"/>
  <c r="P548" i="1"/>
  <c r="N548" i="1"/>
  <c r="O548" i="1" s="1"/>
  <c r="P547" i="1"/>
  <c r="N547" i="1"/>
  <c r="O547" i="1" s="1"/>
  <c r="P546" i="1"/>
  <c r="N546" i="1"/>
  <c r="O546" i="1" s="1"/>
  <c r="P545" i="1"/>
  <c r="N545" i="1"/>
  <c r="O545" i="1" s="1"/>
  <c r="P544" i="1"/>
  <c r="Q544" i="1" s="1"/>
  <c r="R544" i="1" s="1"/>
  <c r="O544" i="1"/>
  <c r="N544" i="1"/>
  <c r="P543" i="1"/>
  <c r="N543" i="1"/>
  <c r="O543" i="1" s="1"/>
  <c r="P542" i="1"/>
  <c r="N542" i="1"/>
  <c r="O542" i="1" s="1"/>
  <c r="P541" i="1"/>
  <c r="Q541" i="1" s="1"/>
  <c r="R541" i="1" s="1"/>
  <c r="O541" i="1"/>
  <c r="N541" i="1"/>
  <c r="P540" i="1"/>
  <c r="N540" i="1"/>
  <c r="O540" i="1" s="1"/>
  <c r="P539" i="1"/>
  <c r="N539" i="1"/>
  <c r="O539" i="1" s="1"/>
  <c r="P538" i="1"/>
  <c r="N538" i="1"/>
  <c r="O538" i="1" s="1"/>
  <c r="P537" i="1"/>
  <c r="O537" i="1"/>
  <c r="N537" i="1"/>
  <c r="P536" i="1"/>
  <c r="N536" i="1"/>
  <c r="O536" i="1" s="1"/>
  <c r="Q535" i="1"/>
  <c r="P535" i="1"/>
  <c r="O535" i="1"/>
  <c r="R535" i="1" s="1"/>
  <c r="N535" i="1"/>
  <c r="R534" i="1"/>
  <c r="P534" i="1"/>
  <c r="N534" i="1"/>
  <c r="O534" i="1" s="1"/>
  <c r="Q534" i="1" s="1"/>
  <c r="P533" i="1"/>
  <c r="N533" i="1"/>
  <c r="O533" i="1" s="1"/>
  <c r="P532" i="1"/>
  <c r="N532" i="1"/>
  <c r="O532" i="1" s="1"/>
  <c r="Q531" i="1"/>
  <c r="P531" i="1"/>
  <c r="N531" i="1"/>
  <c r="O531" i="1" s="1"/>
  <c r="R531" i="1" s="1"/>
  <c r="P530" i="1"/>
  <c r="N530" i="1"/>
  <c r="O530" i="1" s="1"/>
  <c r="P529" i="1"/>
  <c r="Q529" i="1" s="1"/>
  <c r="R529" i="1" s="1"/>
  <c r="O529" i="1"/>
  <c r="N529" i="1"/>
  <c r="P528" i="1"/>
  <c r="Q528" i="1" s="1"/>
  <c r="R528" i="1" s="1"/>
  <c r="O528" i="1"/>
  <c r="N528" i="1"/>
  <c r="P527" i="1"/>
  <c r="N527" i="1"/>
  <c r="O527" i="1" s="1"/>
  <c r="P526" i="1"/>
  <c r="N526" i="1"/>
  <c r="O526" i="1" s="1"/>
  <c r="R525" i="1"/>
  <c r="Q525" i="1"/>
  <c r="P525" i="1"/>
  <c r="O525" i="1"/>
  <c r="N525" i="1"/>
  <c r="P524" i="1"/>
  <c r="N524" i="1"/>
  <c r="O524" i="1" s="1"/>
  <c r="P523" i="1"/>
  <c r="N523" i="1"/>
  <c r="O523" i="1" s="1"/>
  <c r="P522" i="1"/>
  <c r="N522" i="1"/>
  <c r="O522" i="1" s="1"/>
  <c r="P521" i="1"/>
  <c r="O521" i="1"/>
  <c r="N521" i="1"/>
  <c r="P520" i="1"/>
  <c r="N520" i="1"/>
  <c r="O520" i="1" s="1"/>
  <c r="P519" i="1"/>
  <c r="O519" i="1"/>
  <c r="N519" i="1"/>
  <c r="P518" i="1"/>
  <c r="N518" i="1"/>
  <c r="O518" i="1" s="1"/>
  <c r="Q518" i="1" s="1"/>
  <c r="P517" i="1"/>
  <c r="O517" i="1"/>
  <c r="N517" i="1"/>
  <c r="P516" i="1"/>
  <c r="N516" i="1"/>
  <c r="O516" i="1" s="1"/>
  <c r="P515" i="1"/>
  <c r="N515" i="1"/>
  <c r="O515" i="1" s="1"/>
  <c r="P514" i="1"/>
  <c r="N514" i="1"/>
  <c r="O514" i="1" s="1"/>
  <c r="R513" i="1"/>
  <c r="Q513" i="1"/>
  <c r="P513" i="1"/>
  <c r="O513" i="1"/>
  <c r="N513" i="1"/>
  <c r="P512" i="1"/>
  <c r="O512" i="1"/>
  <c r="N512" i="1"/>
  <c r="P511" i="1"/>
  <c r="N511" i="1"/>
  <c r="O511" i="1" s="1"/>
  <c r="P510" i="1"/>
  <c r="N510" i="1"/>
  <c r="O510" i="1" s="1"/>
  <c r="P509" i="1"/>
  <c r="O509" i="1"/>
  <c r="N509" i="1"/>
  <c r="P508" i="1"/>
  <c r="N508" i="1"/>
  <c r="O508" i="1" s="1"/>
  <c r="P507" i="1"/>
  <c r="N507" i="1"/>
  <c r="O507" i="1" s="1"/>
  <c r="P506" i="1"/>
  <c r="N506" i="1"/>
  <c r="O506" i="1" s="1"/>
  <c r="P505" i="1"/>
  <c r="O505" i="1"/>
  <c r="N505" i="1"/>
  <c r="P504" i="1"/>
  <c r="N504" i="1"/>
  <c r="O504" i="1" s="1"/>
  <c r="P503" i="1"/>
  <c r="N503" i="1"/>
  <c r="O503" i="1" s="1"/>
  <c r="P502" i="1"/>
  <c r="O502" i="1"/>
  <c r="N502" i="1"/>
  <c r="P501" i="1"/>
  <c r="O501" i="1"/>
  <c r="N501" i="1"/>
  <c r="P500" i="1"/>
  <c r="O500" i="1"/>
  <c r="N500" i="1"/>
  <c r="Q499" i="1"/>
  <c r="P499" i="1"/>
  <c r="N499" i="1"/>
  <c r="O499" i="1" s="1"/>
  <c r="R499" i="1" s="1"/>
  <c r="P498" i="1"/>
  <c r="N498" i="1"/>
  <c r="O498" i="1" s="1"/>
  <c r="P497" i="1"/>
  <c r="N497" i="1"/>
  <c r="O497" i="1" s="1"/>
  <c r="Q496" i="1"/>
  <c r="R496" i="1" s="1"/>
  <c r="P496" i="1"/>
  <c r="O496" i="1"/>
  <c r="N496" i="1"/>
  <c r="P495" i="1"/>
  <c r="O495" i="1"/>
  <c r="N495" i="1"/>
  <c r="P494" i="1"/>
  <c r="N494" i="1"/>
  <c r="O494" i="1" s="1"/>
  <c r="P493" i="1"/>
  <c r="Q493" i="1" s="1"/>
  <c r="R493" i="1" s="1"/>
  <c r="O493" i="1"/>
  <c r="N493" i="1"/>
  <c r="Q492" i="1"/>
  <c r="P492" i="1"/>
  <c r="O492" i="1"/>
  <c r="N492" i="1"/>
  <c r="P491" i="1"/>
  <c r="N491" i="1"/>
  <c r="O491" i="1" s="1"/>
  <c r="P490" i="1"/>
  <c r="N490" i="1"/>
  <c r="O490" i="1" s="1"/>
  <c r="R489" i="1"/>
  <c r="P489" i="1"/>
  <c r="O489" i="1"/>
  <c r="Q489" i="1" s="1"/>
  <c r="N489" i="1"/>
  <c r="P488" i="1"/>
  <c r="N488" i="1"/>
  <c r="O488" i="1" s="1"/>
  <c r="P487" i="1"/>
  <c r="N487" i="1"/>
  <c r="O487" i="1" s="1"/>
  <c r="P486" i="1"/>
  <c r="N486" i="1"/>
  <c r="O486" i="1" s="1"/>
  <c r="P485" i="1"/>
  <c r="O485" i="1"/>
  <c r="N485" i="1"/>
  <c r="P484" i="1"/>
  <c r="N484" i="1"/>
  <c r="O484" i="1" s="1"/>
  <c r="P483" i="1"/>
  <c r="Q483" i="1" s="1"/>
  <c r="R483" i="1" s="1"/>
  <c r="N483" i="1"/>
  <c r="O483" i="1" s="1"/>
  <c r="Q482" i="1"/>
  <c r="P482" i="1"/>
  <c r="O482" i="1"/>
  <c r="R482" i="1" s="1"/>
  <c r="N482" i="1"/>
  <c r="P481" i="1"/>
  <c r="N481" i="1"/>
  <c r="O481" i="1" s="1"/>
  <c r="P480" i="1"/>
  <c r="O480" i="1"/>
  <c r="N480" i="1"/>
  <c r="P479" i="1"/>
  <c r="N479" i="1"/>
  <c r="O479" i="1" s="1"/>
  <c r="Q478" i="1"/>
  <c r="P478" i="1"/>
  <c r="O478" i="1"/>
  <c r="R478" i="1" s="1"/>
  <c r="N478" i="1"/>
  <c r="P477" i="1"/>
  <c r="N477" i="1"/>
  <c r="O477" i="1" s="1"/>
  <c r="R476" i="1"/>
  <c r="Q476" i="1"/>
  <c r="P476" i="1"/>
  <c r="O476" i="1"/>
  <c r="N476" i="1"/>
  <c r="P475" i="1"/>
  <c r="N475" i="1"/>
  <c r="O475" i="1" s="1"/>
  <c r="P474" i="1"/>
  <c r="N474" i="1"/>
  <c r="O474" i="1" s="1"/>
  <c r="P473" i="1"/>
  <c r="N473" i="1"/>
  <c r="O473" i="1" s="1"/>
  <c r="P472" i="1"/>
  <c r="O472" i="1"/>
  <c r="N472" i="1"/>
  <c r="P471" i="1"/>
  <c r="N471" i="1"/>
  <c r="O471" i="1" s="1"/>
  <c r="P470" i="1"/>
  <c r="Q470" i="1" s="1"/>
  <c r="R470" i="1" s="1"/>
  <c r="O470" i="1"/>
  <c r="N470" i="1"/>
  <c r="P469" i="1"/>
  <c r="N469" i="1"/>
  <c r="O469" i="1" s="1"/>
  <c r="P468" i="1"/>
  <c r="O468" i="1"/>
  <c r="N468" i="1"/>
  <c r="P467" i="1"/>
  <c r="O467" i="1"/>
  <c r="N467" i="1"/>
  <c r="Q466" i="1"/>
  <c r="P466" i="1"/>
  <c r="O466" i="1"/>
  <c r="R466" i="1" s="1"/>
  <c r="N466" i="1"/>
  <c r="P465" i="1"/>
  <c r="N465" i="1"/>
  <c r="O465" i="1" s="1"/>
  <c r="P464" i="1"/>
  <c r="N464" i="1"/>
  <c r="O464" i="1" s="1"/>
  <c r="P463" i="1"/>
  <c r="N463" i="1"/>
  <c r="O463" i="1" s="1"/>
  <c r="Q462" i="1"/>
  <c r="P462" i="1"/>
  <c r="O462" i="1"/>
  <c r="R462" i="1" s="1"/>
  <c r="N462" i="1"/>
  <c r="P461" i="1"/>
  <c r="N461" i="1"/>
  <c r="O461" i="1" s="1"/>
  <c r="R460" i="1"/>
  <c r="Q460" i="1"/>
  <c r="P460" i="1"/>
  <c r="O460" i="1"/>
  <c r="N460" i="1"/>
  <c r="P459" i="1"/>
  <c r="N459" i="1"/>
  <c r="O459" i="1" s="1"/>
  <c r="P458" i="1"/>
  <c r="N458" i="1"/>
  <c r="O458" i="1" s="1"/>
  <c r="P457" i="1"/>
  <c r="N457" i="1"/>
  <c r="O457" i="1" s="1"/>
  <c r="P456" i="1"/>
  <c r="O456" i="1"/>
  <c r="N456" i="1"/>
  <c r="P455" i="1"/>
  <c r="N455" i="1"/>
  <c r="O455" i="1" s="1"/>
  <c r="P454" i="1"/>
  <c r="Q454" i="1" s="1"/>
  <c r="R454" i="1" s="1"/>
  <c r="O454" i="1"/>
  <c r="N454" i="1"/>
  <c r="P453" i="1"/>
  <c r="N453" i="1"/>
  <c r="O453" i="1" s="1"/>
  <c r="P452" i="1"/>
  <c r="O452" i="1"/>
  <c r="N452" i="1"/>
  <c r="P451" i="1"/>
  <c r="O451" i="1"/>
  <c r="N451" i="1"/>
  <c r="Q450" i="1"/>
  <c r="P450" i="1"/>
  <c r="O450" i="1"/>
  <c r="R450" i="1" s="1"/>
  <c r="N450" i="1"/>
  <c r="P449" i="1"/>
  <c r="N449" i="1"/>
  <c r="O449" i="1" s="1"/>
  <c r="P448" i="1"/>
  <c r="N448" i="1"/>
  <c r="O448" i="1" s="1"/>
  <c r="P447" i="1"/>
  <c r="N447" i="1"/>
  <c r="O447" i="1" s="1"/>
  <c r="Q446" i="1"/>
  <c r="P446" i="1"/>
  <c r="O446" i="1"/>
  <c r="R446" i="1" s="1"/>
  <c r="N446" i="1"/>
  <c r="P445" i="1"/>
  <c r="N445" i="1"/>
  <c r="O445" i="1" s="1"/>
  <c r="R444" i="1"/>
  <c r="Q444" i="1"/>
  <c r="P444" i="1"/>
  <c r="O444" i="1"/>
  <c r="N444" i="1"/>
  <c r="P443" i="1"/>
  <c r="N443" i="1"/>
  <c r="O443" i="1" s="1"/>
  <c r="P442" i="1"/>
  <c r="N442" i="1"/>
  <c r="O442" i="1" s="1"/>
  <c r="Q441" i="1"/>
  <c r="P441" i="1"/>
  <c r="N441" i="1"/>
  <c r="O441" i="1" s="1"/>
  <c r="P440" i="1"/>
  <c r="O440" i="1"/>
  <c r="N440" i="1"/>
  <c r="P439" i="1"/>
  <c r="N439" i="1"/>
  <c r="O439" i="1" s="1"/>
  <c r="P438" i="1"/>
  <c r="Q438" i="1" s="1"/>
  <c r="R438" i="1" s="1"/>
  <c r="O438" i="1"/>
  <c r="N438" i="1"/>
  <c r="P437" i="1"/>
  <c r="N437" i="1"/>
  <c r="O437" i="1" s="1"/>
  <c r="P436" i="1"/>
  <c r="O436" i="1"/>
  <c r="N436" i="1"/>
  <c r="P435" i="1"/>
  <c r="O435" i="1"/>
  <c r="N435" i="1"/>
  <c r="Q434" i="1"/>
  <c r="P434" i="1"/>
  <c r="O434" i="1"/>
  <c r="R434" i="1" s="1"/>
  <c r="N434" i="1"/>
  <c r="P433" i="1"/>
  <c r="N433" i="1"/>
  <c r="O433" i="1" s="1"/>
  <c r="P432" i="1"/>
  <c r="N432" i="1"/>
  <c r="O432" i="1" s="1"/>
  <c r="P431" i="1"/>
  <c r="N431" i="1"/>
  <c r="O431" i="1" s="1"/>
  <c r="Q430" i="1"/>
  <c r="P430" i="1"/>
  <c r="O430" i="1"/>
  <c r="R430" i="1" s="1"/>
  <c r="N430" i="1"/>
  <c r="P429" i="1"/>
  <c r="N429" i="1"/>
  <c r="O429" i="1" s="1"/>
  <c r="R428" i="1"/>
  <c r="Q428" i="1"/>
  <c r="P428" i="1"/>
  <c r="O428" i="1"/>
  <c r="N428" i="1"/>
  <c r="P427" i="1"/>
  <c r="N427" i="1"/>
  <c r="O427" i="1" s="1"/>
  <c r="P426" i="1"/>
  <c r="N426" i="1"/>
  <c r="O426" i="1" s="1"/>
  <c r="Q425" i="1"/>
  <c r="P425" i="1"/>
  <c r="N425" i="1"/>
  <c r="O425" i="1" s="1"/>
  <c r="P424" i="1"/>
  <c r="O424" i="1"/>
  <c r="N424" i="1"/>
  <c r="P423" i="1"/>
  <c r="N423" i="1"/>
  <c r="O423" i="1" s="1"/>
  <c r="P422" i="1"/>
  <c r="Q422" i="1" s="1"/>
  <c r="R422" i="1" s="1"/>
  <c r="O422" i="1"/>
  <c r="N422" i="1"/>
  <c r="P421" i="1"/>
  <c r="N421" i="1"/>
  <c r="O421" i="1" s="1"/>
  <c r="P420" i="1"/>
  <c r="O420" i="1"/>
  <c r="N420" i="1"/>
  <c r="P419" i="1"/>
  <c r="O419" i="1"/>
  <c r="N419" i="1"/>
  <c r="Q418" i="1"/>
  <c r="P418" i="1"/>
  <c r="O418" i="1"/>
  <c r="R418" i="1" s="1"/>
  <c r="N418" i="1"/>
  <c r="P417" i="1"/>
  <c r="N417" i="1"/>
  <c r="O417" i="1" s="1"/>
  <c r="P416" i="1"/>
  <c r="N416" i="1"/>
  <c r="O416" i="1" s="1"/>
  <c r="P415" i="1"/>
  <c r="N415" i="1"/>
  <c r="O415" i="1" s="1"/>
  <c r="Q414" i="1"/>
  <c r="P414" i="1"/>
  <c r="O414" i="1"/>
  <c r="R414" i="1" s="1"/>
  <c r="N414" i="1"/>
  <c r="P413" i="1"/>
  <c r="N413" i="1"/>
  <c r="O413" i="1" s="1"/>
  <c r="R412" i="1"/>
  <c r="Q412" i="1"/>
  <c r="P412" i="1"/>
  <c r="O412" i="1"/>
  <c r="N412" i="1"/>
  <c r="P411" i="1"/>
  <c r="N411" i="1"/>
  <c r="O411" i="1" s="1"/>
  <c r="P410" i="1"/>
  <c r="N410" i="1"/>
  <c r="O410" i="1" s="1"/>
  <c r="P409" i="1"/>
  <c r="N409" i="1"/>
  <c r="O409" i="1" s="1"/>
  <c r="P408" i="1"/>
  <c r="O408" i="1"/>
  <c r="N408" i="1"/>
  <c r="P407" i="1"/>
  <c r="N407" i="1"/>
  <c r="O407" i="1" s="1"/>
  <c r="P406" i="1"/>
  <c r="Q406" i="1" s="1"/>
  <c r="R406" i="1" s="1"/>
  <c r="O406" i="1"/>
  <c r="N406" i="1"/>
  <c r="P405" i="1"/>
  <c r="N405" i="1"/>
  <c r="O405" i="1" s="1"/>
  <c r="P404" i="1"/>
  <c r="O404" i="1"/>
  <c r="N404" i="1"/>
  <c r="P403" i="1"/>
  <c r="O403" i="1"/>
  <c r="N403" i="1"/>
  <c r="Q402" i="1"/>
  <c r="P402" i="1"/>
  <c r="O402" i="1"/>
  <c r="R402" i="1" s="1"/>
  <c r="N402" i="1"/>
  <c r="P401" i="1"/>
  <c r="N401" i="1"/>
  <c r="O401" i="1" s="1"/>
  <c r="Q401" i="1" s="1"/>
  <c r="P400" i="1"/>
  <c r="N400" i="1"/>
  <c r="O400" i="1" s="1"/>
  <c r="P399" i="1"/>
  <c r="N399" i="1"/>
  <c r="O399" i="1" s="1"/>
  <c r="Q398" i="1"/>
  <c r="P398" i="1"/>
  <c r="O398" i="1"/>
  <c r="R398" i="1" s="1"/>
  <c r="N398" i="1"/>
  <c r="P397" i="1"/>
  <c r="N397" i="1"/>
  <c r="O397" i="1" s="1"/>
  <c r="R396" i="1"/>
  <c r="Q396" i="1"/>
  <c r="P396" i="1"/>
  <c r="O396" i="1"/>
  <c r="N396" i="1"/>
  <c r="P395" i="1"/>
  <c r="N395" i="1"/>
  <c r="O395" i="1" s="1"/>
  <c r="P394" i="1"/>
  <c r="N394" i="1"/>
  <c r="O394" i="1" s="1"/>
  <c r="P393" i="1"/>
  <c r="N393" i="1"/>
  <c r="O393" i="1" s="1"/>
  <c r="P392" i="1"/>
  <c r="O392" i="1"/>
  <c r="N392" i="1"/>
  <c r="P391" i="1"/>
  <c r="N391" i="1"/>
  <c r="O391" i="1" s="1"/>
  <c r="P390" i="1"/>
  <c r="Q390" i="1" s="1"/>
  <c r="R390" i="1" s="1"/>
  <c r="O390" i="1"/>
  <c r="N390" i="1"/>
  <c r="P389" i="1"/>
  <c r="N389" i="1"/>
  <c r="O389" i="1" s="1"/>
  <c r="P388" i="1"/>
  <c r="O388" i="1"/>
  <c r="N388" i="1"/>
  <c r="P387" i="1"/>
  <c r="O387" i="1"/>
  <c r="N387" i="1"/>
  <c r="Q386" i="1"/>
  <c r="P386" i="1"/>
  <c r="O386" i="1"/>
  <c r="R386" i="1" s="1"/>
  <c r="N386" i="1"/>
  <c r="R385" i="1"/>
  <c r="P385" i="1"/>
  <c r="N385" i="1"/>
  <c r="O385" i="1" s="1"/>
  <c r="Q385" i="1" s="1"/>
  <c r="P384" i="1"/>
  <c r="N384" i="1"/>
  <c r="O384" i="1" s="1"/>
  <c r="P383" i="1"/>
  <c r="N383" i="1"/>
  <c r="O383" i="1" s="1"/>
  <c r="Q382" i="1"/>
  <c r="P382" i="1"/>
  <c r="O382" i="1"/>
  <c r="R382" i="1" s="1"/>
  <c r="N382" i="1"/>
  <c r="P381" i="1"/>
  <c r="N381" i="1"/>
  <c r="O381" i="1" s="1"/>
  <c r="R380" i="1"/>
  <c r="Q380" i="1"/>
  <c r="P380" i="1"/>
  <c r="O380" i="1"/>
  <c r="N380" i="1"/>
  <c r="P379" i="1"/>
  <c r="N379" i="1"/>
  <c r="O379" i="1" s="1"/>
  <c r="P378" i="1"/>
  <c r="N378" i="1"/>
  <c r="O378" i="1" s="1"/>
  <c r="P377" i="1"/>
  <c r="N377" i="1"/>
  <c r="O377" i="1" s="1"/>
  <c r="P376" i="1"/>
  <c r="O376" i="1"/>
  <c r="N376" i="1"/>
  <c r="P375" i="1"/>
  <c r="N375" i="1"/>
  <c r="O375" i="1" s="1"/>
  <c r="P374" i="1"/>
  <c r="Q374" i="1" s="1"/>
  <c r="R374" i="1" s="1"/>
  <c r="O374" i="1"/>
  <c r="N374" i="1"/>
  <c r="P373" i="1"/>
  <c r="N373" i="1"/>
  <c r="O373" i="1" s="1"/>
  <c r="P372" i="1"/>
  <c r="O372" i="1"/>
  <c r="N372" i="1"/>
  <c r="P371" i="1"/>
  <c r="O371" i="1"/>
  <c r="N371" i="1"/>
  <c r="Q370" i="1"/>
  <c r="P370" i="1"/>
  <c r="O370" i="1"/>
  <c r="R370" i="1" s="1"/>
  <c r="N370" i="1"/>
  <c r="P369" i="1"/>
  <c r="N369" i="1"/>
  <c r="O369" i="1" s="1"/>
  <c r="Q369" i="1" s="1"/>
  <c r="P368" i="1"/>
  <c r="O368" i="1"/>
  <c r="N368" i="1"/>
  <c r="P367" i="1"/>
  <c r="N367" i="1"/>
  <c r="O367" i="1" s="1"/>
  <c r="Q366" i="1"/>
  <c r="P366" i="1"/>
  <c r="O366" i="1"/>
  <c r="R366" i="1" s="1"/>
  <c r="N366" i="1"/>
  <c r="P365" i="1"/>
  <c r="N365" i="1"/>
  <c r="O365" i="1" s="1"/>
  <c r="Q365" i="1" s="1"/>
  <c r="R364" i="1"/>
  <c r="Q364" i="1"/>
  <c r="P364" i="1"/>
  <c r="O364" i="1"/>
  <c r="N364" i="1"/>
  <c r="P363" i="1"/>
  <c r="N363" i="1"/>
  <c r="O363" i="1" s="1"/>
  <c r="Q362" i="1"/>
  <c r="P362" i="1"/>
  <c r="N362" i="1"/>
  <c r="O362" i="1" s="1"/>
  <c r="P361" i="1"/>
  <c r="N361" i="1"/>
  <c r="O361" i="1" s="1"/>
  <c r="P360" i="1"/>
  <c r="O360" i="1"/>
  <c r="N360" i="1"/>
  <c r="P359" i="1"/>
  <c r="N359" i="1"/>
  <c r="O359" i="1" s="1"/>
  <c r="Q358" i="1"/>
  <c r="R358" i="1" s="1"/>
  <c r="P358" i="1"/>
  <c r="O358" i="1"/>
  <c r="N358" i="1"/>
  <c r="P357" i="1"/>
  <c r="N357" i="1"/>
  <c r="O357" i="1" s="1"/>
  <c r="P356" i="1"/>
  <c r="O356" i="1"/>
  <c r="N356" i="1"/>
  <c r="P355" i="1"/>
  <c r="O355" i="1"/>
  <c r="N355" i="1"/>
  <c r="Q354" i="1"/>
  <c r="P354" i="1"/>
  <c r="O354" i="1"/>
  <c r="R354" i="1" s="1"/>
  <c r="N354" i="1"/>
  <c r="R353" i="1"/>
  <c r="P353" i="1"/>
  <c r="N353" i="1"/>
  <c r="O353" i="1" s="1"/>
  <c r="Q353" i="1" s="1"/>
  <c r="P352" i="1"/>
  <c r="N352" i="1"/>
  <c r="O352" i="1" s="1"/>
  <c r="P351" i="1"/>
  <c r="N351" i="1"/>
  <c r="O351" i="1" s="1"/>
  <c r="Q350" i="1"/>
  <c r="P350" i="1"/>
  <c r="O350" i="1"/>
  <c r="R350" i="1" s="1"/>
  <c r="N350" i="1"/>
  <c r="P349" i="1"/>
  <c r="N349" i="1"/>
  <c r="O349" i="1" s="1"/>
  <c r="Q349" i="1" s="1"/>
  <c r="R348" i="1"/>
  <c r="Q348" i="1"/>
  <c r="P348" i="1"/>
  <c r="O348" i="1"/>
  <c r="N348" i="1"/>
  <c r="P347" i="1"/>
  <c r="N347" i="1"/>
  <c r="O347" i="1" s="1"/>
  <c r="P346" i="1"/>
  <c r="N346" i="1"/>
  <c r="O346" i="1" s="1"/>
  <c r="P345" i="1"/>
  <c r="N345" i="1"/>
  <c r="O345" i="1" s="1"/>
  <c r="P344" i="1"/>
  <c r="O344" i="1"/>
  <c r="N344" i="1"/>
  <c r="P343" i="1"/>
  <c r="N343" i="1"/>
  <c r="O343" i="1" s="1"/>
  <c r="P342" i="1"/>
  <c r="Q342" i="1" s="1"/>
  <c r="R342" i="1" s="1"/>
  <c r="O342" i="1"/>
  <c r="N342" i="1"/>
  <c r="P341" i="1"/>
  <c r="N341" i="1"/>
  <c r="O341" i="1" s="1"/>
  <c r="P340" i="1"/>
  <c r="O340" i="1"/>
  <c r="N340" i="1"/>
  <c r="P339" i="1"/>
  <c r="O339" i="1"/>
  <c r="N339" i="1"/>
  <c r="Q338" i="1"/>
  <c r="P338" i="1"/>
  <c r="O338" i="1"/>
  <c r="R338" i="1" s="1"/>
  <c r="N338" i="1"/>
  <c r="R337" i="1"/>
  <c r="P337" i="1"/>
  <c r="N337" i="1"/>
  <c r="O337" i="1" s="1"/>
  <c r="Q337" i="1" s="1"/>
  <c r="P336" i="1"/>
  <c r="O336" i="1"/>
  <c r="N336" i="1"/>
  <c r="P335" i="1"/>
  <c r="N335" i="1"/>
  <c r="O335" i="1" s="1"/>
  <c r="Q334" i="1"/>
  <c r="P334" i="1"/>
  <c r="O334" i="1"/>
  <c r="R334" i="1" s="1"/>
  <c r="N334" i="1"/>
  <c r="P333" i="1"/>
  <c r="O333" i="1"/>
  <c r="Q333" i="1" s="1"/>
  <c r="R333" i="1" s="1"/>
  <c r="N333" i="1"/>
  <c r="R332" i="1"/>
  <c r="Q332" i="1"/>
  <c r="P332" i="1"/>
  <c r="O332" i="1"/>
  <c r="N332" i="1"/>
  <c r="P331" i="1"/>
  <c r="N331" i="1"/>
  <c r="O331" i="1" s="1"/>
  <c r="P330" i="1"/>
  <c r="N330" i="1"/>
  <c r="O330" i="1" s="1"/>
  <c r="P329" i="1"/>
  <c r="N329" i="1"/>
  <c r="O329" i="1" s="1"/>
  <c r="P328" i="1"/>
  <c r="O328" i="1"/>
  <c r="N328" i="1"/>
  <c r="R327" i="1"/>
  <c r="P327" i="1"/>
  <c r="N327" i="1"/>
  <c r="O327" i="1" s="1"/>
  <c r="Q327" i="1" s="1"/>
  <c r="P326" i="1"/>
  <c r="Q326" i="1" s="1"/>
  <c r="R326" i="1" s="1"/>
  <c r="O326" i="1"/>
  <c r="N326" i="1"/>
  <c r="P325" i="1"/>
  <c r="N325" i="1"/>
  <c r="O325" i="1" s="1"/>
  <c r="P324" i="1"/>
  <c r="O324" i="1"/>
  <c r="N324" i="1"/>
  <c r="P323" i="1"/>
  <c r="O323" i="1"/>
  <c r="N323" i="1"/>
  <c r="Q322" i="1"/>
  <c r="P322" i="1"/>
  <c r="O322" i="1"/>
  <c r="R322" i="1" s="1"/>
  <c r="N322" i="1"/>
  <c r="P321" i="1"/>
  <c r="N321" i="1"/>
  <c r="O321" i="1" s="1"/>
  <c r="Q321" i="1" s="1"/>
  <c r="P320" i="1"/>
  <c r="N320" i="1"/>
  <c r="O320" i="1" s="1"/>
  <c r="P319" i="1"/>
  <c r="N319" i="1"/>
  <c r="O319" i="1" s="1"/>
  <c r="P318" i="1"/>
  <c r="O318" i="1"/>
  <c r="Q318" i="1" s="1"/>
  <c r="N318" i="1"/>
  <c r="P317" i="1"/>
  <c r="N317" i="1"/>
  <c r="O317" i="1" s="1"/>
  <c r="R316" i="1"/>
  <c r="Q316" i="1"/>
  <c r="P316" i="1"/>
  <c r="O316" i="1"/>
  <c r="N316" i="1"/>
  <c r="P315" i="1"/>
  <c r="N315" i="1"/>
  <c r="O315" i="1" s="1"/>
  <c r="P314" i="1"/>
  <c r="N314" i="1"/>
  <c r="O314" i="1" s="1"/>
  <c r="P313" i="1"/>
  <c r="N313" i="1"/>
  <c r="O313" i="1" s="1"/>
  <c r="Q313" i="1" s="1"/>
  <c r="R313" i="1" s="1"/>
  <c r="P312" i="1"/>
  <c r="O312" i="1"/>
  <c r="N312" i="1"/>
  <c r="P311" i="1"/>
  <c r="N311" i="1"/>
  <c r="O311" i="1" s="1"/>
  <c r="Q310" i="1"/>
  <c r="R310" i="1" s="1"/>
  <c r="P310" i="1"/>
  <c r="O310" i="1"/>
  <c r="N310" i="1"/>
  <c r="P309" i="1"/>
  <c r="N309" i="1"/>
  <c r="O309" i="1" s="1"/>
  <c r="P308" i="1"/>
  <c r="O308" i="1"/>
  <c r="N308" i="1"/>
  <c r="P307" i="1"/>
  <c r="O307" i="1"/>
  <c r="N307" i="1"/>
  <c r="Q306" i="1"/>
  <c r="P306" i="1"/>
  <c r="O306" i="1"/>
  <c r="R306" i="1" s="1"/>
  <c r="N306" i="1"/>
  <c r="P305" i="1"/>
  <c r="N305" i="1"/>
  <c r="O305" i="1" s="1"/>
  <c r="Q305" i="1" s="1"/>
  <c r="P304" i="1"/>
  <c r="N304" i="1"/>
  <c r="O304" i="1" s="1"/>
  <c r="P303" i="1"/>
  <c r="N303" i="1"/>
  <c r="O303" i="1" s="1"/>
  <c r="P302" i="1"/>
  <c r="O302" i="1"/>
  <c r="N302" i="1"/>
  <c r="P301" i="1"/>
  <c r="O301" i="1"/>
  <c r="Q301" i="1" s="1"/>
  <c r="N301" i="1"/>
  <c r="R300" i="1"/>
  <c r="Q300" i="1"/>
  <c r="P300" i="1"/>
  <c r="O300" i="1"/>
  <c r="N300" i="1"/>
  <c r="P299" i="1"/>
  <c r="N299" i="1"/>
  <c r="O299" i="1" s="1"/>
  <c r="P298" i="1"/>
  <c r="N298" i="1"/>
  <c r="O298" i="1" s="1"/>
  <c r="P297" i="1"/>
  <c r="N297" i="1"/>
  <c r="O297" i="1" s="1"/>
  <c r="P296" i="1"/>
  <c r="O296" i="1"/>
  <c r="N296" i="1"/>
  <c r="P295" i="1"/>
  <c r="N295" i="1"/>
  <c r="O295" i="1" s="1"/>
  <c r="Q295" i="1" s="1"/>
  <c r="P294" i="1"/>
  <c r="Q294" i="1" s="1"/>
  <c r="R294" i="1" s="1"/>
  <c r="O294" i="1"/>
  <c r="N294" i="1"/>
  <c r="P293" i="1"/>
  <c r="N293" i="1"/>
  <c r="O293" i="1" s="1"/>
  <c r="P292" i="1"/>
  <c r="O292" i="1"/>
  <c r="N292" i="1"/>
  <c r="P291" i="1"/>
  <c r="O291" i="1"/>
  <c r="N291" i="1"/>
  <c r="Q290" i="1"/>
  <c r="P290" i="1"/>
  <c r="O290" i="1"/>
  <c r="R290" i="1" s="1"/>
  <c r="N290" i="1"/>
  <c r="P289" i="1"/>
  <c r="N289" i="1"/>
  <c r="O289" i="1" s="1"/>
  <c r="P288" i="1"/>
  <c r="O288" i="1"/>
  <c r="N288" i="1"/>
  <c r="P287" i="1"/>
  <c r="N287" i="1"/>
  <c r="O287" i="1" s="1"/>
  <c r="P286" i="1"/>
  <c r="O286" i="1"/>
  <c r="N286" i="1"/>
  <c r="P285" i="1"/>
  <c r="N285" i="1"/>
  <c r="O285" i="1" s="1"/>
  <c r="R284" i="1"/>
  <c r="Q284" i="1"/>
  <c r="P284" i="1"/>
  <c r="O284" i="1"/>
  <c r="N284" i="1"/>
  <c r="P283" i="1"/>
  <c r="N283" i="1"/>
  <c r="O283" i="1" s="1"/>
  <c r="Q282" i="1"/>
  <c r="P282" i="1"/>
  <c r="O282" i="1"/>
  <c r="N282" i="1"/>
  <c r="Q281" i="1"/>
  <c r="R281" i="1" s="1"/>
  <c r="P281" i="1"/>
  <c r="N281" i="1"/>
  <c r="O281" i="1" s="1"/>
  <c r="P280" i="1"/>
  <c r="O280" i="1"/>
  <c r="N280" i="1"/>
  <c r="P279" i="1"/>
  <c r="N279" i="1"/>
  <c r="O279" i="1" s="1"/>
  <c r="Q279" i="1" s="1"/>
  <c r="P278" i="1"/>
  <c r="Q278" i="1" s="1"/>
  <c r="R278" i="1" s="1"/>
  <c r="O278" i="1"/>
  <c r="N278" i="1"/>
  <c r="P277" i="1"/>
  <c r="N277" i="1"/>
  <c r="O277" i="1" s="1"/>
  <c r="P276" i="1"/>
  <c r="N276" i="1"/>
  <c r="O276" i="1" s="1"/>
  <c r="P275" i="1"/>
  <c r="O275" i="1"/>
  <c r="N275" i="1"/>
  <c r="Q274" i="1"/>
  <c r="P274" i="1"/>
  <c r="O274" i="1"/>
  <c r="R274" i="1" s="1"/>
  <c r="N274" i="1"/>
  <c r="P273" i="1"/>
  <c r="N273" i="1"/>
  <c r="O273" i="1" s="1"/>
  <c r="P272" i="1"/>
  <c r="N272" i="1"/>
  <c r="O272" i="1" s="1"/>
  <c r="P271" i="1"/>
  <c r="N271" i="1"/>
  <c r="O271" i="1" s="1"/>
  <c r="P270" i="1"/>
  <c r="N270" i="1"/>
  <c r="O270" i="1" s="1"/>
  <c r="P269" i="1"/>
  <c r="N269" i="1"/>
  <c r="O269" i="1" s="1"/>
  <c r="R268" i="1"/>
  <c r="Q268" i="1"/>
  <c r="P268" i="1"/>
  <c r="O268" i="1"/>
  <c r="N268" i="1"/>
  <c r="P267" i="1"/>
  <c r="N267" i="1"/>
  <c r="O267" i="1" s="1"/>
  <c r="P266" i="1"/>
  <c r="O266" i="1"/>
  <c r="N266" i="1"/>
  <c r="P265" i="1"/>
  <c r="N265" i="1"/>
  <c r="O265" i="1" s="1"/>
  <c r="P264" i="1"/>
  <c r="O264" i="1"/>
  <c r="N264" i="1"/>
  <c r="P263" i="1"/>
  <c r="N263" i="1"/>
  <c r="O263" i="1" s="1"/>
  <c r="P262" i="1"/>
  <c r="Q262" i="1" s="1"/>
  <c r="R262" i="1" s="1"/>
  <c r="O262" i="1"/>
  <c r="N262" i="1"/>
  <c r="P261" i="1"/>
  <c r="N261" i="1"/>
  <c r="O261" i="1" s="1"/>
  <c r="P260" i="1"/>
  <c r="N260" i="1"/>
  <c r="O260" i="1" s="1"/>
  <c r="P259" i="1"/>
  <c r="N259" i="1"/>
  <c r="O259" i="1" s="1"/>
  <c r="Q258" i="1"/>
  <c r="P258" i="1"/>
  <c r="O258" i="1"/>
  <c r="R258" i="1" s="1"/>
  <c r="N258" i="1"/>
  <c r="P257" i="1"/>
  <c r="N257" i="1"/>
  <c r="O257" i="1" s="1"/>
  <c r="P256" i="1"/>
  <c r="N256" i="1"/>
  <c r="O256" i="1" s="1"/>
  <c r="P255" i="1"/>
  <c r="N255" i="1"/>
  <c r="O255" i="1" s="1"/>
  <c r="Q255" i="1" s="1"/>
  <c r="P254" i="1"/>
  <c r="O254" i="1"/>
  <c r="N254" i="1"/>
  <c r="P253" i="1"/>
  <c r="O253" i="1"/>
  <c r="N253" i="1"/>
  <c r="Q252" i="1"/>
  <c r="R252" i="1" s="1"/>
  <c r="P252" i="1"/>
  <c r="O252" i="1"/>
  <c r="N252" i="1"/>
  <c r="P251" i="1"/>
  <c r="N251" i="1"/>
  <c r="O251" i="1" s="1"/>
  <c r="P250" i="1"/>
  <c r="N250" i="1"/>
  <c r="O250" i="1" s="1"/>
  <c r="P249" i="1"/>
  <c r="Q249" i="1" s="1"/>
  <c r="R249" i="1" s="1"/>
  <c r="N249" i="1"/>
  <c r="O249" i="1" s="1"/>
  <c r="P248" i="1"/>
  <c r="O248" i="1"/>
  <c r="N248" i="1"/>
  <c r="P247" i="1"/>
  <c r="O247" i="1"/>
  <c r="N247" i="1"/>
  <c r="Q246" i="1"/>
  <c r="P246" i="1"/>
  <c r="O246" i="1"/>
  <c r="R246" i="1" s="1"/>
  <c r="N246" i="1"/>
  <c r="P245" i="1"/>
  <c r="N245" i="1"/>
  <c r="O245" i="1" s="1"/>
  <c r="P244" i="1"/>
  <c r="O244" i="1"/>
  <c r="N244" i="1"/>
  <c r="P243" i="1"/>
  <c r="O243" i="1"/>
  <c r="N243" i="1"/>
  <c r="Q242" i="1"/>
  <c r="P242" i="1"/>
  <c r="O242" i="1"/>
  <c r="R242" i="1" s="1"/>
  <c r="N242" i="1"/>
  <c r="P241" i="1"/>
  <c r="O241" i="1"/>
  <c r="Q241" i="1" s="1"/>
  <c r="N241" i="1"/>
  <c r="P240" i="1"/>
  <c r="O240" i="1"/>
  <c r="N240" i="1"/>
  <c r="P239" i="1"/>
  <c r="N239" i="1"/>
  <c r="O239" i="1" s="1"/>
  <c r="Q239" i="1" s="1"/>
  <c r="P238" i="1"/>
  <c r="N238" i="1"/>
  <c r="O238" i="1" s="1"/>
  <c r="P237" i="1"/>
  <c r="N237" i="1"/>
  <c r="O237" i="1" s="1"/>
  <c r="R236" i="1"/>
  <c r="Q236" i="1"/>
  <c r="P236" i="1"/>
  <c r="O236" i="1"/>
  <c r="N236" i="1"/>
  <c r="P235" i="1"/>
  <c r="N235" i="1"/>
  <c r="O235" i="1" s="1"/>
  <c r="P234" i="1"/>
  <c r="N234" i="1"/>
  <c r="O234" i="1" s="1"/>
  <c r="P233" i="1"/>
  <c r="N233" i="1"/>
  <c r="O233" i="1" s="1"/>
  <c r="Q233" i="1" s="1"/>
  <c r="R233" i="1" s="1"/>
  <c r="P232" i="1"/>
  <c r="O232" i="1"/>
  <c r="N232" i="1"/>
  <c r="P231" i="1"/>
  <c r="N231" i="1"/>
  <c r="O231" i="1" s="1"/>
  <c r="P230" i="1"/>
  <c r="O230" i="1"/>
  <c r="N230" i="1"/>
  <c r="P229" i="1"/>
  <c r="N229" i="1"/>
  <c r="O229" i="1" s="1"/>
  <c r="Q229" i="1" s="1"/>
  <c r="P228" i="1"/>
  <c r="N228" i="1"/>
  <c r="O228" i="1" s="1"/>
  <c r="P227" i="1"/>
  <c r="N227" i="1"/>
  <c r="O227" i="1" s="1"/>
  <c r="Q226" i="1"/>
  <c r="P226" i="1"/>
  <c r="O226" i="1"/>
  <c r="R226" i="1" s="1"/>
  <c r="N226" i="1"/>
  <c r="Q225" i="1"/>
  <c r="P225" i="1"/>
  <c r="O225" i="1"/>
  <c r="R225" i="1" s="1"/>
  <c r="N225" i="1"/>
  <c r="P224" i="1"/>
  <c r="N224" i="1"/>
  <c r="O224" i="1" s="1"/>
  <c r="P223" i="1"/>
  <c r="N223" i="1"/>
  <c r="O223" i="1" s="1"/>
  <c r="P222" i="1"/>
  <c r="N222" i="1"/>
  <c r="O222" i="1" s="1"/>
  <c r="P221" i="1"/>
  <c r="N221" i="1"/>
  <c r="O221" i="1" s="1"/>
  <c r="P220" i="1"/>
  <c r="O220" i="1"/>
  <c r="N220" i="1"/>
  <c r="P219" i="1"/>
  <c r="N219" i="1"/>
  <c r="O219" i="1" s="1"/>
  <c r="P218" i="1"/>
  <c r="O218" i="1"/>
  <c r="Q218" i="1" s="1"/>
  <c r="R218" i="1" s="1"/>
  <c r="N218" i="1"/>
  <c r="P217" i="1"/>
  <c r="N217" i="1"/>
  <c r="O217" i="1" s="1"/>
  <c r="P216" i="1"/>
  <c r="N216" i="1"/>
  <c r="O216" i="1" s="1"/>
  <c r="P215" i="1"/>
  <c r="N215" i="1"/>
  <c r="O215" i="1" s="1"/>
  <c r="P214" i="1"/>
  <c r="O214" i="1"/>
  <c r="N214" i="1"/>
  <c r="P213" i="1"/>
  <c r="N213" i="1"/>
  <c r="O213" i="1" s="1"/>
  <c r="Q213" i="1" s="1"/>
  <c r="P212" i="1"/>
  <c r="N212" i="1"/>
  <c r="O212" i="1" s="1"/>
  <c r="P211" i="1"/>
  <c r="N211" i="1"/>
  <c r="O211" i="1" s="1"/>
  <c r="Q210" i="1"/>
  <c r="P210" i="1"/>
  <c r="O210" i="1"/>
  <c r="N210" i="1"/>
  <c r="P209" i="1"/>
  <c r="N209" i="1"/>
  <c r="O209" i="1" s="1"/>
  <c r="P208" i="1"/>
  <c r="N208" i="1"/>
  <c r="O208" i="1" s="1"/>
  <c r="P207" i="1"/>
  <c r="N207" i="1"/>
  <c r="O207" i="1" s="1"/>
  <c r="Q207" i="1" s="1"/>
  <c r="P206" i="1"/>
  <c r="N206" i="1"/>
  <c r="O206" i="1" s="1"/>
  <c r="P205" i="1"/>
  <c r="O205" i="1"/>
  <c r="N205" i="1"/>
  <c r="P204" i="1"/>
  <c r="O204" i="1"/>
  <c r="N204" i="1"/>
  <c r="P203" i="1"/>
  <c r="O203" i="1"/>
  <c r="N203" i="1"/>
  <c r="P202" i="1"/>
  <c r="O202" i="1"/>
  <c r="N202" i="1"/>
  <c r="Q201" i="1"/>
  <c r="P201" i="1"/>
  <c r="N201" i="1"/>
  <c r="O201" i="1" s="1"/>
  <c r="R201" i="1" s="1"/>
  <c r="P200" i="1"/>
  <c r="N200" i="1"/>
  <c r="O200" i="1" s="1"/>
  <c r="P199" i="1"/>
  <c r="N199" i="1"/>
  <c r="O199" i="1" s="1"/>
  <c r="P198" i="1"/>
  <c r="O198" i="1"/>
  <c r="N198" i="1"/>
  <c r="R197" i="1"/>
  <c r="P197" i="1"/>
  <c r="N197" i="1"/>
  <c r="O197" i="1" s="1"/>
  <c r="Q197" i="1" s="1"/>
  <c r="P196" i="1"/>
  <c r="N196" i="1"/>
  <c r="O196" i="1" s="1"/>
  <c r="P195" i="1"/>
  <c r="N195" i="1"/>
  <c r="O195" i="1" s="1"/>
  <c r="Q194" i="1"/>
  <c r="P194" i="1"/>
  <c r="O194" i="1"/>
  <c r="N194" i="1"/>
  <c r="P193" i="1"/>
  <c r="N193" i="1"/>
  <c r="O193" i="1" s="1"/>
  <c r="P192" i="1"/>
  <c r="N192" i="1"/>
  <c r="O192" i="1" s="1"/>
  <c r="P191" i="1"/>
  <c r="N191" i="1"/>
  <c r="O191" i="1" s="1"/>
  <c r="Q191" i="1" s="1"/>
  <c r="P190" i="1"/>
  <c r="O190" i="1"/>
  <c r="N190" i="1"/>
  <c r="P189" i="1"/>
  <c r="O189" i="1"/>
  <c r="N189" i="1"/>
  <c r="Q188" i="1"/>
  <c r="P188" i="1"/>
  <c r="O188" i="1"/>
  <c r="R188" i="1" s="1"/>
  <c r="N188" i="1"/>
  <c r="P187" i="1"/>
  <c r="O187" i="1"/>
  <c r="N187" i="1"/>
  <c r="Q186" i="1"/>
  <c r="P186" i="1"/>
  <c r="O186" i="1"/>
  <c r="R186" i="1" s="1"/>
  <c r="N186" i="1"/>
  <c r="Q185" i="1"/>
  <c r="R185" i="1" s="1"/>
  <c r="P185" i="1"/>
  <c r="N185" i="1"/>
  <c r="O185" i="1" s="1"/>
  <c r="P184" i="1"/>
  <c r="N184" i="1"/>
  <c r="O184" i="1" s="1"/>
  <c r="P183" i="1"/>
  <c r="N183" i="1"/>
  <c r="O183" i="1" s="1"/>
  <c r="P182" i="1"/>
  <c r="O182" i="1"/>
  <c r="Q182" i="1" s="1"/>
  <c r="R182" i="1" s="1"/>
  <c r="N182" i="1"/>
  <c r="R181" i="1"/>
  <c r="P181" i="1"/>
  <c r="N181" i="1"/>
  <c r="O181" i="1" s="1"/>
  <c r="Q181" i="1" s="1"/>
  <c r="P180" i="1"/>
  <c r="N180" i="1"/>
  <c r="O180" i="1" s="1"/>
  <c r="P179" i="1"/>
  <c r="O179" i="1"/>
  <c r="N179" i="1"/>
  <c r="Q178" i="1"/>
  <c r="P178" i="1"/>
  <c r="O178" i="1"/>
  <c r="N178" i="1"/>
  <c r="P177" i="1"/>
  <c r="N177" i="1"/>
  <c r="O177" i="1" s="1"/>
  <c r="P176" i="1"/>
  <c r="N176" i="1"/>
  <c r="O176" i="1" s="1"/>
  <c r="R175" i="1"/>
  <c r="P175" i="1"/>
  <c r="N175" i="1"/>
  <c r="O175" i="1" s="1"/>
  <c r="Q175" i="1" s="1"/>
  <c r="P174" i="1"/>
  <c r="O174" i="1"/>
  <c r="Q174" i="1" s="1"/>
  <c r="N174" i="1"/>
  <c r="Q173" i="1"/>
  <c r="P173" i="1"/>
  <c r="O173" i="1"/>
  <c r="R173" i="1" s="1"/>
  <c r="N173" i="1"/>
  <c r="Q172" i="1"/>
  <c r="P172" i="1"/>
  <c r="O172" i="1"/>
  <c r="R172" i="1" s="1"/>
  <c r="N172" i="1"/>
  <c r="P171" i="1"/>
  <c r="N171" i="1"/>
  <c r="O171" i="1" s="1"/>
  <c r="P170" i="1"/>
  <c r="O170" i="1"/>
  <c r="Q170" i="1" s="1"/>
  <c r="R170" i="1" s="1"/>
  <c r="N170" i="1"/>
  <c r="P169" i="1"/>
  <c r="N169" i="1"/>
  <c r="O169" i="1" s="1"/>
  <c r="P168" i="1"/>
  <c r="O168" i="1"/>
  <c r="N168" i="1"/>
  <c r="P167" i="1"/>
  <c r="O167" i="1"/>
  <c r="N167" i="1"/>
  <c r="Q166" i="1"/>
  <c r="P166" i="1"/>
  <c r="O166" i="1"/>
  <c r="R166" i="1" s="1"/>
  <c r="N166" i="1"/>
  <c r="P165" i="1"/>
  <c r="N165" i="1"/>
  <c r="O165" i="1" s="1"/>
  <c r="Q164" i="1"/>
  <c r="P164" i="1"/>
  <c r="O164" i="1"/>
  <c r="R164" i="1" s="1"/>
  <c r="N164" i="1"/>
  <c r="P163" i="1"/>
  <c r="N163" i="1"/>
  <c r="O163" i="1" s="1"/>
  <c r="P162" i="1"/>
  <c r="O162" i="1"/>
  <c r="N162" i="1"/>
  <c r="P161" i="1"/>
  <c r="O161" i="1"/>
  <c r="N161" i="1"/>
  <c r="P160" i="1"/>
  <c r="O160" i="1"/>
  <c r="N160" i="1"/>
  <c r="P159" i="1"/>
  <c r="N159" i="1"/>
  <c r="O159" i="1" s="1"/>
  <c r="P158" i="1"/>
  <c r="N158" i="1"/>
  <c r="O158" i="1" s="1"/>
  <c r="P157" i="1"/>
  <c r="N157" i="1"/>
  <c r="O157" i="1" s="1"/>
  <c r="Q156" i="1"/>
  <c r="R156" i="1" s="1"/>
  <c r="P156" i="1"/>
  <c r="O156" i="1"/>
  <c r="N156" i="1"/>
  <c r="R155" i="1"/>
  <c r="P155" i="1"/>
  <c r="O155" i="1"/>
  <c r="Q155" i="1" s="1"/>
  <c r="N155" i="1"/>
  <c r="P154" i="1"/>
  <c r="N154" i="1"/>
  <c r="O154" i="1" s="1"/>
  <c r="P153" i="1"/>
  <c r="N153" i="1"/>
  <c r="O153" i="1" s="1"/>
  <c r="P152" i="1"/>
  <c r="N152" i="1"/>
  <c r="O152" i="1" s="1"/>
  <c r="P151" i="1"/>
  <c r="N151" i="1"/>
  <c r="O151" i="1" s="1"/>
  <c r="P150" i="1"/>
  <c r="O150" i="1"/>
  <c r="N150" i="1"/>
  <c r="P149" i="1"/>
  <c r="N149" i="1"/>
  <c r="O149" i="1" s="1"/>
  <c r="Q149" i="1" s="1"/>
  <c r="P148" i="1"/>
  <c r="N148" i="1"/>
  <c r="O148" i="1" s="1"/>
  <c r="P147" i="1"/>
  <c r="N147" i="1"/>
  <c r="O147" i="1" s="1"/>
  <c r="Q146" i="1"/>
  <c r="P146" i="1"/>
  <c r="O146" i="1"/>
  <c r="N146" i="1"/>
  <c r="P145" i="1"/>
  <c r="N145" i="1"/>
  <c r="O145" i="1" s="1"/>
  <c r="P144" i="1"/>
  <c r="N144" i="1"/>
  <c r="O144" i="1" s="1"/>
  <c r="P143" i="1"/>
  <c r="N143" i="1"/>
  <c r="O143" i="1" s="1"/>
  <c r="Q143" i="1" s="1"/>
  <c r="P142" i="1"/>
  <c r="N142" i="1"/>
  <c r="O142" i="1" s="1"/>
  <c r="P141" i="1"/>
  <c r="O141" i="1"/>
  <c r="Q141" i="1" s="1"/>
  <c r="R141" i="1" s="1"/>
  <c r="N141" i="1"/>
  <c r="P140" i="1"/>
  <c r="O140" i="1"/>
  <c r="N140" i="1"/>
  <c r="P139" i="1"/>
  <c r="N139" i="1"/>
  <c r="O139" i="1" s="1"/>
  <c r="P138" i="1"/>
  <c r="N138" i="1"/>
  <c r="O138" i="1" s="1"/>
  <c r="P137" i="1"/>
  <c r="N137" i="1"/>
  <c r="O137" i="1" s="1"/>
  <c r="Q137" i="1" s="1"/>
  <c r="R137" i="1" s="1"/>
  <c r="P136" i="1"/>
  <c r="N136" i="1"/>
  <c r="O136" i="1" s="1"/>
  <c r="P135" i="1"/>
  <c r="N135" i="1"/>
  <c r="O135" i="1" s="1"/>
  <c r="P134" i="1"/>
  <c r="O134" i="1"/>
  <c r="Q134" i="1" s="1"/>
  <c r="R134" i="1" s="1"/>
  <c r="N134" i="1"/>
  <c r="P133" i="1"/>
  <c r="N133" i="1"/>
  <c r="O133" i="1" s="1"/>
  <c r="Q133" i="1" s="1"/>
  <c r="P132" i="1"/>
  <c r="O132" i="1"/>
  <c r="N132" i="1"/>
  <c r="P131" i="1"/>
  <c r="O131" i="1"/>
  <c r="N131" i="1"/>
  <c r="P130" i="1"/>
  <c r="O130" i="1"/>
  <c r="N130" i="1"/>
  <c r="P129" i="1"/>
  <c r="N129" i="1"/>
  <c r="O129" i="1" s="1"/>
  <c r="P128" i="1"/>
  <c r="N128" i="1"/>
  <c r="O128" i="1" s="1"/>
  <c r="R127" i="1"/>
  <c r="P127" i="1"/>
  <c r="N127" i="1"/>
  <c r="O127" i="1" s="1"/>
  <c r="Q127" i="1" s="1"/>
  <c r="Q126" i="1"/>
  <c r="P126" i="1"/>
  <c r="O126" i="1"/>
  <c r="N126" i="1"/>
  <c r="P125" i="1"/>
  <c r="N125" i="1"/>
  <c r="O125" i="1" s="1"/>
  <c r="Q124" i="1"/>
  <c r="P124" i="1"/>
  <c r="O124" i="1"/>
  <c r="R124" i="1" s="1"/>
  <c r="N124" i="1"/>
  <c r="P123" i="1"/>
  <c r="O123" i="1"/>
  <c r="Q123" i="1" s="1"/>
  <c r="N123" i="1"/>
  <c r="P122" i="1"/>
  <c r="O122" i="1"/>
  <c r="N122" i="1"/>
  <c r="Q121" i="1"/>
  <c r="P121" i="1"/>
  <c r="N121" i="1"/>
  <c r="O121" i="1" s="1"/>
  <c r="R121" i="1" s="1"/>
  <c r="P120" i="1"/>
  <c r="O120" i="1"/>
  <c r="Q120" i="1" s="1"/>
  <c r="N120" i="1"/>
  <c r="Q119" i="1"/>
  <c r="P119" i="1"/>
  <c r="O119" i="1"/>
  <c r="R119" i="1" s="1"/>
  <c r="N119" i="1"/>
  <c r="Q118" i="1"/>
  <c r="P118" i="1"/>
  <c r="O118" i="1"/>
  <c r="R118" i="1" s="1"/>
  <c r="N118" i="1"/>
  <c r="P117" i="1"/>
  <c r="N117" i="1"/>
  <c r="O117" i="1" s="1"/>
  <c r="P116" i="1"/>
  <c r="N116" i="1"/>
  <c r="O116" i="1" s="1"/>
  <c r="P115" i="1"/>
  <c r="N115" i="1"/>
  <c r="O115" i="1" s="1"/>
  <c r="P114" i="1"/>
  <c r="O114" i="1"/>
  <c r="N114" i="1"/>
  <c r="P113" i="1"/>
  <c r="O113" i="1"/>
  <c r="N113" i="1"/>
  <c r="Q112" i="1"/>
  <c r="P112" i="1"/>
  <c r="O112" i="1"/>
  <c r="R112" i="1" s="1"/>
  <c r="N112" i="1"/>
  <c r="P111" i="1"/>
  <c r="N111" i="1"/>
  <c r="O111" i="1" s="1"/>
  <c r="P110" i="1"/>
  <c r="N110" i="1"/>
  <c r="O110" i="1" s="1"/>
  <c r="P109" i="1"/>
  <c r="N109" i="1"/>
  <c r="O109" i="1" s="1"/>
  <c r="P108" i="1"/>
  <c r="O108" i="1"/>
  <c r="Q108" i="1" s="1"/>
  <c r="R108" i="1" s="1"/>
  <c r="N108" i="1"/>
  <c r="P107" i="1"/>
  <c r="O107" i="1"/>
  <c r="N107" i="1"/>
  <c r="P106" i="1"/>
  <c r="O106" i="1"/>
  <c r="N106" i="1"/>
  <c r="Q105" i="1"/>
  <c r="P105" i="1"/>
  <c r="N105" i="1"/>
  <c r="O105" i="1" s="1"/>
  <c r="R105" i="1" s="1"/>
  <c r="P104" i="1"/>
  <c r="O104" i="1"/>
  <c r="N104" i="1"/>
  <c r="Q103" i="1"/>
  <c r="P103" i="1"/>
  <c r="O103" i="1"/>
  <c r="R103" i="1" s="1"/>
  <c r="N103" i="1"/>
  <c r="Q102" i="1"/>
  <c r="R102" i="1" s="1"/>
  <c r="P102" i="1"/>
  <c r="O102" i="1"/>
  <c r="N102" i="1"/>
  <c r="P101" i="1"/>
  <c r="N101" i="1"/>
  <c r="O101" i="1" s="1"/>
  <c r="P100" i="1"/>
  <c r="O100" i="1"/>
  <c r="N100" i="1"/>
  <c r="P99" i="1"/>
  <c r="O99" i="1"/>
  <c r="N99" i="1"/>
  <c r="Q98" i="1"/>
  <c r="P98" i="1"/>
  <c r="O98" i="1"/>
  <c r="R98" i="1" s="1"/>
  <c r="N98" i="1"/>
  <c r="P97" i="1"/>
  <c r="N97" i="1"/>
  <c r="O97" i="1" s="1"/>
  <c r="P96" i="1"/>
  <c r="N96" i="1"/>
  <c r="O96" i="1" s="1"/>
  <c r="P95" i="1"/>
  <c r="N95" i="1"/>
  <c r="O95" i="1" s="1"/>
  <c r="P94" i="1"/>
  <c r="N94" i="1"/>
  <c r="O94" i="1" s="1"/>
  <c r="P93" i="1"/>
  <c r="N93" i="1"/>
  <c r="O93" i="1" s="1"/>
  <c r="P92" i="1"/>
  <c r="O92" i="1"/>
  <c r="Q92" i="1" s="1"/>
  <c r="R92" i="1" s="1"/>
  <c r="N92" i="1"/>
  <c r="P91" i="1"/>
  <c r="O91" i="1"/>
  <c r="N91" i="1"/>
  <c r="Q90" i="1"/>
  <c r="P90" i="1"/>
  <c r="O90" i="1"/>
  <c r="R90" i="1" s="1"/>
  <c r="N90" i="1"/>
  <c r="P89" i="1"/>
  <c r="N89" i="1"/>
  <c r="O89" i="1" s="1"/>
  <c r="P88" i="1"/>
  <c r="N88" i="1"/>
  <c r="O88" i="1" s="1"/>
  <c r="P87" i="1"/>
  <c r="N87" i="1"/>
  <c r="O87" i="1" s="1"/>
  <c r="P86" i="1"/>
  <c r="N86" i="1"/>
  <c r="O86" i="1" s="1"/>
  <c r="P85" i="1"/>
  <c r="N85" i="1"/>
  <c r="O85" i="1" s="1"/>
  <c r="P84" i="1"/>
  <c r="O84" i="1"/>
  <c r="N84" i="1"/>
  <c r="P83" i="1"/>
  <c r="O83" i="1"/>
  <c r="N83" i="1"/>
  <c r="Q82" i="1"/>
  <c r="P82" i="1"/>
  <c r="O82" i="1"/>
  <c r="R82" i="1" s="1"/>
  <c r="N82" i="1"/>
  <c r="P81" i="1"/>
  <c r="N81" i="1"/>
  <c r="O81" i="1" s="1"/>
  <c r="P80" i="1"/>
  <c r="N80" i="1"/>
  <c r="O80" i="1" s="1"/>
  <c r="P79" i="1"/>
  <c r="N79" i="1"/>
  <c r="O79" i="1" s="1"/>
  <c r="P78" i="1"/>
  <c r="N78" i="1"/>
  <c r="O78" i="1" s="1"/>
  <c r="P77" i="1"/>
  <c r="N77" i="1"/>
  <c r="O77" i="1" s="1"/>
  <c r="P76" i="1"/>
  <c r="O76" i="1"/>
  <c r="Q76" i="1" s="1"/>
  <c r="R76" i="1" s="1"/>
  <c r="N76" i="1"/>
  <c r="P75" i="1"/>
  <c r="O75" i="1"/>
  <c r="N75" i="1"/>
  <c r="Q74" i="1"/>
  <c r="P74" i="1"/>
  <c r="O74" i="1"/>
  <c r="R74" i="1" s="1"/>
  <c r="N74" i="1"/>
  <c r="P73" i="1"/>
  <c r="N73" i="1"/>
  <c r="O73" i="1" s="1"/>
  <c r="P72" i="1"/>
  <c r="N72" i="1"/>
  <c r="O72" i="1" s="1"/>
  <c r="P71" i="1"/>
  <c r="N71" i="1"/>
  <c r="O71" i="1" s="1"/>
  <c r="P70" i="1"/>
  <c r="N70" i="1"/>
  <c r="O70" i="1" s="1"/>
  <c r="P69" i="1"/>
  <c r="N69" i="1"/>
  <c r="O69" i="1" s="1"/>
  <c r="P68" i="1"/>
  <c r="O68" i="1"/>
  <c r="N68" i="1"/>
  <c r="P67" i="1"/>
  <c r="O67" i="1"/>
  <c r="N67" i="1"/>
  <c r="Q66" i="1"/>
  <c r="P66" i="1"/>
  <c r="O66" i="1"/>
  <c r="R66" i="1" s="1"/>
  <c r="N66" i="1"/>
  <c r="P65" i="1"/>
  <c r="N65" i="1"/>
  <c r="O65" i="1" s="1"/>
  <c r="P64" i="1"/>
  <c r="N64" i="1"/>
  <c r="O64" i="1" s="1"/>
  <c r="P63" i="1"/>
  <c r="N63" i="1"/>
  <c r="O63" i="1" s="1"/>
  <c r="P62" i="1"/>
  <c r="N62" i="1"/>
  <c r="O62" i="1" s="1"/>
  <c r="P61" i="1"/>
  <c r="N61" i="1"/>
  <c r="O61" i="1" s="1"/>
  <c r="P60" i="1"/>
  <c r="O60" i="1"/>
  <c r="Q60" i="1" s="1"/>
  <c r="R60" i="1" s="1"/>
  <c r="N60" i="1"/>
  <c r="P59" i="1"/>
  <c r="O59" i="1"/>
  <c r="N59" i="1"/>
  <c r="Q58" i="1"/>
  <c r="P58" i="1"/>
  <c r="O58" i="1"/>
  <c r="R58" i="1" s="1"/>
  <c r="N58" i="1"/>
  <c r="P57" i="1"/>
  <c r="N57" i="1"/>
  <c r="O57" i="1" s="1"/>
  <c r="P56" i="1"/>
  <c r="N56" i="1"/>
  <c r="O56" i="1" s="1"/>
  <c r="P55" i="1"/>
  <c r="N55" i="1"/>
  <c r="O55" i="1" s="1"/>
  <c r="P54" i="1"/>
  <c r="N54" i="1"/>
  <c r="O54" i="1" s="1"/>
  <c r="P53" i="1"/>
  <c r="N53" i="1"/>
  <c r="O53" i="1" s="1"/>
  <c r="P52" i="1"/>
  <c r="O52" i="1"/>
  <c r="N52" i="1"/>
  <c r="P51" i="1"/>
  <c r="O51" i="1"/>
  <c r="N51" i="1"/>
  <c r="Q50" i="1"/>
  <c r="P50" i="1"/>
  <c r="O50" i="1"/>
  <c r="R50" i="1" s="1"/>
  <c r="N50" i="1"/>
  <c r="P49" i="1"/>
  <c r="N49" i="1"/>
  <c r="O49" i="1" s="1"/>
  <c r="P48" i="1"/>
  <c r="N48" i="1"/>
  <c r="O48" i="1" s="1"/>
  <c r="P47" i="1"/>
  <c r="N47" i="1"/>
  <c r="O47" i="1" s="1"/>
  <c r="P46" i="1"/>
  <c r="N46" i="1"/>
  <c r="O46" i="1" s="1"/>
  <c r="P45" i="1"/>
  <c r="N45" i="1"/>
  <c r="O45" i="1" s="1"/>
  <c r="P44" i="1"/>
  <c r="O44" i="1"/>
  <c r="Q44" i="1" s="1"/>
  <c r="R44" i="1" s="1"/>
  <c r="N44" i="1"/>
  <c r="P43" i="1"/>
  <c r="O43" i="1"/>
  <c r="N43" i="1"/>
  <c r="Q42" i="1"/>
  <c r="P42" i="1"/>
  <c r="O42" i="1"/>
  <c r="R42" i="1" s="1"/>
  <c r="N42" i="1"/>
  <c r="P41" i="1"/>
  <c r="N41" i="1"/>
  <c r="O41" i="1" s="1"/>
  <c r="P40" i="1"/>
  <c r="N40" i="1"/>
  <c r="O40" i="1" s="1"/>
  <c r="P39" i="1"/>
  <c r="N39" i="1"/>
  <c r="O39" i="1" s="1"/>
  <c r="P38" i="1"/>
  <c r="N38" i="1"/>
  <c r="O38" i="1" s="1"/>
  <c r="P37" i="1"/>
  <c r="N37" i="1"/>
  <c r="O37" i="1" s="1"/>
  <c r="P36" i="1"/>
  <c r="O36" i="1"/>
  <c r="N36" i="1"/>
  <c r="P35" i="1"/>
  <c r="O35" i="1"/>
  <c r="N35" i="1"/>
  <c r="Q34" i="1"/>
  <c r="P34" i="1"/>
  <c r="O34" i="1"/>
  <c r="R34" i="1" s="1"/>
  <c r="N34" i="1"/>
  <c r="P33" i="1"/>
  <c r="N33" i="1"/>
  <c r="O33" i="1" s="1"/>
  <c r="P32" i="1"/>
  <c r="N32" i="1"/>
  <c r="O32" i="1" s="1"/>
  <c r="P31" i="1"/>
  <c r="N31" i="1"/>
  <c r="O31" i="1" s="1"/>
  <c r="P30" i="1"/>
  <c r="N30" i="1"/>
  <c r="O30" i="1" s="1"/>
  <c r="P29" i="1"/>
  <c r="N29" i="1"/>
  <c r="O29" i="1" s="1"/>
  <c r="P28" i="1"/>
  <c r="O28" i="1"/>
  <c r="Q28" i="1" s="1"/>
  <c r="R28" i="1" s="1"/>
  <c r="N28" i="1"/>
  <c r="P27" i="1"/>
  <c r="O27" i="1"/>
  <c r="N27" i="1"/>
  <c r="Q26" i="1"/>
  <c r="P26" i="1"/>
  <c r="O26" i="1"/>
  <c r="R26" i="1" s="1"/>
  <c r="N26" i="1"/>
  <c r="P25" i="1"/>
  <c r="N25" i="1"/>
  <c r="O25" i="1" s="1"/>
  <c r="P24" i="1"/>
  <c r="N24" i="1"/>
  <c r="O24" i="1" s="1"/>
  <c r="P23" i="1"/>
  <c r="N23" i="1"/>
  <c r="O23" i="1" s="1"/>
  <c r="P22" i="1"/>
  <c r="N22" i="1"/>
  <c r="O22" i="1" s="1"/>
  <c r="P21" i="1"/>
  <c r="N21" i="1"/>
  <c r="O21" i="1" s="1"/>
  <c r="P20" i="1"/>
  <c r="O20" i="1"/>
  <c r="N20" i="1"/>
  <c r="P19" i="1"/>
  <c r="O19" i="1"/>
  <c r="N19" i="1"/>
  <c r="Q18" i="1"/>
  <c r="P18" i="1"/>
  <c r="O18" i="1"/>
  <c r="R18" i="1" s="1"/>
  <c r="N18" i="1"/>
  <c r="P17" i="1"/>
  <c r="N17" i="1"/>
  <c r="O17" i="1" s="1"/>
  <c r="P16" i="1"/>
  <c r="N16" i="1"/>
  <c r="O16" i="1" s="1"/>
  <c r="P15" i="1"/>
  <c r="N15" i="1"/>
  <c r="O15" i="1" s="1"/>
  <c r="P14" i="1"/>
  <c r="N14" i="1"/>
  <c r="O14" i="1" s="1"/>
  <c r="P13" i="1"/>
  <c r="N13" i="1"/>
  <c r="O13" i="1" s="1"/>
  <c r="P12" i="1"/>
  <c r="O12" i="1"/>
  <c r="Q12" i="1" s="1"/>
  <c r="R12" i="1" s="1"/>
  <c r="N12" i="1"/>
  <c r="P11" i="1"/>
  <c r="O11" i="1"/>
  <c r="N11" i="1"/>
  <c r="Q10" i="1"/>
  <c r="P10" i="1"/>
  <c r="O10" i="1"/>
  <c r="R10" i="1" s="1"/>
  <c r="N10" i="1"/>
  <c r="P9" i="1"/>
  <c r="N9" i="1"/>
  <c r="O9" i="1" s="1"/>
  <c r="P8" i="1"/>
  <c r="N8" i="1"/>
  <c r="O8" i="1" s="1"/>
  <c r="P7" i="1"/>
  <c r="N7" i="1"/>
  <c r="O7" i="1" s="1"/>
  <c r="P6" i="1"/>
  <c r="N6" i="1"/>
  <c r="O6" i="1" s="1"/>
  <c r="P5" i="1"/>
  <c r="N5" i="1"/>
  <c r="O5" i="1" s="1"/>
  <c r="P4" i="1"/>
  <c r="O4" i="1"/>
  <c r="N4" i="1"/>
  <c r="P3" i="1"/>
  <c r="O3" i="1"/>
  <c r="N3" i="1"/>
  <c r="Q2" i="1"/>
  <c r="P2" i="1"/>
  <c r="O2" i="1"/>
  <c r="R2" i="1" s="1"/>
  <c r="N2" i="1"/>
  <c r="Q317" i="1" l="1"/>
  <c r="R317" i="1"/>
  <c r="Q7" i="1"/>
  <c r="R7" i="1" s="1"/>
  <c r="R39" i="1"/>
  <c r="Q39" i="1"/>
  <c r="R65" i="1"/>
  <c r="Q65" i="1"/>
  <c r="Q77" i="1"/>
  <c r="R77" i="1" s="1"/>
  <c r="Q97" i="1"/>
  <c r="R97" i="1" s="1"/>
  <c r="Q136" i="1"/>
  <c r="R136" i="1" s="1"/>
  <c r="Q215" i="1"/>
  <c r="R215" i="1" s="1"/>
  <c r="Q228" i="1"/>
  <c r="R228" i="1" s="1"/>
  <c r="R235" i="1"/>
  <c r="Q235" i="1"/>
  <c r="R352" i="1"/>
  <c r="Q352" i="1"/>
  <c r="Q209" i="1"/>
  <c r="R209" i="1" s="1"/>
  <c r="R19" i="1"/>
  <c r="R83" i="1"/>
  <c r="R208" i="1"/>
  <c r="Q208" i="1"/>
  <c r="Q270" i="1"/>
  <c r="R270" i="1" s="1"/>
  <c r="Q13" i="1"/>
  <c r="R13" i="1" s="1"/>
  <c r="R33" i="1"/>
  <c r="Q33" i="1"/>
  <c r="R45" i="1"/>
  <c r="Q45" i="1"/>
  <c r="Q71" i="1"/>
  <c r="R71" i="1" s="1"/>
  <c r="Q196" i="1"/>
  <c r="R196" i="1" s="1"/>
  <c r="R8" i="1"/>
  <c r="Q8" i="1"/>
  <c r="R14" i="1"/>
  <c r="Q14" i="1"/>
  <c r="Q40" i="1"/>
  <c r="R40" i="1" s="1"/>
  <c r="Q46" i="1"/>
  <c r="R46" i="1" s="1"/>
  <c r="R72" i="1"/>
  <c r="Q72" i="1"/>
  <c r="Q78" i="1"/>
  <c r="R78" i="1" s="1"/>
  <c r="Q144" i="1"/>
  <c r="R144" i="1" s="1"/>
  <c r="Q163" i="1"/>
  <c r="R163" i="1"/>
  <c r="Q216" i="1"/>
  <c r="R216" i="1" s="1"/>
  <c r="Q222" i="1"/>
  <c r="R222" i="1" s="1"/>
  <c r="Q125" i="1"/>
  <c r="R125" i="1" s="1"/>
  <c r="R151" i="1"/>
  <c r="Q151" i="1"/>
  <c r="R157" i="1"/>
  <c r="Q157" i="1"/>
  <c r="Q259" i="1"/>
  <c r="R259" i="1" s="1"/>
  <c r="Q272" i="1"/>
  <c r="R272" i="1" s="1"/>
  <c r="R113" i="1"/>
  <c r="R21" i="1"/>
  <c r="Q21" i="1"/>
  <c r="Q47" i="1"/>
  <c r="R47" i="1" s="1"/>
  <c r="Q85" i="1"/>
  <c r="R85" i="1" s="1"/>
  <c r="R131" i="1"/>
  <c r="R109" i="1"/>
  <c r="Q109" i="1"/>
  <c r="Q115" i="1"/>
  <c r="R115" i="1" s="1"/>
  <c r="Q152" i="1"/>
  <c r="R152" i="1" s="1"/>
  <c r="R158" i="1"/>
  <c r="Q158" i="1"/>
  <c r="Q260" i="1"/>
  <c r="R260" i="1" s="1"/>
  <c r="Q273" i="1"/>
  <c r="R273" i="1"/>
  <c r="Q41" i="1"/>
  <c r="R41" i="1"/>
  <c r="Q79" i="1"/>
  <c r="R79" i="1" s="1"/>
  <c r="Q138" i="1"/>
  <c r="R138" i="1" s="1"/>
  <c r="R180" i="1"/>
  <c r="Q180" i="1"/>
  <c r="R16" i="1"/>
  <c r="Q16" i="1"/>
  <c r="R22" i="1"/>
  <c r="Q22" i="1"/>
  <c r="Q48" i="1"/>
  <c r="R48" i="1" s="1"/>
  <c r="Q54" i="1"/>
  <c r="R54" i="1" s="1"/>
  <c r="R80" i="1"/>
  <c r="Q80" i="1"/>
  <c r="R86" i="1"/>
  <c r="Q86" i="1"/>
  <c r="Q139" i="1"/>
  <c r="R139" i="1"/>
  <c r="Q192" i="1"/>
  <c r="R192" i="1" s="1"/>
  <c r="R320" i="1"/>
  <c r="Q320" i="1"/>
  <c r="Q15" i="1"/>
  <c r="R15" i="1" s="1"/>
  <c r="Q53" i="1"/>
  <c r="R53" i="1" s="1"/>
  <c r="Q145" i="1"/>
  <c r="R145" i="1" s="1"/>
  <c r="Q110" i="1"/>
  <c r="R110" i="1" s="1"/>
  <c r="Q116" i="1"/>
  <c r="R116" i="1"/>
  <c r="Q211" i="1"/>
  <c r="R211" i="1" s="1"/>
  <c r="Q231" i="1"/>
  <c r="R231" i="1" s="1"/>
  <c r="Q237" i="1"/>
  <c r="R237" i="1" s="1"/>
  <c r="Q17" i="1"/>
  <c r="R17" i="1" s="1"/>
  <c r="R23" i="1"/>
  <c r="Q23" i="1"/>
  <c r="Q29" i="1"/>
  <c r="R29" i="1" s="1"/>
  <c r="Q49" i="1"/>
  <c r="R49" i="1" s="1"/>
  <c r="Q55" i="1"/>
  <c r="R55" i="1" s="1"/>
  <c r="Q61" i="1"/>
  <c r="R61" i="1" s="1"/>
  <c r="Q81" i="1"/>
  <c r="R81" i="1" s="1"/>
  <c r="Q87" i="1"/>
  <c r="R87" i="1" s="1"/>
  <c r="Q93" i="1"/>
  <c r="R93" i="1" s="1"/>
  <c r="R193" i="1"/>
  <c r="Q193" i="1"/>
  <c r="Q199" i="1"/>
  <c r="R199" i="1" s="1"/>
  <c r="Q285" i="1"/>
  <c r="R285" i="1" s="1"/>
  <c r="Q154" i="1"/>
  <c r="R154" i="1" s="1"/>
  <c r="Q171" i="1"/>
  <c r="R171" i="1" s="1"/>
  <c r="R176" i="1"/>
  <c r="Q176" i="1"/>
  <c r="R212" i="1"/>
  <c r="Q212" i="1"/>
  <c r="Q219" i="1"/>
  <c r="R219" i="1" s="1"/>
  <c r="Q238" i="1"/>
  <c r="R238" i="1" s="1"/>
  <c r="Q24" i="1"/>
  <c r="R24" i="1" s="1"/>
  <c r="Q30" i="1"/>
  <c r="R30" i="1" s="1"/>
  <c r="R56" i="1"/>
  <c r="Q56" i="1"/>
  <c r="Q62" i="1"/>
  <c r="R62" i="1" s="1"/>
  <c r="Q88" i="1"/>
  <c r="R88" i="1" s="1"/>
  <c r="Q94" i="1"/>
  <c r="R94" i="1" s="1"/>
  <c r="Q147" i="1"/>
  <c r="R147" i="1" s="1"/>
  <c r="R200" i="1"/>
  <c r="Q200" i="1"/>
  <c r="R361" i="1"/>
  <c r="Q224" i="1"/>
  <c r="R224" i="1" s="1"/>
  <c r="R177" i="1"/>
  <c r="Q177" i="1"/>
  <c r="R206" i="1"/>
  <c r="Q206" i="1"/>
  <c r="Q250" i="1"/>
  <c r="R250" i="1" s="1"/>
  <c r="Q256" i="1"/>
  <c r="R256" i="1" s="1"/>
  <c r="R304" i="1"/>
  <c r="Q304" i="1"/>
  <c r="Q9" i="1"/>
  <c r="R9" i="1" s="1"/>
  <c r="Q5" i="1"/>
  <c r="R5" i="1" s="1"/>
  <c r="Q25" i="1"/>
  <c r="R25" i="1"/>
  <c r="R31" i="1"/>
  <c r="Q31" i="1"/>
  <c r="R37" i="1"/>
  <c r="Q37" i="1"/>
  <c r="Q57" i="1"/>
  <c r="R57" i="1" s="1"/>
  <c r="Q63" i="1"/>
  <c r="R63" i="1" s="1"/>
  <c r="R69" i="1"/>
  <c r="Q69" i="1"/>
  <c r="Q89" i="1"/>
  <c r="R89" i="1" s="1"/>
  <c r="Q95" i="1"/>
  <c r="R95" i="1" s="1"/>
  <c r="Q101" i="1"/>
  <c r="R101" i="1"/>
  <c r="R128" i="1"/>
  <c r="Q128" i="1"/>
  <c r="R148" i="1"/>
  <c r="Q148" i="1"/>
  <c r="Q183" i="1"/>
  <c r="R183" i="1" s="1"/>
  <c r="Q263" i="1"/>
  <c r="R263" i="1" s="1"/>
  <c r="R275" i="1"/>
  <c r="R106" i="1"/>
  <c r="Q257" i="1"/>
  <c r="R257" i="1"/>
  <c r="Q269" i="1"/>
  <c r="R269" i="1" s="1"/>
  <c r="Q73" i="1"/>
  <c r="R73" i="1"/>
  <c r="Q6" i="1"/>
  <c r="R6" i="1" s="1"/>
  <c r="Q32" i="1"/>
  <c r="R32" i="1" s="1"/>
  <c r="Q38" i="1"/>
  <c r="R38" i="1" s="1"/>
  <c r="Q64" i="1"/>
  <c r="R64" i="1" s="1"/>
  <c r="Q70" i="1"/>
  <c r="R70" i="1" s="1"/>
  <c r="R96" i="1"/>
  <c r="Q96" i="1"/>
  <c r="Q129" i="1"/>
  <c r="R129" i="1" s="1"/>
  <c r="Q135" i="1"/>
  <c r="R135" i="1" s="1"/>
  <c r="Q142" i="1"/>
  <c r="R142" i="1" s="1"/>
  <c r="Q184" i="1"/>
  <c r="R184" i="1" s="1"/>
  <c r="Q195" i="1"/>
  <c r="R195" i="1" s="1"/>
  <c r="R221" i="1"/>
  <c r="Q221" i="1"/>
  <c r="Q227" i="1"/>
  <c r="R227" i="1" s="1"/>
  <c r="Q234" i="1"/>
  <c r="R234" i="1" s="1"/>
  <c r="Q276" i="1"/>
  <c r="R276" i="1" s="1"/>
  <c r="Q245" i="1"/>
  <c r="R245" i="1" s="1"/>
  <c r="R323" i="1"/>
  <c r="Q372" i="1"/>
  <c r="R372" i="1" s="1"/>
  <c r="R536" i="1"/>
  <c r="Q536" i="1"/>
  <c r="Q1909" i="1"/>
  <c r="R1909" i="1"/>
  <c r="R1946" i="1"/>
  <c r="Q1946" i="1"/>
  <c r="R2756" i="1"/>
  <c r="Q2756" i="1"/>
  <c r="R178" i="1"/>
  <c r="Q261" i="1"/>
  <c r="R261" i="1" s="1"/>
  <c r="Q277" i="1"/>
  <c r="R277" i="1" s="1"/>
  <c r="R384" i="1"/>
  <c r="Q384" i="1"/>
  <c r="R424" i="1"/>
  <c r="Q447" i="1"/>
  <c r="R447" i="1" s="1"/>
  <c r="R453" i="1"/>
  <c r="Q453" i="1"/>
  <c r="Q465" i="1"/>
  <c r="R465" i="1" s="1"/>
  <c r="Q494" i="1"/>
  <c r="R494" i="1" s="1"/>
  <c r="R637" i="1"/>
  <c r="Q637" i="1"/>
  <c r="Q727" i="1"/>
  <c r="R727" i="1" s="1"/>
  <c r="R1010" i="1"/>
  <c r="Q1010" i="1"/>
  <c r="Q357" i="1"/>
  <c r="R357" i="1" s="1"/>
  <c r="Q488" i="1"/>
  <c r="R488" i="1" s="1"/>
  <c r="R581" i="1"/>
  <c r="Q581" i="1"/>
  <c r="R1940" i="1"/>
  <c r="Q1940" i="1"/>
  <c r="R2104" i="1"/>
  <c r="Q2104" i="1"/>
  <c r="Q3" i="1"/>
  <c r="R3" i="1" s="1"/>
  <c r="Q19" i="1"/>
  <c r="Q35" i="1"/>
  <c r="R35" i="1" s="1"/>
  <c r="Q51" i="1"/>
  <c r="R51" i="1" s="1"/>
  <c r="Q67" i="1"/>
  <c r="R67" i="1" s="1"/>
  <c r="Q83" i="1"/>
  <c r="Q99" i="1"/>
  <c r="R99" i="1" s="1"/>
  <c r="Q106" i="1"/>
  <c r="Q113" i="1"/>
  <c r="Q117" i="1"/>
  <c r="Q131" i="1"/>
  <c r="R149" i="1"/>
  <c r="Q160" i="1"/>
  <c r="R160" i="1" s="1"/>
  <c r="Q167" i="1"/>
  <c r="R167" i="1" s="1"/>
  <c r="Q189" i="1"/>
  <c r="R189" i="1" s="1"/>
  <c r="Q204" i="1"/>
  <c r="R204" i="1" s="1"/>
  <c r="Q223" i="1"/>
  <c r="R241" i="1"/>
  <c r="Q253" i="1"/>
  <c r="R253" i="1" s="1"/>
  <c r="Q265" i="1"/>
  <c r="R265" i="1" s="1"/>
  <c r="R295" i="1"/>
  <c r="Q323" i="1"/>
  <c r="Q328" i="1"/>
  <c r="R328" i="1" s="1"/>
  <c r="R363" i="1"/>
  <c r="Q363" i="1"/>
  <c r="R373" i="1"/>
  <c r="Q373" i="1"/>
  <c r="R379" i="1"/>
  <c r="Q379" i="1"/>
  <c r="R401" i="1"/>
  <c r="Q407" i="1"/>
  <c r="R407" i="1" s="1"/>
  <c r="Q442" i="1"/>
  <c r="R442" i="1" s="1"/>
  <c r="Q471" i="1"/>
  <c r="R471" i="1" s="1"/>
  <c r="R500" i="1"/>
  <c r="Q500" i="1"/>
  <c r="Q506" i="1"/>
  <c r="R506" i="1" s="1"/>
  <c r="Q682" i="1"/>
  <c r="R682" i="1" s="1"/>
  <c r="Q695" i="1"/>
  <c r="R695" i="1"/>
  <c r="Q714" i="1"/>
  <c r="R714" i="1" s="1"/>
  <c r="Q991" i="1"/>
  <c r="R991" i="1"/>
  <c r="R120" i="1"/>
  <c r="R309" i="1"/>
  <c r="Q309" i="1"/>
  <c r="Q389" i="1"/>
  <c r="R389" i="1" s="1"/>
  <c r="Q435" i="1"/>
  <c r="R435" i="1" s="1"/>
  <c r="Q654" i="1"/>
  <c r="R654" i="1" s="1"/>
  <c r="Q2750" i="1"/>
  <c r="R2750" i="1" s="1"/>
  <c r="R146" i="1"/>
  <c r="Q153" i="1"/>
  <c r="R153" i="1" s="1"/>
  <c r="Q230" i="1"/>
  <c r="R230" i="1" s="1"/>
  <c r="R282" i="1"/>
  <c r="R305" i="1"/>
  <c r="Q314" i="1"/>
  <c r="R314" i="1" s="1"/>
  <c r="R319" i="1"/>
  <c r="Q319" i="1"/>
  <c r="Q368" i="1"/>
  <c r="R368" i="1" s="1"/>
  <c r="Q413" i="1"/>
  <c r="R413" i="1" s="1"/>
  <c r="R425" i="1"/>
  <c r="R448" i="1"/>
  <c r="Q448" i="1"/>
  <c r="R477" i="1"/>
  <c r="Q477" i="1"/>
  <c r="Q537" i="1"/>
  <c r="R537" i="1" s="1"/>
  <c r="R551" i="1"/>
  <c r="R557" i="1"/>
  <c r="R619" i="1"/>
  <c r="Q619" i="1"/>
  <c r="Q631" i="1"/>
  <c r="R631" i="1" s="1"/>
  <c r="Q676" i="1"/>
  <c r="R676" i="1" s="1"/>
  <c r="R947" i="1"/>
  <c r="Q947" i="1"/>
  <c r="R979" i="1"/>
  <c r="Q979" i="1"/>
  <c r="R347" i="1"/>
  <c r="Q347" i="1"/>
  <c r="Q459" i="1"/>
  <c r="R459" i="1" s="1"/>
  <c r="R117" i="1"/>
  <c r="R223" i="1"/>
  <c r="Q286" i="1"/>
  <c r="R286" i="1" s="1"/>
  <c r="Q291" i="1"/>
  <c r="R291" i="1" s="1"/>
  <c r="Q296" i="1"/>
  <c r="R296" i="1" s="1"/>
  <c r="Q315" i="1"/>
  <c r="R315" i="1" s="1"/>
  <c r="Q343" i="1"/>
  <c r="R343" i="1" s="1"/>
  <c r="Q419" i="1"/>
  <c r="R419" i="1" s="1"/>
  <c r="Q443" i="1"/>
  <c r="R443" i="1" s="1"/>
  <c r="R507" i="1"/>
  <c r="Q507" i="1"/>
  <c r="R519" i="1"/>
  <c r="Q583" i="1"/>
  <c r="R583" i="1" s="1"/>
  <c r="R589" i="1"/>
  <c r="Q589" i="1"/>
  <c r="Q625" i="1"/>
  <c r="R625" i="1" s="1"/>
  <c r="Q689" i="1"/>
  <c r="R689" i="1" s="1"/>
  <c r="R174" i="1"/>
  <c r="R367" i="1"/>
  <c r="Q367" i="1"/>
  <c r="Q378" i="1"/>
  <c r="R378" i="1" s="1"/>
  <c r="Q530" i="1"/>
  <c r="R530" i="1" s="1"/>
  <c r="R114" i="1"/>
  <c r="Q287" i="1"/>
  <c r="R287" i="1" s="1"/>
  <c r="R391" i="1"/>
  <c r="Q391" i="1"/>
  <c r="R408" i="1"/>
  <c r="Q408" i="1"/>
  <c r="R431" i="1"/>
  <c r="Q431" i="1"/>
  <c r="Q437" i="1"/>
  <c r="R437" i="1" s="1"/>
  <c r="R449" i="1"/>
  <c r="Q449" i="1"/>
  <c r="R472" i="1"/>
  <c r="Q532" i="1"/>
  <c r="R532" i="1" s="1"/>
  <c r="R538" i="1"/>
  <c r="Q538" i="1"/>
  <c r="Q545" i="1"/>
  <c r="R545" i="1" s="1"/>
  <c r="R558" i="1"/>
  <c r="Q558" i="1"/>
  <c r="R564" i="1"/>
  <c r="Q564" i="1"/>
  <c r="Q570" i="1"/>
  <c r="R570" i="1" s="1"/>
  <c r="R596" i="1"/>
  <c r="Q596" i="1"/>
  <c r="R632" i="1"/>
  <c r="Q632" i="1"/>
  <c r="Q663" i="1"/>
  <c r="R663" i="1" s="1"/>
  <c r="Q914" i="1"/>
  <c r="R914" i="1" s="1"/>
  <c r="Q927" i="1"/>
  <c r="R927" i="1" s="1"/>
  <c r="R740" i="1"/>
  <c r="Q740" i="1"/>
  <c r="Q150" i="1"/>
  <c r="R150" i="1" s="1"/>
  <c r="R194" i="1"/>
  <c r="Q283" i="1"/>
  <c r="R283" i="1" s="1"/>
  <c r="R292" i="1"/>
  <c r="Q324" i="1"/>
  <c r="R324" i="1" s="1"/>
  <c r="Q329" i="1"/>
  <c r="R329" i="1" s="1"/>
  <c r="Q359" i="1"/>
  <c r="R359" i="1" s="1"/>
  <c r="R397" i="1"/>
  <c r="Q397" i="1"/>
  <c r="Q426" i="1"/>
  <c r="R426" i="1" s="1"/>
  <c r="Q455" i="1"/>
  <c r="R455" i="1" s="1"/>
  <c r="Q484" i="1"/>
  <c r="R484" i="1" s="1"/>
  <c r="Q490" i="1"/>
  <c r="R490" i="1" s="1"/>
  <c r="Q520" i="1"/>
  <c r="R520" i="1" s="1"/>
  <c r="Q526" i="1"/>
  <c r="R526" i="1" s="1"/>
  <c r="Q577" i="1"/>
  <c r="R577" i="1" s="1"/>
  <c r="R602" i="1"/>
  <c r="Q602" i="1"/>
  <c r="Q670" i="1"/>
  <c r="R670" i="1"/>
  <c r="Q756" i="1"/>
  <c r="R756" i="1" s="1"/>
  <c r="Q4" i="1"/>
  <c r="R4" i="1" s="1"/>
  <c r="Q20" i="1"/>
  <c r="R20" i="1" s="1"/>
  <c r="Q36" i="1"/>
  <c r="R36" i="1" s="1"/>
  <c r="Q52" i="1"/>
  <c r="R52" i="1" s="1"/>
  <c r="Q68" i="1"/>
  <c r="R68" i="1" s="1"/>
  <c r="Q84" i="1"/>
  <c r="R84" i="1" s="1"/>
  <c r="Q100" i="1"/>
  <c r="R100" i="1" s="1"/>
  <c r="Q107" i="1"/>
  <c r="R107" i="1" s="1"/>
  <c r="Q111" i="1"/>
  <c r="Q114" i="1"/>
  <c r="Q132" i="1"/>
  <c r="R132" i="1" s="1"/>
  <c r="R143" i="1"/>
  <c r="Q161" i="1"/>
  <c r="R161" i="1" s="1"/>
  <c r="Q165" i="1"/>
  <c r="R165" i="1" s="1"/>
  <c r="Q168" i="1"/>
  <c r="R168" i="1" s="1"/>
  <c r="Q179" i="1"/>
  <c r="R179" i="1" s="1"/>
  <c r="Q190" i="1"/>
  <c r="R190" i="1" s="1"/>
  <c r="Q205" i="1"/>
  <c r="R205" i="1" s="1"/>
  <c r="Q220" i="1"/>
  <c r="R220" i="1" s="1"/>
  <c r="Q254" i="1"/>
  <c r="R254" i="1" s="1"/>
  <c r="Q266" i="1"/>
  <c r="R266" i="1" s="1"/>
  <c r="R301" i="1"/>
  <c r="Q311" i="1"/>
  <c r="R311" i="1" s="1"/>
  <c r="R325" i="1"/>
  <c r="Q325" i="1"/>
  <c r="R344" i="1"/>
  <c r="Q344" i="1"/>
  <c r="R369" i="1"/>
  <c r="R409" i="1"/>
  <c r="R432" i="1"/>
  <c r="Q432" i="1"/>
  <c r="R461" i="1"/>
  <c r="Q461" i="1"/>
  <c r="Q533" i="1"/>
  <c r="R533" i="1" s="1"/>
  <c r="Q539" i="1"/>
  <c r="R539" i="1" s="1"/>
  <c r="Q546" i="1"/>
  <c r="R546" i="1"/>
  <c r="Q552" i="1"/>
  <c r="R552" i="1" s="1"/>
  <c r="Q571" i="1"/>
  <c r="R571" i="1" s="1"/>
  <c r="R615" i="1"/>
  <c r="Q615" i="1"/>
  <c r="R657" i="1"/>
  <c r="Q657" i="1"/>
  <c r="R703" i="1"/>
  <c r="Q703" i="1"/>
  <c r="R318" i="1"/>
  <c r="R104" i="1"/>
  <c r="Q187" i="1"/>
  <c r="R187" i="1" s="1"/>
  <c r="Q251" i="1"/>
  <c r="R251" i="1" s="1"/>
  <c r="R288" i="1"/>
  <c r="Q288" i="1"/>
  <c r="Q292" i="1"/>
  <c r="Q297" i="1"/>
  <c r="R297" i="1" s="1"/>
  <c r="R375" i="1"/>
  <c r="Q375" i="1"/>
  <c r="R392" i="1"/>
  <c r="Q392" i="1"/>
  <c r="Q403" i="1"/>
  <c r="R403" i="1" s="1"/>
  <c r="R427" i="1"/>
  <c r="Q427" i="1"/>
  <c r="R467" i="1"/>
  <c r="Q467" i="1"/>
  <c r="Q491" i="1"/>
  <c r="R491" i="1" s="1"/>
  <c r="Q514" i="1"/>
  <c r="R514" i="1"/>
  <c r="Q603" i="1"/>
  <c r="R603" i="1" s="1"/>
  <c r="R730" i="1"/>
  <c r="Q730" i="1"/>
  <c r="Q870" i="1"/>
  <c r="R870" i="1" s="1"/>
  <c r="R568" i="1"/>
  <c r="Q568" i="1"/>
  <c r="R111" i="1"/>
  <c r="Q198" i="1"/>
  <c r="R198" i="1" s="1"/>
  <c r="R239" i="1"/>
  <c r="Q267" i="1"/>
  <c r="R267" i="1" s="1"/>
  <c r="R271" i="1"/>
  <c r="Q271" i="1"/>
  <c r="R293" i="1"/>
  <c r="Q293" i="1"/>
  <c r="R302" i="1"/>
  <c r="Q339" i="1"/>
  <c r="R339" i="1" s="1"/>
  <c r="R349" i="1"/>
  <c r="Q360" i="1"/>
  <c r="R360" i="1" s="1"/>
  <c r="Q381" i="1"/>
  <c r="R381" i="1" s="1"/>
  <c r="Q409" i="1"/>
  <c r="Q415" i="1"/>
  <c r="R415" i="1" s="1"/>
  <c r="R421" i="1"/>
  <c r="Q421" i="1"/>
  <c r="R433" i="1"/>
  <c r="Q433" i="1"/>
  <c r="Q473" i="1"/>
  <c r="R473" i="1" s="1"/>
  <c r="Q479" i="1"/>
  <c r="R479" i="1" s="1"/>
  <c r="R485" i="1"/>
  <c r="R547" i="1"/>
  <c r="Q11" i="1"/>
  <c r="R11" i="1" s="1"/>
  <c r="Q27" i="1"/>
  <c r="R27" i="1" s="1"/>
  <c r="Q43" i="1"/>
  <c r="R43" i="1" s="1"/>
  <c r="Q59" i="1"/>
  <c r="R59" i="1" s="1"/>
  <c r="Q75" i="1"/>
  <c r="R75" i="1" s="1"/>
  <c r="Q91" i="1"/>
  <c r="R91" i="1" s="1"/>
  <c r="Q104" i="1"/>
  <c r="Q122" i="1"/>
  <c r="R122" i="1" s="1"/>
  <c r="Q140" i="1"/>
  <c r="R140" i="1" s="1"/>
  <c r="Q169" i="1"/>
  <c r="R169" i="1" s="1"/>
  <c r="R191" i="1"/>
  <c r="Q202" i="1"/>
  <c r="R202" i="1" s="1"/>
  <c r="R213" i="1"/>
  <c r="Q217" i="1"/>
  <c r="R217" i="1" s="1"/>
  <c r="Q243" i="1"/>
  <c r="R243" i="1" s="1"/>
  <c r="Q247" i="1"/>
  <c r="R247" i="1" s="1"/>
  <c r="R255" i="1"/>
  <c r="R279" i="1"/>
  <c r="Q289" i="1"/>
  <c r="R321" i="1"/>
  <c r="Q330" i="1"/>
  <c r="R330" i="1" s="1"/>
  <c r="R335" i="1"/>
  <c r="Q335" i="1"/>
  <c r="R393" i="1"/>
  <c r="R410" i="1"/>
  <c r="Q410" i="1"/>
  <c r="R439" i="1"/>
  <c r="Q439" i="1"/>
  <c r="Q474" i="1"/>
  <c r="R474" i="1" s="1"/>
  <c r="Q497" i="1"/>
  <c r="R497" i="1" s="1"/>
  <c r="Q610" i="1"/>
  <c r="R610" i="1" s="1"/>
  <c r="R634" i="1"/>
  <c r="Q634" i="1"/>
  <c r="Q724" i="1"/>
  <c r="R724" i="1" s="1"/>
  <c r="R126" i="1"/>
  <c r="R133" i="1"/>
  <c r="R210" i="1"/>
  <c r="Q232" i="1"/>
  <c r="R232" i="1" s="1"/>
  <c r="Q275" i="1"/>
  <c r="Q302" i="1"/>
  <c r="Q307" i="1"/>
  <c r="R307" i="1" s="1"/>
  <c r="Q312" i="1"/>
  <c r="R312" i="1" s="1"/>
  <c r="Q331" i="1"/>
  <c r="R331" i="1" s="1"/>
  <c r="R340" i="1"/>
  <c r="Q340" i="1"/>
  <c r="Q345" i="1"/>
  <c r="R345" i="1" s="1"/>
  <c r="R355" i="1"/>
  <c r="Q355" i="1"/>
  <c r="R365" i="1"/>
  <c r="Q376" i="1"/>
  <c r="R376" i="1" s="1"/>
  <c r="R387" i="1"/>
  <c r="Q387" i="1"/>
  <c r="R416" i="1"/>
  <c r="Q416" i="1"/>
  <c r="R445" i="1"/>
  <c r="Q445" i="1"/>
  <c r="R522" i="1"/>
  <c r="Q522" i="1"/>
  <c r="R548" i="1"/>
  <c r="Q679" i="1"/>
  <c r="R679" i="1" s="1"/>
  <c r="Q692" i="1"/>
  <c r="R692" i="1" s="1"/>
  <c r="R813" i="1"/>
  <c r="Q813" i="1"/>
  <c r="R130" i="1"/>
  <c r="Q159" i="1"/>
  <c r="Q162" i="1"/>
  <c r="R162" i="1" s="1"/>
  <c r="R280" i="1"/>
  <c r="Q280" i="1"/>
  <c r="R289" i="1"/>
  <c r="Q298" i="1"/>
  <c r="R298" i="1" s="1"/>
  <c r="Q303" i="1"/>
  <c r="R303" i="1" s="1"/>
  <c r="Q393" i="1"/>
  <c r="Q399" i="1"/>
  <c r="R399" i="1" s="1"/>
  <c r="Q411" i="1"/>
  <c r="R411" i="1" s="1"/>
  <c r="R451" i="1"/>
  <c r="Q451" i="1"/>
  <c r="R475" i="1"/>
  <c r="Q475" i="1"/>
  <c r="R480" i="1"/>
  <c r="Q498" i="1"/>
  <c r="R498" i="1" s="1"/>
  <c r="Q503" i="1"/>
  <c r="R503" i="1" s="1"/>
  <c r="R516" i="1"/>
  <c r="Q516" i="1"/>
  <c r="R554" i="1"/>
  <c r="Q628" i="1"/>
  <c r="R628" i="1" s="1"/>
  <c r="Q647" i="1"/>
  <c r="R647" i="1" s="1"/>
  <c r="R666" i="1"/>
  <c r="Q666" i="1"/>
  <c r="Q718" i="1"/>
  <c r="R718" i="1" s="1"/>
  <c r="R785" i="1"/>
  <c r="Q785" i="1"/>
  <c r="Q203" i="1"/>
  <c r="R203" i="1" s="1"/>
  <c r="Q240" i="1"/>
  <c r="R240" i="1" s="1"/>
  <c r="R244" i="1"/>
  <c r="Q248" i="1"/>
  <c r="R248" i="1" s="1"/>
  <c r="R299" i="1"/>
  <c r="Q299" i="1"/>
  <c r="R336" i="1"/>
  <c r="Q336" i="1"/>
  <c r="R341" i="1"/>
  <c r="Q341" i="1"/>
  <c r="Q361" i="1"/>
  <c r="Q371" i="1"/>
  <c r="R371" i="1" s="1"/>
  <c r="R377" i="1"/>
  <c r="Q394" i="1"/>
  <c r="R394" i="1" s="1"/>
  <c r="Q405" i="1"/>
  <c r="R405" i="1" s="1"/>
  <c r="R417" i="1"/>
  <c r="Q417" i="1"/>
  <c r="Q457" i="1"/>
  <c r="R457" i="1" s="1"/>
  <c r="Q463" i="1"/>
  <c r="R463" i="1" s="1"/>
  <c r="Q469" i="1"/>
  <c r="R469" i="1" s="1"/>
  <c r="Q486" i="1"/>
  <c r="R486" i="1" s="1"/>
  <c r="Q504" i="1"/>
  <c r="R504" i="1" s="1"/>
  <c r="Q510" i="1"/>
  <c r="R510" i="1" s="1"/>
  <c r="Q523" i="1"/>
  <c r="R523" i="1" s="1"/>
  <c r="Q548" i="1"/>
  <c r="Q561" i="1"/>
  <c r="R561" i="1" s="1"/>
  <c r="Q567" i="1"/>
  <c r="R567" i="1" s="1"/>
  <c r="Q641" i="1"/>
  <c r="R641" i="1" s="1"/>
  <c r="Q779" i="1"/>
  <c r="R779" i="1" s="1"/>
  <c r="Q130" i="1"/>
  <c r="R159" i="1"/>
  <c r="Q214" i="1"/>
  <c r="R214" i="1" s="1"/>
  <c r="R264" i="1"/>
  <c r="Q264" i="1"/>
  <c r="R351" i="1"/>
  <c r="Q351" i="1"/>
  <c r="Q356" i="1"/>
  <c r="R356" i="1" s="1"/>
  <c r="Q400" i="1"/>
  <c r="R400" i="1" s="1"/>
  <c r="Q423" i="1"/>
  <c r="R423" i="1" s="1"/>
  <c r="Q458" i="1"/>
  <c r="R458" i="1" s="1"/>
  <c r="R481" i="1"/>
  <c r="Q481" i="1"/>
  <c r="Q487" i="1"/>
  <c r="R487" i="1" s="1"/>
  <c r="Q511" i="1"/>
  <c r="R511" i="1" s="1"/>
  <c r="Q542" i="1"/>
  <c r="R542" i="1" s="1"/>
  <c r="R549" i="1"/>
  <c r="Q549" i="1"/>
  <c r="Q555" i="1"/>
  <c r="R555" i="1" s="1"/>
  <c r="Q574" i="1"/>
  <c r="R574" i="1" s="1"/>
  <c r="Q593" i="1"/>
  <c r="R593" i="1" s="1"/>
  <c r="R623" i="1"/>
  <c r="Q623" i="1"/>
  <c r="Q660" i="1"/>
  <c r="R660" i="1" s="1"/>
  <c r="Q693" i="1"/>
  <c r="R693" i="1" s="1"/>
  <c r="R123" i="1"/>
  <c r="R207" i="1"/>
  <c r="R229" i="1"/>
  <c r="Q244" i="1"/>
  <c r="Q308" i="1"/>
  <c r="R308" i="1" s="1"/>
  <c r="Q346" i="1"/>
  <c r="R346" i="1" s="1"/>
  <c r="R362" i="1"/>
  <c r="Q377" i="1"/>
  <c r="Q383" i="1"/>
  <c r="R383" i="1" s="1"/>
  <c r="R395" i="1"/>
  <c r="Q395" i="1"/>
  <c r="Q429" i="1"/>
  <c r="R429" i="1" s="1"/>
  <c r="R441" i="1"/>
  <c r="Q464" i="1"/>
  <c r="R464" i="1" s="1"/>
  <c r="Q562" i="1"/>
  <c r="R562" i="1" s="1"/>
  <c r="Q587" i="1"/>
  <c r="R587" i="1" s="1"/>
  <c r="Q606" i="1"/>
  <c r="R606" i="1"/>
  <c r="Q612" i="1"/>
  <c r="R612" i="1" s="1"/>
  <c r="R707" i="1"/>
  <c r="Q597" i="1"/>
  <c r="R597" i="1" s="1"/>
  <c r="R651" i="1"/>
  <c r="R684" i="1"/>
  <c r="Q684" i="1"/>
  <c r="Q773" i="1"/>
  <c r="R773" i="1" s="1"/>
  <c r="R806" i="1"/>
  <c r="Q806" i="1"/>
  <c r="R825" i="1"/>
  <c r="Q831" i="1"/>
  <c r="R831" i="1" s="1"/>
  <c r="R838" i="1"/>
  <c r="Q838" i="1"/>
  <c r="Q851" i="1"/>
  <c r="R851" i="1" s="1"/>
  <c r="Q876" i="1"/>
  <c r="R876" i="1" s="1"/>
  <c r="Q895" i="1"/>
  <c r="R895" i="1" s="1"/>
  <c r="Q908" i="1"/>
  <c r="R908" i="1" s="1"/>
  <c r="R921" i="1"/>
  <c r="Q921" i="1"/>
  <c r="R934" i="1"/>
  <c r="Q934" i="1"/>
  <c r="R941" i="1"/>
  <c r="Q941" i="1"/>
  <c r="Q960" i="1"/>
  <c r="R960" i="1"/>
  <c r="R1082" i="1"/>
  <c r="Q1082" i="1"/>
  <c r="R553" i="1"/>
  <c r="Q553" i="1"/>
  <c r="Q585" i="1"/>
  <c r="R585" i="1" s="1"/>
  <c r="Q642" i="1"/>
  <c r="R642" i="1" s="1"/>
  <c r="R767" i="1"/>
  <c r="Q767" i="1"/>
  <c r="R780" i="1"/>
  <c r="Q780" i="1"/>
  <c r="Q786" i="1"/>
  <c r="R786" i="1" s="1"/>
  <c r="R799" i="1"/>
  <c r="Q799" i="1"/>
  <c r="R819" i="1"/>
  <c r="Q845" i="1"/>
  <c r="R845" i="1" s="1"/>
  <c r="R858" i="1"/>
  <c r="Q858" i="1"/>
  <c r="Q915" i="1"/>
  <c r="R915" i="1" s="1"/>
  <c r="Q992" i="1"/>
  <c r="R992" i="1"/>
  <c r="Q1011" i="1"/>
  <c r="R1011" i="1" s="1"/>
  <c r="Q1040" i="1"/>
  <c r="R1040" i="1" s="1"/>
  <c r="Q1077" i="1"/>
  <c r="R1077" i="1" s="1"/>
  <c r="Q1227" i="1"/>
  <c r="R1227" i="1" s="1"/>
  <c r="Q480" i="1"/>
  <c r="R518" i="1"/>
  <c r="Q557" i="1"/>
  <c r="Q569" i="1"/>
  <c r="R569" i="1" s="1"/>
  <c r="Q573" i="1"/>
  <c r="R573" i="1" s="1"/>
  <c r="Q651" i="1"/>
  <c r="Q675" i="1"/>
  <c r="R675" i="1" s="1"/>
  <c r="R709" i="1"/>
  <c r="Q709" i="1"/>
  <c r="Q719" i="1"/>
  <c r="R719" i="1" s="1"/>
  <c r="R746" i="1"/>
  <c r="Q762" i="1"/>
  <c r="R762" i="1" s="1"/>
  <c r="R793" i="1"/>
  <c r="Q793" i="1"/>
  <c r="Q807" i="1"/>
  <c r="R807" i="1"/>
  <c r="Q825" i="1"/>
  <c r="Q832" i="1"/>
  <c r="R832" i="1" s="1"/>
  <c r="Q839" i="1"/>
  <c r="R839" i="1"/>
  <c r="Q852" i="1"/>
  <c r="R852" i="1" s="1"/>
  <c r="Q896" i="1"/>
  <c r="R896" i="1"/>
  <c r="R1017" i="1"/>
  <c r="Q1017" i="1"/>
  <c r="Q1029" i="1"/>
  <c r="R1029" i="1" s="1"/>
  <c r="Q1071" i="1"/>
  <c r="R1071" i="1" s="1"/>
  <c r="Q1204" i="1"/>
  <c r="R1204" i="1" s="1"/>
  <c r="R1210" i="1"/>
  <c r="R652" i="1"/>
  <c r="Q652" i="1"/>
  <c r="R661" i="1"/>
  <c r="Q661" i="1"/>
  <c r="Q680" i="1"/>
  <c r="R680" i="1" s="1"/>
  <c r="R694" i="1"/>
  <c r="Q699" i="1"/>
  <c r="R699" i="1" s="1"/>
  <c r="Q704" i="1"/>
  <c r="R704" i="1" s="1"/>
  <c r="Q751" i="1"/>
  <c r="R751" i="1" s="1"/>
  <c r="R757" i="1"/>
  <c r="Q757" i="1"/>
  <c r="Q768" i="1"/>
  <c r="R800" i="1"/>
  <c r="Q800" i="1"/>
  <c r="R820" i="1"/>
  <c r="Q820" i="1"/>
  <c r="Q826" i="1"/>
  <c r="R826" i="1" s="1"/>
  <c r="R909" i="1"/>
  <c r="Q909" i="1"/>
  <c r="R949" i="1"/>
  <c r="Q949" i="1"/>
  <c r="R981" i="1"/>
  <c r="Q981" i="1"/>
  <c r="Q1197" i="1"/>
  <c r="R1197" i="1" s="1"/>
  <c r="R508" i="1"/>
  <c r="Q565" i="1"/>
  <c r="R565" i="1" s="1"/>
  <c r="R620" i="1"/>
  <c r="Q620" i="1"/>
  <c r="Q690" i="1"/>
  <c r="R690" i="1" s="1"/>
  <c r="Q700" i="1"/>
  <c r="R700" i="1" s="1"/>
  <c r="Q746" i="1"/>
  <c r="R774" i="1"/>
  <c r="Q794" i="1"/>
  <c r="R794" i="1" s="1"/>
  <c r="Q853" i="1"/>
  <c r="R853" i="1" s="1"/>
  <c r="Q890" i="1"/>
  <c r="R890" i="1" s="1"/>
  <c r="R962" i="1"/>
  <c r="Q962" i="1"/>
  <c r="R527" i="1"/>
  <c r="R594" i="1"/>
  <c r="Q607" i="1"/>
  <c r="R607" i="1" s="1"/>
  <c r="R629" i="1"/>
  <c r="Q629" i="1"/>
  <c r="Q671" i="1"/>
  <c r="R671" i="1" s="1"/>
  <c r="Q705" i="1"/>
  <c r="R705" i="1" s="1"/>
  <c r="R725" i="1"/>
  <c r="Q725" i="1"/>
  <c r="R735" i="1"/>
  <c r="Q735" i="1"/>
  <c r="R741" i="1"/>
  <c r="Q741" i="1"/>
  <c r="R747" i="1"/>
  <c r="Q752" i="1"/>
  <c r="Q763" i="1"/>
  <c r="R763" i="1" s="1"/>
  <c r="R768" i="1"/>
  <c r="Q787" i="1"/>
  <c r="R787" i="1" s="1"/>
  <c r="Q821" i="1"/>
  <c r="R821" i="1" s="1"/>
  <c r="Q866" i="1"/>
  <c r="R866" i="1" s="1"/>
  <c r="R917" i="1"/>
  <c r="Q917" i="1"/>
  <c r="R950" i="1"/>
  <c r="Q950" i="1"/>
  <c r="Q956" i="1"/>
  <c r="R956" i="1" s="1"/>
  <c r="Q975" i="1"/>
  <c r="R975" i="1"/>
  <c r="Q994" i="1"/>
  <c r="R994" i="1" s="1"/>
  <c r="Q1042" i="1"/>
  <c r="R1042" i="1" s="1"/>
  <c r="Q1066" i="1"/>
  <c r="R1066" i="1" s="1"/>
  <c r="R1174" i="1"/>
  <c r="Q1174" i="1"/>
  <c r="Q388" i="1"/>
  <c r="R388" i="1" s="1"/>
  <c r="Q404" i="1"/>
  <c r="R404" i="1" s="1"/>
  <c r="Q420" i="1"/>
  <c r="R420" i="1" s="1"/>
  <c r="Q436" i="1"/>
  <c r="R436" i="1" s="1"/>
  <c r="Q452" i="1"/>
  <c r="R452" i="1" s="1"/>
  <c r="Q468" i="1"/>
  <c r="R468" i="1" s="1"/>
  <c r="Q501" i="1"/>
  <c r="R501" i="1" s="1"/>
  <c r="Q508" i="1"/>
  <c r="Q515" i="1"/>
  <c r="R515" i="1" s="1"/>
  <c r="Q519" i="1"/>
  <c r="R550" i="1"/>
  <c r="Q554" i="1"/>
  <c r="Q586" i="1"/>
  <c r="R586" i="1" s="1"/>
  <c r="R590" i="1"/>
  <c r="R616" i="1"/>
  <c r="Q616" i="1"/>
  <c r="R638" i="1"/>
  <c r="R648" i="1"/>
  <c r="Q648" i="1"/>
  <c r="R710" i="1"/>
  <c r="Q715" i="1"/>
  <c r="R715" i="1" s="1"/>
  <c r="Q720" i="1"/>
  <c r="R720" i="1" s="1"/>
  <c r="Q764" i="1"/>
  <c r="R764" i="1" s="1"/>
  <c r="R769" i="1"/>
  <c r="Q769" i="1"/>
  <c r="Q775" i="1"/>
  <c r="R775" i="1" s="1"/>
  <c r="Q781" i="1"/>
  <c r="R781" i="1" s="1"/>
  <c r="R788" i="1"/>
  <c r="Q788" i="1"/>
  <c r="Q795" i="1"/>
  <c r="R795" i="1" s="1"/>
  <c r="Q815" i="1"/>
  <c r="R815" i="1" s="1"/>
  <c r="R834" i="1"/>
  <c r="Q834" i="1"/>
  <c r="R854" i="1"/>
  <c r="Q854" i="1"/>
  <c r="Q860" i="1"/>
  <c r="R860" i="1" s="1"/>
  <c r="R885" i="1"/>
  <c r="Q885" i="1"/>
  <c r="R891" i="1"/>
  <c r="Q898" i="1"/>
  <c r="R898" i="1" s="1"/>
  <c r="R910" i="1"/>
  <c r="Q943" i="1"/>
  <c r="R943" i="1" s="1"/>
  <c r="R963" i="1"/>
  <c r="Q963" i="1"/>
  <c r="R988" i="1"/>
  <c r="Q1024" i="1"/>
  <c r="R1024" i="1"/>
  <c r="R1061" i="1"/>
  <c r="Q1061" i="1"/>
  <c r="Q1145" i="1"/>
  <c r="R1145" i="1" s="1"/>
  <c r="Q505" i="1"/>
  <c r="Q527" i="1"/>
  <c r="R582" i="1"/>
  <c r="R591" i="1"/>
  <c r="Q639" i="1"/>
  <c r="R639" i="1" s="1"/>
  <c r="R662" i="1"/>
  <c r="R667" i="1"/>
  <c r="Q706" i="1"/>
  <c r="R706" i="1" s="1"/>
  <c r="R716" i="1"/>
  <c r="Q716" i="1"/>
  <c r="Q736" i="1"/>
  <c r="Q747" i="1"/>
  <c r="R752" i="1"/>
  <c r="R758" i="1"/>
  <c r="Q802" i="1"/>
  <c r="R802" i="1" s="1"/>
  <c r="Q809" i="1"/>
  <c r="R809" i="1" s="1"/>
  <c r="R867" i="1"/>
  <c r="Q918" i="1"/>
  <c r="R918" i="1" s="1"/>
  <c r="Q924" i="1"/>
  <c r="R924" i="1" s="1"/>
  <c r="R930" i="1"/>
  <c r="Q930" i="1"/>
  <c r="Q976" i="1"/>
  <c r="R976" i="1"/>
  <c r="Q995" i="1"/>
  <c r="R995" i="1" s="1"/>
  <c r="Q604" i="1"/>
  <c r="R604" i="1" s="1"/>
  <c r="Q658" i="1"/>
  <c r="R658" i="1" s="1"/>
  <c r="Q696" i="1"/>
  <c r="R696" i="1" s="1"/>
  <c r="Q721" i="1"/>
  <c r="R721" i="1" s="1"/>
  <c r="R748" i="1"/>
  <c r="Q748" i="1"/>
  <c r="Q753" i="1"/>
  <c r="R753" i="1" s="1"/>
  <c r="Q770" i="1"/>
  <c r="R770" i="1" s="1"/>
  <c r="Q776" i="1"/>
  <c r="R776" i="1" s="1"/>
  <c r="R789" i="1"/>
  <c r="Q789" i="1"/>
  <c r="Q796" i="1"/>
  <c r="R796" i="1" s="1"/>
  <c r="Q822" i="1"/>
  <c r="R822" i="1" s="1"/>
  <c r="Q828" i="1"/>
  <c r="R828" i="1" s="1"/>
  <c r="Q847" i="1"/>
  <c r="R847" i="1" s="1"/>
  <c r="Q855" i="1"/>
  <c r="R855" i="1" s="1"/>
  <c r="R861" i="1"/>
  <c r="Q861" i="1"/>
  <c r="Q879" i="1"/>
  <c r="R879" i="1" s="1"/>
  <c r="R886" i="1"/>
  <c r="Q892" i="1"/>
  <c r="R892" i="1" s="1"/>
  <c r="Q899" i="1"/>
  <c r="R899" i="1" s="1"/>
  <c r="Q911" i="1"/>
  <c r="R911" i="1" s="1"/>
  <c r="R937" i="1"/>
  <c r="Q937" i="1"/>
  <c r="Q944" i="1"/>
  <c r="R944" i="1"/>
  <c r="Q951" i="1"/>
  <c r="R951" i="1" s="1"/>
  <c r="Q989" i="1"/>
  <c r="R989" i="1" s="1"/>
  <c r="R505" i="1"/>
  <c r="Q512" i="1"/>
  <c r="R512" i="1" s="1"/>
  <c r="Q524" i="1"/>
  <c r="R524" i="1" s="1"/>
  <c r="Q543" i="1"/>
  <c r="R543" i="1" s="1"/>
  <c r="R559" i="1"/>
  <c r="Q591" i="1"/>
  <c r="R617" i="1"/>
  <c r="Q617" i="1"/>
  <c r="Q621" i="1"/>
  <c r="R621" i="1" s="1"/>
  <c r="R630" i="1"/>
  <c r="R649" i="1"/>
  <c r="Q667" i="1"/>
  <c r="Q672" i="1"/>
  <c r="R672" i="1" s="1"/>
  <c r="R677" i="1"/>
  <c r="Q677" i="1"/>
  <c r="Q701" i="1"/>
  <c r="R701" i="1" s="1"/>
  <c r="R726" i="1"/>
  <c r="Q731" i="1"/>
  <c r="R731" i="1" s="1"/>
  <c r="R736" i="1"/>
  <c r="R742" i="1"/>
  <c r="Q759" i="1"/>
  <c r="R759" i="1" s="1"/>
  <c r="Q810" i="1"/>
  <c r="R810" i="1" s="1"/>
  <c r="Q867" i="1"/>
  <c r="Q905" i="1"/>
  <c r="R905" i="1" s="1"/>
  <c r="R925" i="1"/>
  <c r="Q925" i="1"/>
  <c r="R931" i="1"/>
  <c r="R983" i="1"/>
  <c r="Q983" i="1"/>
  <c r="R1007" i="1"/>
  <c r="Q424" i="1"/>
  <c r="Q440" i="1"/>
  <c r="R440" i="1" s="1"/>
  <c r="Q456" i="1"/>
  <c r="R456" i="1" s="1"/>
  <c r="Q472" i="1"/>
  <c r="Q485" i="1"/>
  <c r="R492" i="1"/>
  <c r="Q495" i="1"/>
  <c r="R495" i="1" s="1"/>
  <c r="Q502" i="1"/>
  <c r="R502" i="1" s="1"/>
  <c r="Q509" i="1"/>
  <c r="R509" i="1" s="1"/>
  <c r="Q547" i="1"/>
  <c r="Q551" i="1"/>
  <c r="Q600" i="1"/>
  <c r="R600" i="1" s="1"/>
  <c r="R626" i="1"/>
  <c r="Q626" i="1"/>
  <c r="Q644" i="1"/>
  <c r="R644" i="1" s="1"/>
  <c r="Q668" i="1"/>
  <c r="R668" i="1" s="1"/>
  <c r="R686" i="1"/>
  <c r="R711" i="1"/>
  <c r="Q722" i="1"/>
  <c r="R722" i="1" s="1"/>
  <c r="Q732" i="1"/>
  <c r="R732" i="1" s="1"/>
  <c r="Q737" i="1"/>
  <c r="R737" i="1" s="1"/>
  <c r="R754" i="1"/>
  <c r="Q754" i="1"/>
  <c r="R783" i="1"/>
  <c r="Q783" i="1"/>
  <c r="R803" i="1"/>
  <c r="Q842" i="1"/>
  <c r="R842" i="1" s="1"/>
  <c r="R848" i="1"/>
  <c r="Q848" i="1"/>
  <c r="Q880" i="1"/>
  <c r="R880" i="1"/>
  <c r="Q886" i="1"/>
  <c r="R965" i="1"/>
  <c r="Q965" i="1"/>
  <c r="Q540" i="1"/>
  <c r="R540" i="1" s="1"/>
  <c r="Q559" i="1"/>
  <c r="Q575" i="1"/>
  <c r="R575" i="1" s="1"/>
  <c r="Q635" i="1"/>
  <c r="R635" i="1" s="1"/>
  <c r="Q687" i="1"/>
  <c r="R687" i="1" s="1"/>
  <c r="Q707" i="1"/>
  <c r="R712" i="1"/>
  <c r="Q712" i="1"/>
  <c r="Q743" i="1"/>
  <c r="R743" i="1" s="1"/>
  <c r="Q760" i="1"/>
  <c r="R760" i="1" s="1"/>
  <c r="Q765" i="1"/>
  <c r="R765" i="1" s="1"/>
  <c r="R790" i="1"/>
  <c r="R829" i="1"/>
  <c r="Q829" i="1"/>
  <c r="R836" i="1"/>
  <c r="Q836" i="1"/>
  <c r="Q931" i="1"/>
  <c r="Q997" i="1"/>
  <c r="R997" i="1" s="1"/>
  <c r="Q1026" i="1"/>
  <c r="R1026" i="1" s="1"/>
  <c r="R1051" i="1"/>
  <c r="Q588" i="1"/>
  <c r="R588" i="1" s="1"/>
  <c r="R609" i="1"/>
  <c r="Q613" i="1"/>
  <c r="R613" i="1" s="1"/>
  <c r="Q636" i="1"/>
  <c r="R636" i="1" s="1"/>
  <c r="Q645" i="1"/>
  <c r="R645" i="1" s="1"/>
  <c r="Q659" i="1"/>
  <c r="R659" i="1" s="1"/>
  <c r="Q673" i="1"/>
  <c r="R673" i="1" s="1"/>
  <c r="Q717" i="1"/>
  <c r="R717" i="1" s="1"/>
  <c r="Q738" i="1"/>
  <c r="R738" i="1" s="1"/>
  <c r="R755" i="1"/>
  <c r="Q771" i="1"/>
  <c r="R771" i="1" s="1"/>
  <c r="R804" i="1"/>
  <c r="Q804" i="1"/>
  <c r="Q843" i="1"/>
  <c r="R843" i="1" s="1"/>
  <c r="R912" i="1"/>
  <c r="R939" i="1"/>
  <c r="Q946" i="1"/>
  <c r="R946" i="1" s="1"/>
  <c r="R972" i="1"/>
  <c r="Q972" i="1"/>
  <c r="Q1045" i="1"/>
  <c r="R1045" i="1" s="1"/>
  <c r="Q1099" i="1"/>
  <c r="R1099" i="1"/>
  <c r="R521" i="1"/>
  <c r="Q521" i="1"/>
  <c r="Q556" i="1"/>
  <c r="R556" i="1" s="1"/>
  <c r="Q572" i="1"/>
  <c r="R572" i="1" s="1"/>
  <c r="Q601" i="1"/>
  <c r="R601" i="1" s="1"/>
  <c r="R664" i="1"/>
  <c r="Q664" i="1"/>
  <c r="R678" i="1"/>
  <c r="R683" i="1"/>
  <c r="Q744" i="1"/>
  <c r="R744" i="1" s="1"/>
  <c r="Q772" i="1"/>
  <c r="R772" i="1" s="1"/>
  <c r="R778" i="1"/>
  <c r="Q778" i="1"/>
  <c r="Q791" i="1"/>
  <c r="R791" i="1"/>
  <c r="Q812" i="1"/>
  <c r="R812" i="1" s="1"/>
  <c r="Q869" i="1"/>
  <c r="R869" i="1" s="1"/>
  <c r="Q517" i="1"/>
  <c r="R517" i="1" s="1"/>
  <c r="Q584" i="1"/>
  <c r="R584" i="1" s="1"/>
  <c r="Q655" i="1"/>
  <c r="R655" i="1" s="1"/>
  <c r="R674" i="1"/>
  <c r="Q674" i="1"/>
  <c r="R698" i="1"/>
  <c r="R708" i="1"/>
  <c r="R728" i="1"/>
  <c r="Q728" i="1"/>
  <c r="R739" i="1"/>
  <c r="Q805" i="1"/>
  <c r="R805" i="1" s="1"/>
  <c r="R850" i="1"/>
  <c r="Q850" i="1"/>
  <c r="R894" i="1"/>
  <c r="Q894" i="1"/>
  <c r="R901" i="1"/>
  <c r="R933" i="1"/>
  <c r="Q933" i="1"/>
  <c r="Q940" i="1"/>
  <c r="R940" i="1" s="1"/>
  <c r="R959" i="1"/>
  <c r="Q959" i="1"/>
  <c r="R985" i="1"/>
  <c r="R1004" i="1"/>
  <c r="Q1004" i="1"/>
  <c r="R868" i="1"/>
  <c r="Q913" i="1"/>
  <c r="R913" i="1" s="1"/>
  <c r="Q932" i="1"/>
  <c r="R932" i="1" s="1"/>
  <c r="Q967" i="1"/>
  <c r="R967" i="1" s="1"/>
  <c r="R1031" i="1"/>
  <c r="Q1031" i="1"/>
  <c r="Q1088" i="1"/>
  <c r="R1088" i="1" s="1"/>
  <c r="Q1157" i="1"/>
  <c r="R1157" i="1" s="1"/>
  <c r="R1216" i="1"/>
  <c r="Q1216" i="1"/>
  <c r="Q1233" i="1"/>
  <c r="R1233" i="1" s="1"/>
  <c r="R1296" i="1"/>
  <c r="Q1296" i="1"/>
  <c r="Q1582" i="1"/>
  <c r="R1582" i="1" s="1"/>
  <c r="Q1594" i="1"/>
  <c r="R1594" i="1"/>
  <c r="R1614" i="1"/>
  <c r="Q1614" i="1"/>
  <c r="R996" i="1"/>
  <c r="Q996" i="1"/>
  <c r="R1046" i="1"/>
  <c r="Q1056" i="1"/>
  <c r="R1056" i="1" s="1"/>
  <c r="Q1117" i="1"/>
  <c r="R1117" i="1" s="1"/>
  <c r="Q1128" i="1"/>
  <c r="R1128" i="1" s="1"/>
  <c r="R1140" i="1"/>
  <c r="Q1140" i="1"/>
  <c r="Q1163" i="1"/>
  <c r="R1163" i="1" s="1"/>
  <c r="Q1198" i="1"/>
  <c r="R1198" i="1" s="1"/>
  <c r="Q1205" i="1"/>
  <c r="R1205" i="1" s="1"/>
  <c r="R1211" i="1"/>
  <c r="Q1211" i="1"/>
  <c r="Q1239" i="1"/>
  <c r="R1239" i="1" s="1"/>
  <c r="R1380" i="1"/>
  <c r="Q948" i="1"/>
  <c r="R948" i="1" s="1"/>
  <c r="R980" i="1"/>
  <c r="Q980" i="1"/>
  <c r="Q1072" i="1"/>
  <c r="R1072" i="1" s="1"/>
  <c r="R1105" i="1"/>
  <c r="R1111" i="1"/>
  <c r="Q1146" i="1"/>
  <c r="R1146" i="1" s="1"/>
  <c r="Q1169" i="1"/>
  <c r="R1169" i="1" s="1"/>
  <c r="R1268" i="1"/>
  <c r="Q1268" i="1"/>
  <c r="R1274" i="1"/>
  <c r="Q1274" i="1"/>
  <c r="Q1280" i="1"/>
  <c r="R1280" i="1" s="1"/>
  <c r="Q1303" i="1"/>
  <c r="R1303" i="1" s="1"/>
  <c r="R1326" i="1"/>
  <c r="Q1326" i="1"/>
  <c r="R1399" i="1"/>
  <c r="Q1399" i="1"/>
  <c r="Q819" i="1"/>
  <c r="Q857" i="1"/>
  <c r="R857" i="1" s="1"/>
  <c r="R864" i="1"/>
  <c r="Q883" i="1"/>
  <c r="R883" i="1" s="1"/>
  <c r="Q891" i="1"/>
  <c r="Q902" i="1"/>
  <c r="R902" i="1" s="1"/>
  <c r="Q906" i="1"/>
  <c r="R906" i="1" s="1"/>
  <c r="R928" i="1"/>
  <c r="Q964" i="1"/>
  <c r="R964" i="1" s="1"/>
  <c r="Q988" i="1"/>
  <c r="Q1000" i="1"/>
  <c r="R1000" i="1" s="1"/>
  <c r="R1008" i="1"/>
  <c r="R1013" i="1"/>
  <c r="R1018" i="1"/>
  <c r="Q1018" i="1"/>
  <c r="Q1027" i="1"/>
  <c r="R1027" i="1" s="1"/>
  <c r="R1032" i="1"/>
  <c r="R1036" i="1"/>
  <c r="Q1067" i="1"/>
  <c r="R1067" i="1" s="1"/>
  <c r="R1083" i="1"/>
  <c r="R1135" i="1"/>
  <c r="Q1135" i="1"/>
  <c r="Q1141" i="1"/>
  <c r="R1141" i="1" s="1"/>
  <c r="R1199" i="1"/>
  <c r="Q1261" i="1"/>
  <c r="R1261" i="1" s="1"/>
  <c r="R1315" i="1"/>
  <c r="Q1315" i="1"/>
  <c r="Q1344" i="1"/>
  <c r="R1344" i="1" s="1"/>
  <c r="R833" i="1"/>
  <c r="Q840" i="1"/>
  <c r="R840" i="1" s="1"/>
  <c r="Q872" i="1"/>
  <c r="R872" i="1" s="1"/>
  <c r="R887" i="1"/>
  <c r="Q952" i="1"/>
  <c r="R952" i="1" s="1"/>
  <c r="Q984" i="1"/>
  <c r="R984" i="1" s="1"/>
  <c r="R1005" i="1"/>
  <c r="R1037" i="1"/>
  <c r="R1041" i="1"/>
  <c r="R1089" i="1"/>
  <c r="R1095" i="1"/>
  <c r="Q1147" i="1"/>
  <c r="R1147" i="1" s="1"/>
  <c r="R1153" i="1"/>
  <c r="Q1153" i="1"/>
  <c r="R1164" i="1"/>
  <c r="R1181" i="1"/>
  <c r="R1206" i="1"/>
  <c r="R1223" i="1"/>
  <c r="Q1235" i="1"/>
  <c r="R1235" i="1" s="1"/>
  <c r="Q1251" i="1"/>
  <c r="R1251" i="1" s="1"/>
  <c r="Q1338" i="1"/>
  <c r="R1338" i="1"/>
  <c r="R1512" i="1"/>
  <c r="Q1512" i="1"/>
  <c r="Q910" i="1"/>
  <c r="Q968" i="1"/>
  <c r="R968" i="1" s="1"/>
  <c r="R1014" i="1"/>
  <c r="R1023" i="1"/>
  <c r="Q1023" i="1"/>
  <c r="Q1028" i="1"/>
  <c r="R1028" i="1" s="1"/>
  <c r="Q1032" i="1"/>
  <c r="R1047" i="1"/>
  <c r="R1057" i="1"/>
  <c r="Q1101" i="1"/>
  <c r="R1101" i="1" s="1"/>
  <c r="Q1112" i="1"/>
  <c r="R1112" i="1" s="1"/>
  <c r="R1124" i="1"/>
  <c r="Q1124" i="1"/>
  <c r="R1129" i="1"/>
  <c r="R1159" i="1"/>
  <c r="Q1159" i="1"/>
  <c r="R1187" i="1"/>
  <c r="R1245" i="1"/>
  <c r="Q1262" i="1"/>
  <c r="R1262" i="1" s="1"/>
  <c r="Q1357" i="1"/>
  <c r="R1357" i="1" s="1"/>
  <c r="R823" i="1"/>
  <c r="R865" i="1"/>
  <c r="Q884" i="1"/>
  <c r="R884" i="1" s="1"/>
  <c r="R929" i="1"/>
  <c r="Q1005" i="1"/>
  <c r="R1009" i="1"/>
  <c r="Q1037" i="1"/>
  <c r="R1073" i="1"/>
  <c r="R1090" i="1"/>
  <c r="Q1090" i="1"/>
  <c r="Q1130" i="1"/>
  <c r="R1130" i="1" s="1"/>
  <c r="Q1136" i="1"/>
  <c r="R1136" i="1" s="1"/>
  <c r="R1154" i="1"/>
  <c r="Q1154" i="1"/>
  <c r="R1194" i="1"/>
  <c r="Q1194" i="1"/>
  <c r="R1252" i="1"/>
  <c r="Q1252" i="1"/>
  <c r="Q1310" i="1"/>
  <c r="R1310" i="1" s="1"/>
  <c r="Q1322" i="1"/>
  <c r="R1322" i="1"/>
  <c r="Q1394" i="1"/>
  <c r="R1394" i="1" s="1"/>
  <c r="R877" i="1"/>
  <c r="Q922" i="1"/>
  <c r="R922" i="1" s="1"/>
  <c r="R973" i="1"/>
  <c r="R1053" i="1"/>
  <c r="Q1053" i="1"/>
  <c r="R1058" i="1"/>
  <c r="Q1058" i="1"/>
  <c r="Q1085" i="1"/>
  <c r="R1085" i="1" s="1"/>
  <c r="Q1119" i="1"/>
  <c r="R1119" i="1" s="1"/>
  <c r="Q1125" i="1"/>
  <c r="R1125" i="1" s="1"/>
  <c r="R1270" i="1"/>
  <c r="Q1328" i="1"/>
  <c r="R1328" i="1" s="1"/>
  <c r="Q1358" i="1"/>
  <c r="R1358" i="1" s="1"/>
  <c r="R1364" i="1"/>
  <c r="Q1364" i="1"/>
  <c r="Q888" i="1"/>
  <c r="R888" i="1" s="1"/>
  <c r="R900" i="1"/>
  <c r="R903" i="1"/>
  <c r="R945" i="1"/>
  <c r="Q985" i="1"/>
  <c r="R993" i="1"/>
  <c r="Q1033" i="1"/>
  <c r="R1033" i="1" s="1"/>
  <c r="R1048" i="1"/>
  <c r="R1069" i="1"/>
  <c r="Q1069" i="1"/>
  <c r="R1074" i="1"/>
  <c r="Q1074" i="1"/>
  <c r="Q1131" i="1"/>
  <c r="R1131" i="1" s="1"/>
  <c r="R1171" i="1"/>
  <c r="Q1171" i="1"/>
  <c r="Q1177" i="1"/>
  <c r="R1177" i="1" s="1"/>
  <c r="Q1195" i="1"/>
  <c r="R1195" i="1" s="1"/>
  <c r="Q1258" i="1"/>
  <c r="R1258" i="1" s="1"/>
  <c r="Q1299" i="1"/>
  <c r="R1299" i="1" s="1"/>
  <c r="Q1323" i="1"/>
  <c r="R1323" i="1" s="1"/>
  <c r="Q803" i="1"/>
  <c r="Q841" i="1"/>
  <c r="R841" i="1" s="1"/>
  <c r="Q862" i="1"/>
  <c r="R862" i="1" s="1"/>
  <c r="Q873" i="1"/>
  <c r="R873" i="1" s="1"/>
  <c r="Q877" i="1"/>
  <c r="Q938" i="1"/>
  <c r="R938" i="1" s="1"/>
  <c r="Q953" i="1"/>
  <c r="R953" i="1" s="1"/>
  <c r="Q957" i="1"/>
  <c r="R957" i="1" s="1"/>
  <c r="Q969" i="1"/>
  <c r="R969" i="1" s="1"/>
  <c r="Q973" i="1"/>
  <c r="R977" i="1"/>
  <c r="Q1002" i="1"/>
  <c r="R1002" i="1" s="1"/>
  <c r="Q1015" i="1"/>
  <c r="R1015" i="1" s="1"/>
  <c r="R1043" i="1"/>
  <c r="Q1043" i="1"/>
  <c r="R1064" i="1"/>
  <c r="R1080" i="1"/>
  <c r="Q1096" i="1"/>
  <c r="R1096" i="1" s="1"/>
  <c r="R1108" i="1"/>
  <c r="Q1108" i="1"/>
  <c r="R1113" i="1"/>
  <c r="Q1149" i="1"/>
  <c r="R1149" i="1" s="1"/>
  <c r="Q1208" i="1"/>
  <c r="R1208" i="1" s="1"/>
  <c r="R1264" i="1"/>
  <c r="Q1264" i="1"/>
  <c r="R817" i="1"/>
  <c r="R881" i="1"/>
  <c r="Q900" i="1"/>
  <c r="R961" i="1"/>
  <c r="Q986" i="1"/>
  <c r="R986" i="1" s="1"/>
  <c r="Q1034" i="1"/>
  <c r="R1034" i="1" s="1"/>
  <c r="Q1048" i="1"/>
  <c r="R1059" i="1"/>
  <c r="R1114" i="1"/>
  <c r="Q1114" i="1"/>
  <c r="R1120" i="1"/>
  <c r="Q1120" i="1"/>
  <c r="R1137" i="1"/>
  <c r="R1201" i="1"/>
  <c r="Q1242" i="1"/>
  <c r="R1242" i="1" s="1"/>
  <c r="R874" i="1"/>
  <c r="Q874" i="1"/>
  <c r="R893" i="1"/>
  <c r="Q954" i="1"/>
  <c r="R954" i="1" s="1"/>
  <c r="R970" i="1"/>
  <c r="Q970" i="1"/>
  <c r="Q1044" i="1"/>
  <c r="R1044" i="1" s="1"/>
  <c r="Q1092" i="1"/>
  <c r="R1092" i="1" s="1"/>
  <c r="R1103" i="1"/>
  <c r="Q1103" i="1"/>
  <c r="Q1109" i="1"/>
  <c r="R1109" i="1" s="1"/>
  <c r="R1172" i="1"/>
  <c r="Q1172" i="1"/>
  <c r="Q1220" i="1"/>
  <c r="R1220" i="1" s="1"/>
  <c r="Q1265" i="1"/>
  <c r="R1265" i="1" s="1"/>
  <c r="Q1306" i="1"/>
  <c r="R1306" i="1" s="1"/>
  <c r="R1335" i="1"/>
  <c r="R1347" i="1"/>
  <c r="R1030" i="1"/>
  <c r="Q1039" i="1"/>
  <c r="R1039" i="1" s="1"/>
  <c r="Q1060" i="1"/>
  <c r="R1060" i="1" s="1"/>
  <c r="R1097" i="1"/>
  <c r="Q1115" i="1"/>
  <c r="R1115" i="1" s="1"/>
  <c r="R1184" i="1"/>
  <c r="Q1184" i="1"/>
  <c r="Q1190" i="1"/>
  <c r="R1190" i="1" s="1"/>
  <c r="R1243" i="1"/>
  <c r="Q1243" i="1"/>
  <c r="Q1248" i="1"/>
  <c r="R1248" i="1" s="1"/>
  <c r="Q1277" i="1"/>
  <c r="R1277" i="1" s="1"/>
  <c r="R1341" i="1"/>
  <c r="Q1341" i="1"/>
  <c r="R1384" i="1"/>
  <c r="Q1384" i="1"/>
  <c r="Q633" i="1"/>
  <c r="R633" i="1" s="1"/>
  <c r="Q649" i="1"/>
  <c r="Q665" i="1"/>
  <c r="R665" i="1" s="1"/>
  <c r="Q681" i="1"/>
  <c r="R681" i="1" s="1"/>
  <c r="Q697" i="1"/>
  <c r="R697" i="1" s="1"/>
  <c r="Q713" i="1"/>
  <c r="R713" i="1" s="1"/>
  <c r="Q729" i="1"/>
  <c r="R729" i="1" s="1"/>
  <c r="Q745" i="1"/>
  <c r="R745" i="1" s="1"/>
  <c r="Q761" i="1"/>
  <c r="R761" i="1" s="1"/>
  <c r="Q777" i="1"/>
  <c r="R777" i="1" s="1"/>
  <c r="Q790" i="1"/>
  <c r="Q797" i="1"/>
  <c r="R797" i="1" s="1"/>
  <c r="Q811" i="1"/>
  <c r="R811" i="1" s="1"/>
  <c r="Q835" i="1"/>
  <c r="R835" i="1" s="1"/>
  <c r="Q878" i="1"/>
  <c r="R878" i="1" s="1"/>
  <c r="Q889" i="1"/>
  <c r="R889" i="1" s="1"/>
  <c r="Q893" i="1"/>
  <c r="Q935" i="1"/>
  <c r="R935" i="1" s="1"/>
  <c r="Q939" i="1"/>
  <c r="Q966" i="1"/>
  <c r="R966" i="1" s="1"/>
  <c r="Q978" i="1"/>
  <c r="R978" i="1" s="1"/>
  <c r="Q1003" i="1"/>
  <c r="R1003" i="1" s="1"/>
  <c r="R1021" i="1"/>
  <c r="R1025" i="1"/>
  <c r="R1049" i="1"/>
  <c r="Q1076" i="1"/>
  <c r="R1076" i="1" s="1"/>
  <c r="Q1087" i="1"/>
  <c r="R1087" i="1" s="1"/>
  <c r="Q1093" i="1"/>
  <c r="R1093" i="1" s="1"/>
  <c r="R1098" i="1"/>
  <c r="Q1098" i="1"/>
  <c r="Q1133" i="1"/>
  <c r="R1133" i="1" s="1"/>
  <c r="Q1144" i="1"/>
  <c r="R1144" i="1" s="1"/>
  <c r="Q1173" i="1"/>
  <c r="R1173" i="1"/>
  <c r="Q1179" i="1"/>
  <c r="R1179" i="1" s="1"/>
  <c r="R1203" i="1"/>
  <c r="Q1203" i="1"/>
  <c r="R1221" i="1"/>
  <c r="Q1221" i="1"/>
  <c r="R1226" i="1"/>
  <c r="Q1226" i="1"/>
  <c r="Q1354" i="1"/>
  <c r="R1354" i="1"/>
  <c r="Q801" i="1"/>
  <c r="R801" i="1" s="1"/>
  <c r="R849" i="1"/>
  <c r="R897" i="1"/>
  <c r="Q916" i="1"/>
  <c r="R916" i="1" s="1"/>
  <c r="Q999" i="1"/>
  <c r="R999" i="1" s="1"/>
  <c r="Q1012" i="1"/>
  <c r="R1012" i="1" s="1"/>
  <c r="Q1016" i="1"/>
  <c r="R1016" i="1" s="1"/>
  <c r="Q1050" i="1"/>
  <c r="R1050" i="1" s="1"/>
  <c r="Q1055" i="1"/>
  <c r="R1055" i="1" s="1"/>
  <c r="R1065" i="1"/>
  <c r="R1081" i="1"/>
  <c r="Q1104" i="1"/>
  <c r="R1104" i="1" s="1"/>
  <c r="R1121" i="1"/>
  <c r="R1185" i="1"/>
  <c r="Q1185" i="1"/>
  <c r="R1191" i="1"/>
  <c r="Q1191" i="1"/>
  <c r="Q1232" i="1"/>
  <c r="R1232" i="1" s="1"/>
  <c r="Q1278" i="1"/>
  <c r="R1278" i="1" s="1"/>
  <c r="Q1290" i="1"/>
  <c r="R1290" i="1"/>
  <c r="R1319" i="1"/>
  <c r="Q1319" i="1"/>
  <c r="Q1342" i="1"/>
  <c r="R1342" i="1" s="1"/>
  <c r="Q1281" i="1"/>
  <c r="R1298" i="1"/>
  <c r="Q1298" i="1"/>
  <c r="Q1379" i="1"/>
  <c r="R1379" i="1" s="1"/>
  <c r="Q1389" i="1"/>
  <c r="R1389" i="1" s="1"/>
  <c r="R1415" i="1"/>
  <c r="R1501" i="1"/>
  <c r="Q1565" i="1"/>
  <c r="R1565" i="1"/>
  <c r="R1854" i="1"/>
  <c r="Q1854" i="1"/>
  <c r="Q1860" i="1"/>
  <c r="R1860" i="1" s="1"/>
  <c r="Q1866" i="1"/>
  <c r="R1866" i="1" s="1"/>
  <c r="Q1885" i="1"/>
  <c r="R1885" i="1" s="1"/>
  <c r="R1224" i="1"/>
  <c r="Q1224" i="1"/>
  <c r="R1246" i="1"/>
  <c r="Q1250" i="1"/>
  <c r="R1250" i="1" s="1"/>
  <c r="Q1336" i="1"/>
  <c r="R1336" i="1" s="1"/>
  <c r="Q1349" i="1"/>
  <c r="R1349" i="1"/>
  <c r="Q1496" i="1"/>
  <c r="R1496" i="1" s="1"/>
  <c r="R1518" i="1"/>
  <c r="R1583" i="1"/>
  <c r="Q1583" i="1"/>
  <c r="Q1654" i="1"/>
  <c r="R1654" i="1" s="1"/>
  <c r="R1674" i="1"/>
  <c r="Q1674" i="1"/>
  <c r="Q1836" i="1"/>
  <c r="R1836" i="1" s="1"/>
  <c r="Q1164" i="1"/>
  <c r="R1202" i="1"/>
  <c r="R1231" i="1"/>
  <c r="Q1254" i="1"/>
  <c r="R1254" i="1" s="1"/>
  <c r="R1281" i="1"/>
  <c r="Q1286" i="1"/>
  <c r="R1286" i="1" s="1"/>
  <c r="Q1307" i="1"/>
  <c r="R1307" i="1" s="1"/>
  <c r="Q1359" i="1"/>
  <c r="R1359" i="1" s="1"/>
  <c r="Q1369" i="1"/>
  <c r="R1369" i="1" s="1"/>
  <c r="Q1405" i="1"/>
  <c r="R1405" i="1" s="1"/>
  <c r="R1416" i="1"/>
  <c r="Q1416" i="1"/>
  <c r="Q1421" i="1"/>
  <c r="R1421" i="1" s="1"/>
  <c r="Q1480" i="1"/>
  <c r="R1480" i="1" s="1"/>
  <c r="R1485" i="1"/>
  <c r="Q1485" i="1"/>
  <c r="R1530" i="1"/>
  <c r="Q1530" i="1"/>
  <c r="R1542" i="1"/>
  <c r="Q1635" i="1"/>
  <c r="R1635" i="1" s="1"/>
  <c r="R1661" i="1"/>
  <c r="Q1661" i="1"/>
  <c r="R1717" i="1"/>
  <c r="Q1717" i="1"/>
  <c r="Q1723" i="1"/>
  <c r="R1723" i="1" s="1"/>
  <c r="Q1106" i="1"/>
  <c r="R1106" i="1" s="1"/>
  <c r="Q1122" i="1"/>
  <c r="R1122" i="1" s="1"/>
  <c r="Q1138" i="1"/>
  <c r="R1138" i="1" s="1"/>
  <c r="Q1151" i="1"/>
  <c r="R1151" i="1" s="1"/>
  <c r="Q1161" i="1"/>
  <c r="R1161" i="1" s="1"/>
  <c r="Q1181" i="1"/>
  <c r="Q1188" i="1"/>
  <c r="R1188" i="1" s="1"/>
  <c r="R1192" i="1"/>
  <c r="Q1192" i="1"/>
  <c r="Q1206" i="1"/>
  <c r="Q1213" i="1"/>
  <c r="R1213" i="1" s="1"/>
  <c r="Q1246" i="1"/>
  <c r="Q1266" i="1"/>
  <c r="R1266" i="1" s="1"/>
  <c r="Q1270" i="1"/>
  <c r="R1282" i="1"/>
  <c r="Q1282" i="1"/>
  <c r="Q1294" i="1"/>
  <c r="R1294" i="1" s="1"/>
  <c r="R1311" i="1"/>
  <c r="Q1332" i="1"/>
  <c r="R1332" i="1" s="1"/>
  <c r="R1374" i="1"/>
  <c r="Q1411" i="1"/>
  <c r="R1411" i="1" s="1"/>
  <c r="R1432" i="1"/>
  <c r="Q1432" i="1"/>
  <c r="Q1448" i="1"/>
  <c r="R1448" i="1" s="1"/>
  <c r="Q1453" i="1"/>
  <c r="R1453" i="1" s="1"/>
  <c r="R1464" i="1"/>
  <c r="Q1464" i="1"/>
  <c r="Q1537" i="1"/>
  <c r="R1537" i="1" s="1"/>
  <c r="Q1566" i="1"/>
  <c r="R1566" i="1" s="1"/>
  <c r="R1590" i="1"/>
  <c r="Q1590" i="1"/>
  <c r="R1622" i="1"/>
  <c r="Q1622" i="1"/>
  <c r="Q1655" i="1"/>
  <c r="R1655" i="1" s="1"/>
  <c r="Q1199" i="1"/>
  <c r="R1316" i="1"/>
  <c r="R1320" i="1"/>
  <c r="Q1320" i="1"/>
  <c r="R1333" i="1"/>
  <c r="Q1333" i="1"/>
  <c r="Q1345" i="1"/>
  <c r="R1345" i="1" s="1"/>
  <c r="R1395" i="1"/>
  <c r="Q1395" i="1"/>
  <c r="Q1400" i="1"/>
  <c r="R1400" i="1" s="1"/>
  <c r="R1491" i="1"/>
  <c r="Q1514" i="1"/>
  <c r="R1514" i="1" s="1"/>
  <c r="Q1549" i="1"/>
  <c r="R1549" i="1" s="1"/>
  <c r="Q1578" i="1"/>
  <c r="R1578" i="1" s="1"/>
  <c r="R1603" i="1"/>
  <c r="Q1603" i="1"/>
  <c r="Q1629" i="1"/>
  <c r="R1629" i="1" s="1"/>
  <c r="Q1642" i="1"/>
  <c r="R1642" i="1"/>
  <c r="Q1210" i="1"/>
  <c r="Q1217" i="1"/>
  <c r="R1217" i="1" s="1"/>
  <c r="R1291" i="1"/>
  <c r="Q1291" i="1"/>
  <c r="Q1355" i="1"/>
  <c r="R1355" i="1" s="1"/>
  <c r="Q1374" i="1"/>
  <c r="Q1380" i="1"/>
  <c r="Q1390" i="1"/>
  <c r="R1390" i="1" s="1"/>
  <c r="Q1401" i="1"/>
  <c r="R1401" i="1" s="1"/>
  <c r="Q1412" i="1"/>
  <c r="R1412" i="1" s="1"/>
  <c r="R1422" i="1"/>
  <c r="R1427" i="1"/>
  <c r="R1459" i="1"/>
  <c r="R1503" i="1"/>
  <c r="R1531" i="1"/>
  <c r="Q1531" i="1"/>
  <c r="R1623" i="1"/>
  <c r="Q1623" i="1"/>
  <c r="R1189" i="1"/>
  <c r="Q1189" i="1"/>
  <c r="R1492" i="1"/>
  <c r="Q1492" i="1"/>
  <c r="R1498" i="1"/>
  <c r="Q1498" i="1"/>
  <c r="R1515" i="1"/>
  <c r="Q1515" i="1"/>
  <c r="Q1520" i="1"/>
  <c r="R1520" i="1" s="1"/>
  <c r="R1585" i="1"/>
  <c r="Q1585" i="1"/>
  <c r="Q1597" i="1"/>
  <c r="R1597" i="1" s="1"/>
  <c r="Q1610" i="1"/>
  <c r="R1610" i="1"/>
  <c r="Q1793" i="1"/>
  <c r="R1793" i="1" s="1"/>
  <c r="Q1218" i="1"/>
  <c r="R1218" i="1" s="1"/>
  <c r="Q1240" i="1"/>
  <c r="R1240" i="1" s="1"/>
  <c r="R1259" i="1"/>
  <c r="Q1259" i="1"/>
  <c r="Q1275" i="1"/>
  <c r="R1275" i="1" s="1"/>
  <c r="Q1304" i="1"/>
  <c r="R1304" i="1" s="1"/>
  <c r="Q1317" i="1"/>
  <c r="R1317" i="1" s="1"/>
  <c r="R1325" i="1"/>
  <c r="Q1346" i="1"/>
  <c r="R1346" i="1" s="1"/>
  <c r="Q1386" i="1"/>
  <c r="R1386" i="1" s="1"/>
  <c r="Q1402" i="1"/>
  <c r="R1402" i="1" s="1"/>
  <c r="R1407" i="1"/>
  <c r="Q1428" i="1"/>
  <c r="R1428" i="1" s="1"/>
  <c r="Q1460" i="1"/>
  <c r="R1460" i="1" s="1"/>
  <c r="R1476" i="1"/>
  <c r="R1670" i="1"/>
  <c r="Q1695" i="1"/>
  <c r="R1695" i="1" s="1"/>
  <c r="R1781" i="1"/>
  <c r="Q1781" i="1"/>
  <c r="R1787" i="1"/>
  <c r="Q1787" i="1"/>
  <c r="Q1059" i="1"/>
  <c r="Q1075" i="1"/>
  <c r="R1075" i="1" s="1"/>
  <c r="Q1091" i="1"/>
  <c r="R1091" i="1" s="1"/>
  <c r="Q1107" i="1"/>
  <c r="R1107" i="1" s="1"/>
  <c r="Q1123" i="1"/>
  <c r="R1123" i="1" s="1"/>
  <c r="Q1139" i="1"/>
  <c r="R1139" i="1" s="1"/>
  <c r="Q1152" i="1"/>
  <c r="R1152" i="1" s="1"/>
  <c r="Q1162" i="1"/>
  <c r="R1162" i="1" s="1"/>
  <c r="Q1182" i="1"/>
  <c r="R1182" i="1" s="1"/>
  <c r="Q1193" i="1"/>
  <c r="R1193" i="1" s="1"/>
  <c r="Q1207" i="1"/>
  <c r="R1207" i="1" s="1"/>
  <c r="Q1214" i="1"/>
  <c r="R1214" i="1" s="1"/>
  <c r="Q1267" i="1"/>
  <c r="R1267" i="1" s="1"/>
  <c r="Q1271" i="1"/>
  <c r="R1271" i="1" s="1"/>
  <c r="Q1283" i="1"/>
  <c r="R1283" i="1" s="1"/>
  <c r="R1365" i="1"/>
  <c r="Q1376" i="1"/>
  <c r="R1376" i="1" s="1"/>
  <c r="Q1381" i="1"/>
  <c r="R1381" i="1" s="1"/>
  <c r="R1396" i="1"/>
  <c r="R1418" i="1"/>
  <c r="Q1418" i="1"/>
  <c r="R1434" i="1"/>
  <c r="Q1434" i="1"/>
  <c r="R1466" i="1"/>
  <c r="Q1466" i="1"/>
  <c r="R1482" i="1"/>
  <c r="Q1482" i="1"/>
  <c r="Q1499" i="1"/>
  <c r="R1499" i="1" s="1"/>
  <c r="Q1539" i="1"/>
  <c r="R1539" i="1" s="1"/>
  <c r="R1545" i="1"/>
  <c r="Q1200" i="1"/>
  <c r="R1200" i="1" s="1"/>
  <c r="Q1222" i="1"/>
  <c r="R1222" i="1" s="1"/>
  <c r="Q1229" i="1"/>
  <c r="R1229" i="1" s="1"/>
  <c r="R1263" i="1"/>
  <c r="R1279" i="1"/>
  <c r="Q1300" i="1"/>
  <c r="R1300" i="1" s="1"/>
  <c r="Q1325" i="1"/>
  <c r="R1329" i="1"/>
  <c r="Q1334" i="1"/>
  <c r="R1334" i="1" s="1"/>
  <c r="Q1366" i="1"/>
  <c r="R1366" i="1" s="1"/>
  <c r="R1387" i="1"/>
  <c r="Q1392" i="1"/>
  <c r="R1392" i="1" s="1"/>
  <c r="Q1450" i="1"/>
  <c r="R1450" i="1" s="1"/>
  <c r="R1551" i="1"/>
  <c r="Q1651" i="1"/>
  <c r="R1651" i="1" s="1"/>
  <c r="R1237" i="1"/>
  <c r="Q1237" i="1"/>
  <c r="Q1256" i="1"/>
  <c r="R1256" i="1" s="1"/>
  <c r="Q1288" i="1"/>
  <c r="R1288" i="1" s="1"/>
  <c r="R1301" i="1"/>
  <c r="Q1301" i="1"/>
  <c r="R1309" i="1"/>
  <c r="Q1330" i="1"/>
  <c r="R1330" i="1" s="1"/>
  <c r="R1351" i="1"/>
  <c r="R1361" i="1"/>
  <c r="R1371" i="1"/>
  <c r="R1382" i="1"/>
  <c r="Q1382" i="1"/>
  <c r="Q1397" i="1"/>
  <c r="R1397" i="1"/>
  <c r="Q1419" i="1"/>
  <c r="R1419" i="1" s="1"/>
  <c r="R1424" i="1"/>
  <c r="Q1435" i="1"/>
  <c r="R1435" i="1" s="1"/>
  <c r="Q1467" i="1"/>
  <c r="R1467" i="1" s="1"/>
  <c r="R1483" i="1"/>
  <c r="Q1483" i="1"/>
  <c r="Q1533" i="1"/>
  <c r="R1533" i="1" s="1"/>
  <c r="Q1569" i="1"/>
  <c r="R1569" i="1" s="1"/>
  <c r="Q1574" i="1"/>
  <c r="R1574" i="1" s="1"/>
  <c r="Q1638" i="1"/>
  <c r="R1638" i="1" s="1"/>
  <c r="Q1685" i="1"/>
  <c r="R1685" i="1" s="1"/>
  <c r="Q1272" i="1"/>
  <c r="R1272" i="1" s="1"/>
  <c r="R1352" i="1"/>
  <c r="Q1352" i="1"/>
  <c r="R1362" i="1"/>
  <c r="Q1362" i="1"/>
  <c r="Q1387" i="1"/>
  <c r="Q1440" i="1"/>
  <c r="R1440" i="1" s="1"/>
  <c r="R1451" i="1"/>
  <c r="Q1451" i="1"/>
  <c r="R1619" i="1"/>
  <c r="Q1619" i="1"/>
  <c r="Q1645" i="1"/>
  <c r="R1645" i="1" s="1"/>
  <c r="Q1658" i="1"/>
  <c r="R1658" i="1"/>
  <c r="Q1047" i="1"/>
  <c r="Q1063" i="1"/>
  <c r="R1063" i="1" s="1"/>
  <c r="Q1079" i="1"/>
  <c r="R1079" i="1" s="1"/>
  <c r="Q1095" i="1"/>
  <c r="Q1111" i="1"/>
  <c r="Q1127" i="1"/>
  <c r="R1127" i="1" s="1"/>
  <c r="Q1143" i="1"/>
  <c r="R1143" i="1" s="1"/>
  <c r="Q1156" i="1"/>
  <c r="R1156" i="1" s="1"/>
  <c r="Q1166" i="1"/>
  <c r="R1166" i="1" s="1"/>
  <c r="Q1176" i="1"/>
  <c r="R1176" i="1" s="1"/>
  <c r="Q1183" i="1"/>
  <c r="R1183" i="1" s="1"/>
  <c r="R1215" i="1"/>
  <c r="Q1219" i="1"/>
  <c r="R1219" i="1" s="1"/>
  <c r="Q1284" i="1"/>
  <c r="R1284" i="1" s="1"/>
  <c r="Q1309" i="1"/>
  <c r="R1313" i="1"/>
  <c r="Q1318" i="1"/>
  <c r="R1318" i="1" s="1"/>
  <c r="R1339" i="1"/>
  <c r="Q1339" i="1"/>
  <c r="Q1347" i="1"/>
  <c r="Q1377" i="1"/>
  <c r="R1377" i="1" s="1"/>
  <c r="Q1408" i="1"/>
  <c r="R1408" i="1" s="1"/>
  <c r="Q1414" i="1"/>
  <c r="R1414" i="1" s="1"/>
  <c r="Q1424" i="1"/>
  <c r="Q1488" i="1"/>
  <c r="R1488" i="1" s="1"/>
  <c r="R1505" i="1"/>
  <c r="Q1534" i="1"/>
  <c r="R1534" i="1" s="1"/>
  <c r="R1546" i="1"/>
  <c r="Q1606" i="1"/>
  <c r="R1606" i="1" s="1"/>
  <c r="Q1679" i="1"/>
  <c r="R1679" i="1" s="1"/>
  <c r="R1160" i="1"/>
  <c r="R1234" i="1"/>
  <c r="Q1234" i="1"/>
  <c r="Q1253" i="1"/>
  <c r="R1253" i="1" s="1"/>
  <c r="Q1285" i="1"/>
  <c r="R1285" i="1" s="1"/>
  <c r="R1293" i="1"/>
  <c r="Q1314" i="1"/>
  <c r="R1314" i="1" s="1"/>
  <c r="R1343" i="1"/>
  <c r="Q1367" i="1"/>
  <c r="R1367" i="1" s="1"/>
  <c r="R1378" i="1"/>
  <c r="R1388" i="1"/>
  <c r="Q1409" i="1"/>
  <c r="R1409" i="1" s="1"/>
  <c r="Q1456" i="1"/>
  <c r="R1456" i="1" s="1"/>
  <c r="Q1478" i="1"/>
  <c r="R1478" i="1" s="1"/>
  <c r="Q1613" i="1"/>
  <c r="R1613" i="1" s="1"/>
  <c r="Q1626" i="1"/>
  <c r="R1626" i="1"/>
  <c r="Q1646" i="1"/>
  <c r="R1646" i="1" s="1"/>
  <c r="R1740" i="1"/>
  <c r="Q1740" i="1"/>
  <c r="Q1746" i="1"/>
  <c r="R1746" i="1" s="1"/>
  <c r="Q1269" i="1"/>
  <c r="R1269" i="1" s="1"/>
  <c r="R1348" i="1"/>
  <c r="R1368" i="1"/>
  <c r="Q1398" i="1"/>
  <c r="R1398" i="1" s="1"/>
  <c r="R1404" i="1"/>
  <c r="Q1446" i="1"/>
  <c r="R1446" i="1" s="1"/>
  <c r="R1517" i="1"/>
  <c r="Q1535" i="1"/>
  <c r="R1535" i="1" s="1"/>
  <c r="R1553" i="1"/>
  <c r="Q1553" i="1"/>
  <c r="R1637" i="1"/>
  <c r="R1729" i="1"/>
  <c r="R1806" i="1"/>
  <c r="Q1806" i="1"/>
  <c r="Q1818" i="1"/>
  <c r="R1818" i="1" s="1"/>
  <c r="Q1953" i="1"/>
  <c r="R1953" i="1"/>
  <c r="R1547" i="1"/>
  <c r="R1579" i="1"/>
  <c r="Q1579" i="1"/>
  <c r="R1724" i="1"/>
  <c r="Q1724" i="1"/>
  <c r="Q1741" i="1"/>
  <c r="R1741" i="1" s="1"/>
  <c r="Q1752" i="1"/>
  <c r="R1752" i="1" s="1"/>
  <c r="Q1788" i="1"/>
  <c r="R1788" i="1" s="1"/>
  <c r="Q1837" i="1"/>
  <c r="R1837" i="1" s="1"/>
  <c r="R1855" i="1"/>
  <c r="Q1855" i="1"/>
  <c r="Q1867" i="1"/>
  <c r="R1867" i="1" s="1"/>
  <c r="Q1879" i="1"/>
  <c r="R1879" i="1" s="1"/>
  <c r="R1886" i="1"/>
  <c r="Q1886" i="1"/>
  <c r="R2352" i="1"/>
  <c r="Q2352" i="1"/>
  <c r="Q1528" i="1"/>
  <c r="R1528" i="1" s="1"/>
  <c r="R1563" i="1"/>
  <c r="Q1592" i="1"/>
  <c r="R1592" i="1" s="1"/>
  <c r="R1601" i="1"/>
  <c r="Q1601" i="1"/>
  <c r="Q1624" i="1"/>
  <c r="R1624" i="1" s="1"/>
  <c r="R1633" i="1"/>
  <c r="Q1633" i="1"/>
  <c r="Q1656" i="1"/>
  <c r="R1656" i="1" s="1"/>
  <c r="Q1665" i="1"/>
  <c r="R1665" i="1" s="1"/>
  <c r="R1770" i="1"/>
  <c r="Q1770" i="1"/>
  <c r="Q1819" i="1"/>
  <c r="R1819" i="1" s="1"/>
  <c r="Q1825" i="1"/>
  <c r="R1825" i="1" s="1"/>
  <c r="R1898" i="1"/>
  <c r="Q1965" i="1"/>
  <c r="R1965" i="1"/>
  <c r="R2015" i="1"/>
  <c r="Q2015" i="1"/>
  <c r="Q1510" i="1"/>
  <c r="R1510" i="1" s="1"/>
  <c r="Q1517" i="1"/>
  <c r="Q1524" i="1"/>
  <c r="R1524" i="1" s="1"/>
  <c r="Q1547" i="1"/>
  <c r="Q1551" i="1"/>
  <c r="Q1555" i="1"/>
  <c r="R1555" i="1" s="1"/>
  <c r="Q1571" i="1"/>
  <c r="R1571" i="1" s="1"/>
  <c r="Q1575" i="1"/>
  <c r="R1575" i="1" s="1"/>
  <c r="R1588" i="1"/>
  <c r="Q1615" i="1"/>
  <c r="R1615" i="1" s="1"/>
  <c r="Q1647" i="1"/>
  <c r="R1647" i="1" s="1"/>
  <c r="Q1670" i="1"/>
  <c r="Q1691" i="1"/>
  <c r="R1691" i="1" s="1"/>
  <c r="Q1701" i="1"/>
  <c r="R1701" i="1" s="1"/>
  <c r="R1725" i="1"/>
  <c r="R1742" i="1"/>
  <c r="Q1742" i="1"/>
  <c r="Q1747" i="1"/>
  <c r="R1747" i="1" s="1"/>
  <c r="Q1800" i="1"/>
  <c r="R1800" i="1" s="1"/>
  <c r="Q1807" i="1"/>
  <c r="R1807" i="1" s="1"/>
  <c r="R1813" i="1"/>
  <c r="Q1813" i="1"/>
  <c r="R1838" i="1"/>
  <c r="Q1838" i="1"/>
  <c r="R1844" i="1"/>
  <c r="Q1844" i="1"/>
  <c r="Q1917" i="1"/>
  <c r="R1917" i="1" s="1"/>
  <c r="R1923" i="1"/>
  <c r="R2251" i="1"/>
  <c r="Q2251" i="1"/>
  <c r="Q1439" i="1"/>
  <c r="R1439" i="1" s="1"/>
  <c r="Q1471" i="1"/>
  <c r="R1471" i="1" s="1"/>
  <c r="Q1503" i="1"/>
  <c r="Q1544" i="1"/>
  <c r="R1544" i="1" s="1"/>
  <c r="Q1559" i="1"/>
  <c r="R1559" i="1" s="1"/>
  <c r="Q1563" i="1"/>
  <c r="Q1567" i="1"/>
  <c r="R1567" i="1" s="1"/>
  <c r="Q1675" i="1"/>
  <c r="R1675" i="1" s="1"/>
  <c r="Q1730" i="1"/>
  <c r="R1730" i="1" s="1"/>
  <c r="R1771" i="1"/>
  <c r="R1795" i="1"/>
  <c r="Q1820" i="1"/>
  <c r="R1820" i="1" s="1"/>
  <c r="R1831" i="1"/>
  <c r="Q1966" i="1"/>
  <c r="R1966" i="1" s="1"/>
  <c r="Q1978" i="1"/>
  <c r="R1978" i="1" s="1"/>
  <c r="R1576" i="1"/>
  <c r="Q1576" i="1"/>
  <c r="Q1588" i="1"/>
  <c r="R1611" i="1"/>
  <c r="Q1611" i="1"/>
  <c r="Q1643" i="1"/>
  <c r="R1643" i="1" s="1"/>
  <c r="R1652" i="1"/>
  <c r="R1687" i="1"/>
  <c r="R1697" i="1"/>
  <c r="Q1702" i="1"/>
  <c r="R1702" i="1" s="1"/>
  <c r="R1713" i="1"/>
  <c r="Q1725" i="1"/>
  <c r="R1748" i="1"/>
  <c r="Q1748" i="1"/>
  <c r="Q1754" i="1"/>
  <c r="R1754" i="1" s="1"/>
  <c r="Q1789" i="1"/>
  <c r="R1789" i="1" s="1"/>
  <c r="R1845" i="1"/>
  <c r="Q1911" i="1"/>
  <c r="R1911" i="1" s="1"/>
  <c r="Q1924" i="1"/>
  <c r="R1924" i="1" s="1"/>
  <c r="R2003" i="1"/>
  <c r="R2069" i="1"/>
  <c r="Q2069" i="1"/>
  <c r="R1429" i="1"/>
  <c r="Q1429" i="1"/>
  <c r="Q1461" i="1"/>
  <c r="R1461" i="1" s="1"/>
  <c r="R1493" i="1"/>
  <c r="Q1493" i="1"/>
  <c r="R1525" i="1"/>
  <c r="Q1525" i="1"/>
  <c r="Q1536" i="1"/>
  <c r="R1536" i="1" s="1"/>
  <c r="Q1560" i="1"/>
  <c r="R1560" i="1" s="1"/>
  <c r="R1572" i="1"/>
  <c r="Q1584" i="1"/>
  <c r="R1584" i="1" s="1"/>
  <c r="R1602" i="1"/>
  <c r="R1634" i="1"/>
  <c r="R1648" i="1"/>
  <c r="R1666" i="1"/>
  <c r="Q1676" i="1"/>
  <c r="R1676" i="1" s="1"/>
  <c r="Q1681" i="1"/>
  <c r="R1681" i="1" s="1"/>
  <c r="Q1708" i="1"/>
  <c r="R1708" i="1" s="1"/>
  <c r="R1736" i="1"/>
  <c r="Q1736" i="1"/>
  <c r="R1743" i="1"/>
  <c r="Q1743" i="1"/>
  <c r="R1765" i="1"/>
  <c r="Q1771" i="1"/>
  <c r="R1790" i="1"/>
  <c r="Q1790" i="1"/>
  <c r="R1832" i="1"/>
  <c r="Q1832" i="1"/>
  <c r="R1850" i="1"/>
  <c r="R1930" i="1"/>
  <c r="Q1930" i="1"/>
  <c r="Q1985" i="1"/>
  <c r="R1985" i="1"/>
  <c r="Q1997" i="1"/>
  <c r="R1997" i="1" s="1"/>
  <c r="R1598" i="1"/>
  <c r="Q1598" i="1"/>
  <c r="Q1630" i="1"/>
  <c r="R1630" i="1" s="1"/>
  <c r="R1662" i="1"/>
  <c r="Q1662" i="1"/>
  <c r="Q1703" i="1"/>
  <c r="R1703" i="1" s="1"/>
  <c r="Q1714" i="1"/>
  <c r="R1714" i="1" s="1"/>
  <c r="R1719" i="1"/>
  <c r="Q1749" i="1"/>
  <c r="R1749" i="1" s="1"/>
  <c r="Q1755" i="1"/>
  <c r="R1755" i="1" s="1"/>
  <c r="R1772" i="1"/>
  <c r="Q1772" i="1"/>
  <c r="Q1778" i="1"/>
  <c r="R1778" i="1" s="1"/>
  <c r="R1802" i="1"/>
  <c r="Q1802" i="1"/>
  <c r="Q1900" i="1"/>
  <c r="R1900" i="1" s="1"/>
  <c r="Q1937" i="1"/>
  <c r="R1937" i="1"/>
  <c r="R1943" i="1"/>
  <c r="Q1943" i="1"/>
  <c r="R1949" i="1"/>
  <c r="R2010" i="1"/>
  <c r="Q2010" i="1"/>
  <c r="Q1375" i="1"/>
  <c r="R1375" i="1" s="1"/>
  <c r="Q1385" i="1"/>
  <c r="R1385" i="1" s="1"/>
  <c r="Q1415" i="1"/>
  <c r="Q1422" i="1"/>
  <c r="Q1433" i="1"/>
  <c r="R1433" i="1" s="1"/>
  <c r="Q1447" i="1"/>
  <c r="R1447" i="1" s="1"/>
  <c r="Q1454" i="1"/>
  <c r="R1454" i="1" s="1"/>
  <c r="Q1465" i="1"/>
  <c r="R1465" i="1" s="1"/>
  <c r="Q1479" i="1"/>
  <c r="R1479" i="1" s="1"/>
  <c r="Q1486" i="1"/>
  <c r="R1486" i="1" s="1"/>
  <c r="Q1497" i="1"/>
  <c r="R1497" i="1" s="1"/>
  <c r="Q1511" i="1"/>
  <c r="R1511" i="1" s="1"/>
  <c r="Q1518" i="1"/>
  <c r="Q1552" i="1"/>
  <c r="R1552" i="1" s="1"/>
  <c r="Q1556" i="1"/>
  <c r="R1556" i="1" s="1"/>
  <c r="Q1572" i="1"/>
  <c r="Q1616" i="1"/>
  <c r="R1616" i="1" s="1"/>
  <c r="Q1648" i="1"/>
  <c r="R1671" i="1"/>
  <c r="Q1682" i="1"/>
  <c r="R1682" i="1" s="1"/>
  <c r="Q1726" i="1"/>
  <c r="R1726" i="1" s="1"/>
  <c r="Q1737" i="1"/>
  <c r="R1737" i="1" s="1"/>
  <c r="R1761" i="1"/>
  <c r="R1796" i="1"/>
  <c r="Q1821" i="1"/>
  <c r="R1821" i="1" s="1"/>
  <c r="R1863" i="1"/>
  <c r="Q1863" i="1"/>
  <c r="Q1882" i="1"/>
  <c r="R1882" i="1" s="1"/>
  <c r="Q1889" i="1"/>
  <c r="R1889" i="1"/>
  <c r="R2052" i="1"/>
  <c r="Q2052" i="1"/>
  <c r="Q2172" i="1"/>
  <c r="R2172" i="1" s="1"/>
  <c r="Q1472" i="1"/>
  <c r="R1472" i="1" s="1"/>
  <c r="Q1504" i="1"/>
  <c r="R1504" i="1" s="1"/>
  <c r="Q1541" i="1"/>
  <c r="R1541" i="1" s="1"/>
  <c r="Q1545" i="1"/>
  <c r="Q1568" i="1"/>
  <c r="R1568" i="1" s="1"/>
  <c r="Q1607" i="1"/>
  <c r="R1607" i="1" s="1"/>
  <c r="Q1639" i="1"/>
  <c r="R1639" i="1" s="1"/>
  <c r="Q1667" i="1"/>
  <c r="R1667" i="1" s="1"/>
  <c r="R1672" i="1"/>
  <c r="Q1672" i="1"/>
  <c r="Q1688" i="1"/>
  <c r="R1688" i="1" s="1"/>
  <c r="R1693" i="1"/>
  <c r="Q1693" i="1"/>
  <c r="Q1709" i="1"/>
  <c r="R1709" i="1" s="1"/>
  <c r="Q1720" i="1"/>
  <c r="R1720" i="1" s="1"/>
  <c r="Q1756" i="1"/>
  <c r="R1756" i="1" s="1"/>
  <c r="R1773" i="1"/>
  <c r="Q1773" i="1"/>
  <c r="R1784" i="1"/>
  <c r="Q1784" i="1"/>
  <c r="R1803" i="1"/>
  <c r="Q1822" i="1"/>
  <c r="R1822" i="1" s="1"/>
  <c r="Q1870" i="1"/>
  <c r="R1870" i="1" s="1"/>
  <c r="R1876" i="1"/>
  <c r="Q1876" i="1"/>
  <c r="R1895" i="1"/>
  <c r="Q1895" i="1"/>
  <c r="R1901" i="1"/>
  <c r="Q1901" i="1"/>
  <c r="R2128" i="1"/>
  <c r="Q2128" i="1"/>
  <c r="Q2147" i="1"/>
  <c r="R2147" i="1" s="1"/>
  <c r="Q1372" i="1"/>
  <c r="R1372" i="1" s="1"/>
  <c r="R1426" i="1"/>
  <c r="R1458" i="1"/>
  <c r="R1490" i="1"/>
  <c r="R1522" i="1"/>
  <c r="R1573" i="1"/>
  <c r="Q1577" i="1"/>
  <c r="R1577" i="1" s="1"/>
  <c r="Q1608" i="1"/>
  <c r="R1608" i="1" s="1"/>
  <c r="R1617" i="1"/>
  <c r="Q1617" i="1"/>
  <c r="Q1640" i="1"/>
  <c r="R1640" i="1" s="1"/>
  <c r="Q1649" i="1"/>
  <c r="R1649" i="1" s="1"/>
  <c r="Q1677" i="1"/>
  <c r="R1677" i="1" s="1"/>
  <c r="R1683" i="1"/>
  <c r="Q1698" i="1"/>
  <c r="R1698" i="1" s="1"/>
  <c r="R1732" i="1"/>
  <c r="R1738" i="1"/>
  <c r="Q1738" i="1"/>
  <c r="Q1761" i="1"/>
  <c r="Q1815" i="1"/>
  <c r="R1815" i="1" s="1"/>
  <c r="Q1834" i="1"/>
  <c r="R1834" i="1" s="1"/>
  <c r="Q1913" i="1"/>
  <c r="R1913" i="1" s="1"/>
  <c r="Q2047" i="1"/>
  <c r="R2047" i="1" s="1"/>
  <c r="Q1430" i="1"/>
  <c r="R1430" i="1" s="1"/>
  <c r="Q1437" i="1"/>
  <c r="R1437" i="1" s="1"/>
  <c r="Q1444" i="1"/>
  <c r="R1444" i="1" s="1"/>
  <c r="Q1462" i="1"/>
  <c r="R1462" i="1" s="1"/>
  <c r="Q1469" i="1"/>
  <c r="R1469" i="1" s="1"/>
  <c r="Q1476" i="1"/>
  <c r="Q1494" i="1"/>
  <c r="R1494" i="1" s="1"/>
  <c r="Q1501" i="1"/>
  <c r="Q1508" i="1"/>
  <c r="R1508" i="1" s="1"/>
  <c r="Q1526" i="1"/>
  <c r="R1526" i="1" s="1"/>
  <c r="Q1557" i="1"/>
  <c r="R1557" i="1" s="1"/>
  <c r="Q1561" i="1"/>
  <c r="R1561" i="1" s="1"/>
  <c r="R1581" i="1"/>
  <c r="Q1599" i="1"/>
  <c r="R1599" i="1" s="1"/>
  <c r="Q1631" i="1"/>
  <c r="R1631" i="1" s="1"/>
  <c r="Q1663" i="1"/>
  <c r="R1663" i="1" s="1"/>
  <c r="R1668" i="1"/>
  <c r="R1710" i="1"/>
  <c r="Q1710" i="1"/>
  <c r="Q1715" i="1"/>
  <c r="R1715" i="1" s="1"/>
  <c r="R1757" i="1"/>
  <c r="R1774" i="1"/>
  <c r="Q1774" i="1"/>
  <c r="Q1779" i="1"/>
  <c r="R1779" i="1" s="1"/>
  <c r="Q1803" i="1"/>
  <c r="R1828" i="1"/>
  <c r="R1920" i="1"/>
  <c r="Q1962" i="1"/>
  <c r="R1962" i="1" s="1"/>
  <c r="Q1981" i="1"/>
  <c r="R1981" i="1" s="1"/>
  <c r="Q1423" i="1"/>
  <c r="R1423" i="1" s="1"/>
  <c r="Q1455" i="1"/>
  <c r="R1455" i="1" s="1"/>
  <c r="Q1487" i="1"/>
  <c r="R1487" i="1" s="1"/>
  <c r="Q1519" i="1"/>
  <c r="R1519" i="1" s="1"/>
  <c r="R1586" i="1"/>
  <c r="R1678" i="1"/>
  <c r="R1762" i="1"/>
  <c r="Q1762" i="1"/>
  <c r="R1792" i="1"/>
  <c r="Q1804" i="1"/>
  <c r="R1804" i="1" s="1"/>
  <c r="R1810" i="1"/>
  <c r="Q1810" i="1"/>
  <c r="R1816" i="1"/>
  <c r="Q1816" i="1"/>
  <c r="R1835" i="1"/>
  <c r="R1847" i="1"/>
  <c r="Q1847" i="1"/>
  <c r="Q1914" i="1"/>
  <c r="R1914" i="1" s="1"/>
  <c r="Q1969" i="1"/>
  <c r="R1969" i="1" s="1"/>
  <c r="R1987" i="1"/>
  <c r="R2115" i="1"/>
  <c r="Q2115" i="1"/>
  <c r="R1538" i="1"/>
  <c r="Q1595" i="1"/>
  <c r="R1595" i="1" s="1"/>
  <c r="R1604" i="1"/>
  <c r="Q1627" i="1"/>
  <c r="R1627" i="1" s="1"/>
  <c r="R1636" i="1"/>
  <c r="Q1659" i="1"/>
  <c r="R1659" i="1" s="1"/>
  <c r="Q1668" i="1"/>
  <c r="Q1716" i="1"/>
  <c r="R1716" i="1" s="1"/>
  <c r="Q1722" i="1"/>
  <c r="R1722" i="1" s="1"/>
  <c r="Q1757" i="1"/>
  <c r="R1780" i="1"/>
  <c r="Q1786" i="1"/>
  <c r="R1786" i="1" s="1"/>
  <c r="R1853" i="1"/>
  <c r="Q1908" i="1"/>
  <c r="R1908" i="1" s="1"/>
  <c r="R1933" i="1"/>
  <c r="Q1933" i="1"/>
  <c r="R1939" i="1"/>
  <c r="R2000" i="1"/>
  <c r="Q2000" i="1"/>
  <c r="Q1445" i="1"/>
  <c r="R1445" i="1" s="1"/>
  <c r="Q1477" i="1"/>
  <c r="R1477" i="1" s="1"/>
  <c r="R1509" i="1"/>
  <c r="Q1509" i="1"/>
  <c r="Q1550" i="1"/>
  <c r="R1550" i="1" s="1"/>
  <c r="R1600" i="1"/>
  <c r="R1618" i="1"/>
  <c r="R1632" i="1"/>
  <c r="R1650" i="1"/>
  <c r="R1664" i="1"/>
  <c r="Q1669" i="1"/>
  <c r="R1669" i="1" s="1"/>
  <c r="Q1678" i="1"/>
  <c r="R1684" i="1"/>
  <c r="Q1694" i="1"/>
  <c r="R1694" i="1" s="1"/>
  <c r="R1700" i="1"/>
  <c r="Q1700" i="1"/>
  <c r="R1733" i="1"/>
  <c r="Q1739" i="1"/>
  <c r="R1739" i="1" s="1"/>
  <c r="R1758" i="1"/>
  <c r="Q1768" i="1"/>
  <c r="R1768" i="1" s="1"/>
  <c r="Q1775" i="1"/>
  <c r="R1775" i="1" s="1"/>
  <c r="R1805" i="1"/>
  <c r="Q1805" i="1"/>
  <c r="Q1811" i="1"/>
  <c r="R1811" i="1" s="1"/>
  <c r="Q1835" i="1"/>
  <c r="R1994" i="1"/>
  <c r="Q2013" i="1"/>
  <c r="R2013" i="1"/>
  <c r="Q1851" i="1"/>
  <c r="R1851" i="1" s="1"/>
  <c r="R1896" i="1"/>
  <c r="Q1995" i="1"/>
  <c r="R1995" i="1" s="1"/>
  <c r="Q2005" i="1"/>
  <c r="R2005" i="1" s="1"/>
  <c r="R2031" i="1"/>
  <c r="Q2031" i="1"/>
  <c r="R2058" i="1"/>
  <c r="R2064" i="1"/>
  <c r="R2135" i="1"/>
  <c r="Q2179" i="1"/>
  <c r="R2179" i="1" s="1"/>
  <c r="Q2225" i="1"/>
  <c r="R2225" i="1" s="1"/>
  <c r="R2231" i="1"/>
  <c r="R2238" i="1"/>
  <c r="Q2299" i="1"/>
  <c r="R2299" i="1" s="1"/>
  <c r="Q1892" i="1"/>
  <c r="R1892" i="1" s="1"/>
  <c r="R1922" i="1"/>
  <c r="Q1935" i="1"/>
  <c r="R1935" i="1" s="1"/>
  <c r="R1948" i="1"/>
  <c r="Q1948" i="1"/>
  <c r="Q2020" i="1"/>
  <c r="R2020" i="1" s="1"/>
  <c r="Q2036" i="1"/>
  <c r="R2036" i="1" s="1"/>
  <c r="R2053" i="1"/>
  <c r="Q2053" i="1"/>
  <c r="Q2075" i="1"/>
  <c r="R2075" i="1" s="1"/>
  <c r="R2099" i="1"/>
  <c r="Q2099" i="1"/>
  <c r="Q2129" i="1"/>
  <c r="R2129" i="1" s="1"/>
  <c r="Q2193" i="1"/>
  <c r="R2193" i="1" s="1"/>
  <c r="Q2245" i="1"/>
  <c r="R2245" i="1" s="1"/>
  <c r="Q2252" i="1"/>
  <c r="R2252" i="1" s="1"/>
  <c r="Q2286" i="1"/>
  <c r="R2286" i="1" s="1"/>
  <c r="Q2359" i="1"/>
  <c r="R2359" i="1" s="1"/>
  <c r="R2384" i="1"/>
  <c r="R2455" i="1"/>
  <c r="Q2455" i="1"/>
  <c r="Q2480" i="1"/>
  <c r="R2480" i="1" s="1"/>
  <c r="Q2486" i="1"/>
  <c r="R2486" i="1" s="1"/>
  <c r="Q1705" i="1"/>
  <c r="R1705" i="1" s="1"/>
  <c r="Q1884" i="1"/>
  <c r="R1884" i="1" s="1"/>
  <c r="R1918" i="1"/>
  <c r="Q1967" i="1"/>
  <c r="R1967" i="1" s="1"/>
  <c r="R1976" i="1"/>
  <c r="Q1976" i="1"/>
  <c r="R2016" i="1"/>
  <c r="R2026" i="1"/>
  <c r="R2048" i="1"/>
  <c r="R2094" i="1"/>
  <c r="Q2094" i="1"/>
  <c r="R2161" i="1"/>
  <c r="Q2161" i="1"/>
  <c r="R2232" i="1"/>
  <c r="Q2232" i="1"/>
  <c r="Q2273" i="1"/>
  <c r="R2273" i="1" s="1"/>
  <c r="R2280" i="1"/>
  <c r="Q2280" i="1"/>
  <c r="R2314" i="1"/>
  <c r="R2321" i="1"/>
  <c r="Q2321" i="1"/>
  <c r="Q2327" i="1"/>
  <c r="R2327" i="1" s="1"/>
  <c r="Q2410" i="1"/>
  <c r="R2410" i="1" s="1"/>
  <c r="Q2436" i="1"/>
  <c r="R2436" i="1"/>
  <c r="Q1797" i="1"/>
  <c r="R1797" i="1" s="1"/>
  <c r="Q1829" i="1"/>
  <c r="R1829" i="1" s="1"/>
  <c r="Q1840" i="1"/>
  <c r="R1840" i="1" s="1"/>
  <c r="Q1868" i="1"/>
  <c r="R1868" i="1" s="1"/>
  <c r="Q1872" i="1"/>
  <c r="R1872" i="1" s="1"/>
  <c r="Q1893" i="1"/>
  <c r="R1893" i="1" s="1"/>
  <c r="R1905" i="1"/>
  <c r="Q1922" i="1"/>
  <c r="Q1931" i="1"/>
  <c r="R1996" i="1"/>
  <c r="Q2011" i="1"/>
  <c r="R2011" i="1" s="1"/>
  <c r="Q2021" i="1"/>
  <c r="R2021" i="1" s="1"/>
  <c r="R2032" i="1"/>
  <c r="R2037" i="1"/>
  <c r="Q2037" i="1"/>
  <c r="R2059" i="1"/>
  <c r="Q2059" i="1"/>
  <c r="R2065" i="1"/>
  <c r="Q2065" i="1"/>
  <c r="R2081" i="1"/>
  <c r="Q2110" i="1"/>
  <c r="R2110" i="1" s="1"/>
  <c r="Q2130" i="1"/>
  <c r="R2130" i="1" s="1"/>
  <c r="Q2136" i="1"/>
  <c r="R2136" i="1" s="1"/>
  <c r="R2180" i="1"/>
  <c r="Q2200" i="1"/>
  <c r="R2200" i="1" s="1"/>
  <c r="Q2207" i="1"/>
  <c r="R2207" i="1"/>
  <c r="R2219" i="1"/>
  <c r="Q2226" i="1"/>
  <c r="R2226" i="1" s="1"/>
  <c r="Q2239" i="1"/>
  <c r="R2239" i="1"/>
  <c r="Q2417" i="1"/>
  <c r="R2417" i="1" s="1"/>
  <c r="Q1852" i="1"/>
  <c r="R1852" i="1" s="1"/>
  <c r="R1927" i="1"/>
  <c r="Q1944" i="1"/>
  <c r="R1944" i="1" s="1"/>
  <c r="Q1991" i="1"/>
  <c r="R1991" i="1" s="1"/>
  <c r="R2001" i="1"/>
  <c r="Q2016" i="1"/>
  <c r="Q2026" i="1"/>
  <c r="Q2042" i="1"/>
  <c r="R2042" i="1" s="1"/>
  <c r="Q2048" i="1"/>
  <c r="R2082" i="1"/>
  <c r="Q2082" i="1"/>
  <c r="R2088" i="1"/>
  <c r="R2106" i="1"/>
  <c r="Q2111" i="1"/>
  <c r="R2111" i="1" s="1"/>
  <c r="Q2142" i="1"/>
  <c r="R2142" i="1" s="1"/>
  <c r="Q2155" i="1"/>
  <c r="R2155" i="1" s="1"/>
  <c r="R2174" i="1"/>
  <c r="Q2174" i="1"/>
  <c r="R2213" i="1"/>
  <c r="R2267" i="1"/>
  <c r="R2274" i="1"/>
  <c r="Q2274" i="1"/>
  <c r="Q2315" i="1"/>
  <c r="R2315" i="1"/>
  <c r="R2328" i="1"/>
  <c r="Q2328" i="1"/>
  <c r="R2334" i="1"/>
  <c r="Q2385" i="1"/>
  <c r="R2385" i="1" s="1"/>
  <c r="Q1719" i="1"/>
  <c r="Q1751" i="1"/>
  <c r="R1751" i="1" s="1"/>
  <c r="Q1783" i="1"/>
  <c r="R1783" i="1" s="1"/>
  <c r="R1848" i="1"/>
  <c r="Q1877" i="1"/>
  <c r="R1877" i="1" s="1"/>
  <c r="Q1880" i="1"/>
  <c r="R1880" i="1" s="1"/>
  <c r="R1897" i="1"/>
  <c r="R1906" i="1"/>
  <c r="Q1919" i="1"/>
  <c r="R1919" i="1" s="1"/>
  <c r="R1931" i="1"/>
  <c r="R1968" i="1"/>
  <c r="R1972" i="1"/>
  <c r="Q1972" i="1"/>
  <c r="R1982" i="1"/>
  <c r="Q2027" i="1"/>
  <c r="R2027" i="1" s="1"/>
  <c r="Q2032" i="1"/>
  <c r="Q2043" i="1"/>
  <c r="R2043" i="1" s="1"/>
  <c r="Q2049" i="1"/>
  <c r="R2049" i="1" s="1"/>
  <c r="R2071" i="1"/>
  <c r="Q2071" i="1"/>
  <c r="R2095" i="1"/>
  <c r="Q2181" i="1"/>
  <c r="R2181" i="1" s="1"/>
  <c r="R2220" i="1"/>
  <c r="Q2220" i="1"/>
  <c r="R2308" i="1"/>
  <c r="Q2308" i="1"/>
  <c r="Q2322" i="1"/>
  <c r="R2322" i="1" s="1"/>
  <c r="Q2341" i="1"/>
  <c r="R2341" i="1" s="1"/>
  <c r="R2392" i="1"/>
  <c r="Q2392" i="1"/>
  <c r="R1692" i="1"/>
  <c r="R1769" i="1"/>
  <c r="Q1780" i="1"/>
  <c r="Q1794" i="1"/>
  <c r="R1794" i="1" s="1"/>
  <c r="R1801" i="1"/>
  <c r="Q1812" i="1"/>
  <c r="R1812" i="1" s="1"/>
  <c r="Q1826" i="1"/>
  <c r="R1826" i="1" s="1"/>
  <c r="R1833" i="1"/>
  <c r="Q1861" i="1"/>
  <c r="Q1864" i="1"/>
  <c r="R1864" i="1" s="1"/>
  <c r="Q1873" i="1"/>
  <c r="R1902" i="1"/>
  <c r="Q1923" i="1"/>
  <c r="Q1927" i="1"/>
  <c r="Q1936" i="1"/>
  <c r="R1936" i="1" s="1"/>
  <c r="Q1949" i="1"/>
  <c r="R1954" i="1"/>
  <c r="R1963" i="1"/>
  <c r="Q1963" i="1"/>
  <c r="R1977" i="1"/>
  <c r="Q2083" i="1"/>
  <c r="R2083" i="1" s="1"/>
  <c r="Q2088" i="1"/>
  <c r="Q2106" i="1"/>
  <c r="R2117" i="1"/>
  <c r="R2131" i="1"/>
  <c r="Q2131" i="1"/>
  <c r="Q2143" i="1"/>
  <c r="R2143" i="1"/>
  <c r="R2149" i="1"/>
  <c r="R2188" i="1"/>
  <c r="Q2188" i="1"/>
  <c r="Q2247" i="1"/>
  <c r="R2247" i="1" s="1"/>
  <c r="Q2261" i="1"/>
  <c r="R2261" i="1" s="1"/>
  <c r="Q2267" i="1"/>
  <c r="R1727" i="1"/>
  <c r="Q1727" i="1"/>
  <c r="R1759" i="1"/>
  <c r="Q1759" i="1"/>
  <c r="Q1791" i="1"/>
  <c r="R1791" i="1" s="1"/>
  <c r="Q1823" i="1"/>
  <c r="R1823" i="1" s="1"/>
  <c r="R1932" i="1"/>
  <c r="Q1932" i="1"/>
  <c r="Q1973" i="1"/>
  <c r="R1973" i="1" s="1"/>
  <c r="Q1992" i="1"/>
  <c r="R1992" i="1" s="1"/>
  <c r="R2007" i="1"/>
  <c r="Q2007" i="1"/>
  <c r="R2055" i="1"/>
  <c r="Q2055" i="1"/>
  <c r="R2089" i="1"/>
  <c r="Q2089" i="1"/>
  <c r="Q2107" i="1"/>
  <c r="R2107" i="1" s="1"/>
  <c r="Q2118" i="1"/>
  <c r="R2118" i="1" s="1"/>
  <c r="Q2241" i="1"/>
  <c r="R2241" i="1" s="1"/>
  <c r="Q2268" i="1"/>
  <c r="R2268" i="1" s="1"/>
  <c r="Q2289" i="1"/>
  <c r="R2289" i="1" s="1"/>
  <c r="R2295" i="1"/>
  <c r="Q2302" i="1"/>
  <c r="R2302" i="1" s="1"/>
  <c r="R2342" i="1"/>
  <c r="Q2342" i="1"/>
  <c r="Q1604" i="1"/>
  <c r="Q1620" i="1"/>
  <c r="R1620" i="1" s="1"/>
  <c r="Q1706" i="1"/>
  <c r="R1706" i="1" s="1"/>
  <c r="Q1841" i="1"/>
  <c r="R1841" i="1" s="1"/>
  <c r="Q1845" i="1"/>
  <c r="R1861" i="1"/>
  <c r="Q1869" i="1"/>
  <c r="R1869" i="1" s="1"/>
  <c r="R1873" i="1"/>
  <c r="R1881" i="1"/>
  <c r="R1928" i="1"/>
  <c r="R1950" i="1"/>
  <c r="R1983" i="1"/>
  <c r="Q1983" i="1"/>
  <c r="Q1987" i="1"/>
  <c r="R2033" i="1"/>
  <c r="R2077" i="1"/>
  <c r="Q2096" i="1"/>
  <c r="R2096" i="1" s="1"/>
  <c r="Q2144" i="1"/>
  <c r="R2144" i="1" s="1"/>
  <c r="R2169" i="1"/>
  <c r="Q2169" i="1"/>
  <c r="Q2189" i="1"/>
  <c r="R2189" i="1"/>
  <c r="R2248" i="1"/>
  <c r="Q2248" i="1"/>
  <c r="Q2255" i="1"/>
  <c r="R2255" i="1" s="1"/>
  <c r="R2362" i="1"/>
  <c r="Q1713" i="1"/>
  <c r="Q1731" i="1"/>
  <c r="R1731" i="1" s="1"/>
  <c r="Q1745" i="1"/>
  <c r="R1745" i="1" s="1"/>
  <c r="Q1763" i="1"/>
  <c r="R1763" i="1" s="1"/>
  <c r="Q1777" i="1"/>
  <c r="R1777" i="1" s="1"/>
  <c r="Q1795" i="1"/>
  <c r="Q1809" i="1"/>
  <c r="R1809" i="1" s="1"/>
  <c r="Q1827" i="1"/>
  <c r="R1827" i="1" s="1"/>
  <c r="Q1853" i="1"/>
  <c r="R1857" i="1"/>
  <c r="R1865" i="1"/>
  <c r="R1890" i="1"/>
  <c r="Q1898" i="1"/>
  <c r="Q1903" i="1"/>
  <c r="R1903" i="1" s="1"/>
  <c r="R1915" i="1"/>
  <c r="R1941" i="1"/>
  <c r="Q1964" i="1"/>
  <c r="R1964" i="1" s="1"/>
  <c r="R1998" i="1"/>
  <c r="R2023" i="1"/>
  <c r="Q2023" i="1"/>
  <c r="Q2039" i="1"/>
  <c r="R2039" i="1" s="1"/>
  <c r="Q2157" i="1"/>
  <c r="R2157" i="1"/>
  <c r="Q2203" i="1"/>
  <c r="R2203" i="1" s="1"/>
  <c r="R2209" i="1"/>
  <c r="R2276" i="1"/>
  <c r="Q2276" i="1"/>
  <c r="Q2283" i="1"/>
  <c r="R2283" i="1" s="1"/>
  <c r="Q2296" i="1"/>
  <c r="R2296" i="1" s="1"/>
  <c r="R2303" i="1"/>
  <c r="Q2303" i="1"/>
  <c r="Q2343" i="1"/>
  <c r="R2343" i="1" s="1"/>
  <c r="Q2407" i="1"/>
  <c r="R2407" i="1" s="1"/>
  <c r="R1689" i="1"/>
  <c r="Q1696" i="1"/>
  <c r="R1696" i="1" s="1"/>
  <c r="R1849" i="1"/>
  <c r="R1874" i="1"/>
  <c r="Q1907" i="1"/>
  <c r="R1907" i="1" s="1"/>
  <c r="Q1920" i="1"/>
  <c r="Q1928" i="1"/>
  <c r="Q1950" i="1"/>
  <c r="Q1959" i="1"/>
  <c r="R1959" i="1" s="1"/>
  <c r="Q2008" i="1"/>
  <c r="R2008" i="1" s="1"/>
  <c r="R2056" i="1"/>
  <c r="R2061" i="1"/>
  <c r="Q2078" i="1"/>
  <c r="R2078" i="1" s="1"/>
  <c r="Q2102" i="1"/>
  <c r="R2102" i="1" s="1"/>
  <c r="R2126" i="1"/>
  <c r="Q2126" i="1"/>
  <c r="Q2216" i="1"/>
  <c r="R2216" i="1" s="1"/>
  <c r="R2222" i="1"/>
  <c r="Q2222" i="1"/>
  <c r="Q2356" i="1"/>
  <c r="R2356" i="1" s="1"/>
  <c r="Q2363" i="1"/>
  <c r="R2363" i="1"/>
  <c r="Q2374" i="1"/>
  <c r="R2374" i="1" s="1"/>
  <c r="R1842" i="1"/>
  <c r="R1858" i="1"/>
  <c r="Q1890" i="1"/>
  <c r="R1916" i="1"/>
  <c r="Q1916" i="1"/>
  <c r="Q1951" i="1"/>
  <c r="R1951" i="1" s="1"/>
  <c r="Q1955" i="1"/>
  <c r="R1955" i="1" s="1"/>
  <c r="R1988" i="1"/>
  <c r="Q1988" i="1"/>
  <c r="R1993" i="1"/>
  <c r="Q1998" i="1"/>
  <c r="Q2003" i="1"/>
  <c r="R2062" i="1"/>
  <c r="Q2062" i="1"/>
  <c r="R2067" i="1"/>
  <c r="R2091" i="1"/>
  <c r="R2097" i="1"/>
  <c r="R2113" i="1"/>
  <c r="R2120" i="1"/>
  <c r="Q2197" i="1"/>
  <c r="R2197" i="1" s="1"/>
  <c r="R2204" i="1"/>
  <c r="Q2204" i="1"/>
  <c r="R2229" i="1"/>
  <c r="Q2229" i="1"/>
  <c r="Q2242" i="1"/>
  <c r="R2242" i="1" s="1"/>
  <c r="Q2277" i="1"/>
  <c r="R2277" i="1" s="1"/>
  <c r="R2331" i="1"/>
  <c r="Q1686" i="1"/>
  <c r="R1686" i="1" s="1"/>
  <c r="Q1728" i="1"/>
  <c r="R1728" i="1" s="1"/>
  <c r="Q1760" i="1"/>
  <c r="R1760" i="1" s="1"/>
  <c r="Q1792" i="1"/>
  <c r="Q1824" i="1"/>
  <c r="R1824" i="1" s="1"/>
  <c r="Q1874" i="1"/>
  <c r="R1912" i="1"/>
  <c r="Q1960" i="1"/>
  <c r="R1960" i="1" s="1"/>
  <c r="R1979" i="1"/>
  <c r="Q1979" i="1"/>
  <c r="R1999" i="1"/>
  <c r="Q1999" i="1"/>
  <c r="Q2024" i="1"/>
  <c r="R2024" i="1" s="1"/>
  <c r="R2029" i="1"/>
  <c r="Q2040" i="1"/>
  <c r="R2040" i="1" s="1"/>
  <c r="R2045" i="1"/>
  <c r="R2073" i="1"/>
  <c r="R2079" i="1"/>
  <c r="Q2079" i="1"/>
  <c r="Q2085" i="1"/>
  <c r="R2085" i="1" s="1"/>
  <c r="R2103" i="1"/>
  <c r="R2127" i="1"/>
  <c r="R2139" i="1"/>
  <c r="Q2139" i="1"/>
  <c r="Q2177" i="1"/>
  <c r="R2177" i="1" s="1"/>
  <c r="Q2223" i="1"/>
  <c r="R2223" i="1"/>
  <c r="Q2236" i="1"/>
  <c r="R2236" i="1" s="1"/>
  <c r="R2257" i="1"/>
  <c r="Q2257" i="1"/>
  <c r="Q2270" i="1"/>
  <c r="R2270" i="1" s="1"/>
  <c r="R2318" i="1"/>
  <c r="Q2318" i="1"/>
  <c r="Q1573" i="1"/>
  <c r="Q1589" i="1"/>
  <c r="R1589" i="1" s="1"/>
  <c r="Q1605" i="1"/>
  <c r="R1605" i="1" s="1"/>
  <c r="Q1621" i="1"/>
  <c r="R1621" i="1" s="1"/>
  <c r="Q1637" i="1"/>
  <c r="Q1653" i="1"/>
  <c r="R1653" i="1" s="1"/>
  <c r="Q1683" i="1"/>
  <c r="Q1707" i="1"/>
  <c r="R1707" i="1" s="1"/>
  <c r="Q1735" i="1"/>
  <c r="R1735" i="1" s="1"/>
  <c r="Q1767" i="1"/>
  <c r="R1767" i="1" s="1"/>
  <c r="Q1799" i="1"/>
  <c r="R1799" i="1" s="1"/>
  <c r="Q1831" i="1"/>
  <c r="Q1842" i="1"/>
  <c r="Q1858" i="1"/>
  <c r="R1887" i="1"/>
  <c r="Q1887" i="1"/>
  <c r="R1899" i="1"/>
  <c r="R1925" i="1"/>
  <c r="R1929" i="1"/>
  <c r="R1938" i="1"/>
  <c r="Q1984" i="1"/>
  <c r="R1984" i="1" s="1"/>
  <c r="Q1989" i="1"/>
  <c r="R1989" i="1" s="1"/>
  <c r="R2030" i="1"/>
  <c r="Q2046" i="1"/>
  <c r="R2046" i="1" s="1"/>
  <c r="R2051" i="1"/>
  <c r="Q2063" i="1"/>
  <c r="R2063" i="1" s="1"/>
  <c r="Q2068" i="1"/>
  <c r="R2068" i="1" s="1"/>
  <c r="Q2091" i="1"/>
  <c r="Q2114" i="1"/>
  <c r="R2114" i="1" s="1"/>
  <c r="Q2120" i="1"/>
  <c r="Q2146" i="1"/>
  <c r="R2146" i="1" s="1"/>
  <c r="R2152" i="1"/>
  <c r="Q2191" i="1"/>
  <c r="R2191" i="1"/>
  <c r="Q2305" i="1"/>
  <c r="R2305" i="1" s="1"/>
  <c r="Q2331" i="1"/>
  <c r="Q2388" i="1"/>
  <c r="R2388" i="1" s="1"/>
  <c r="Q1673" i="1"/>
  <c r="R1673" i="1" s="1"/>
  <c r="Q1711" i="1"/>
  <c r="R1711" i="1" s="1"/>
  <c r="R1721" i="1"/>
  <c r="R1753" i="1"/>
  <c r="R1785" i="1"/>
  <c r="R1817" i="1"/>
  <c r="Q1839" i="1"/>
  <c r="R1839" i="1" s="1"/>
  <c r="Q1871" i="1"/>
  <c r="R1871" i="1" s="1"/>
  <c r="Q1883" i="1"/>
  <c r="R1883" i="1" s="1"/>
  <c r="Q1912" i="1"/>
  <c r="R1934" i="1"/>
  <c r="Q1947" i="1"/>
  <c r="R1947" i="1" s="1"/>
  <c r="R1952" i="1"/>
  <c r="Q1956" i="1"/>
  <c r="R1956" i="1" s="1"/>
  <c r="R1975" i="1"/>
  <c r="R2004" i="1"/>
  <c r="Q2004" i="1"/>
  <c r="R2009" i="1"/>
  <c r="Q2014" i="1"/>
  <c r="R2014" i="1" s="1"/>
  <c r="R2057" i="1"/>
  <c r="R2074" i="1"/>
  <c r="Q2092" i="1"/>
  <c r="R2092" i="1" s="1"/>
  <c r="Q2103" i="1"/>
  <c r="R2121" i="1"/>
  <c r="Q2121" i="1"/>
  <c r="Q2127" i="1"/>
  <c r="Q2134" i="1"/>
  <c r="R2134" i="1" s="1"/>
  <c r="Q2159" i="1"/>
  <c r="R2159" i="1" s="1"/>
  <c r="Q2165" i="1"/>
  <c r="R2165" i="1" s="1"/>
  <c r="Q2178" i="1"/>
  <c r="R2178" i="1" s="1"/>
  <c r="R2184" i="1"/>
  <c r="R2230" i="1"/>
  <c r="Q2230" i="1"/>
  <c r="Q2264" i="1"/>
  <c r="R2264" i="1" s="1"/>
  <c r="Q2271" i="1"/>
  <c r="R2271" i="1"/>
  <c r="Q2312" i="1"/>
  <c r="R2312" i="1" s="1"/>
  <c r="R2395" i="1"/>
  <c r="R2185" i="1"/>
  <c r="Q2185" i="1"/>
  <c r="Q2243" i="1"/>
  <c r="R2243" i="1" s="1"/>
  <c r="Q2375" i="1"/>
  <c r="R2375" i="1" s="1"/>
  <c r="R2412" i="1"/>
  <c r="Q2424" i="1"/>
  <c r="R2424" i="1" s="1"/>
  <c r="R2442" i="1"/>
  <c r="Q2442" i="1"/>
  <c r="R2449" i="1"/>
  <c r="Q2449" i="1"/>
  <c r="Q2499" i="1"/>
  <c r="R2499" i="1" s="1"/>
  <c r="R2580" i="1"/>
  <c r="Q2580" i="1"/>
  <c r="Q2594" i="1"/>
  <c r="R2594" i="1" s="1"/>
  <c r="Q2214" i="1"/>
  <c r="R2214" i="1" s="1"/>
  <c r="Q2272" i="1"/>
  <c r="R2272" i="1" s="1"/>
  <c r="R2294" i="1"/>
  <c r="Q2294" i="1"/>
  <c r="R2304" i="1"/>
  <c r="Q2304" i="1"/>
  <c r="Q2313" i="1"/>
  <c r="R2313" i="1" s="1"/>
  <c r="Q2349" i="1"/>
  <c r="R2349" i="1" s="1"/>
  <c r="Q2474" i="1"/>
  <c r="R2474" i="1"/>
  <c r="Q2493" i="1"/>
  <c r="R2493" i="1" s="1"/>
  <c r="R2534" i="1"/>
  <c r="Q2534" i="1"/>
  <c r="R2560" i="1"/>
  <c r="R2567" i="1"/>
  <c r="Q2567" i="1"/>
  <c r="R2587" i="1"/>
  <c r="Q2587" i="1"/>
  <c r="R2173" i="1"/>
  <c r="Q2227" i="1"/>
  <c r="R2227" i="1" s="1"/>
  <c r="R2323" i="1"/>
  <c r="Q2323" i="1"/>
  <c r="R2365" i="1"/>
  <c r="Q2365" i="1"/>
  <c r="Q2376" i="1"/>
  <c r="R2376" i="1" s="1"/>
  <c r="Q2391" i="1"/>
  <c r="R2391" i="1" s="1"/>
  <c r="Q2397" i="1"/>
  <c r="R2397" i="1" s="1"/>
  <c r="R2487" i="1"/>
  <c r="Q2487" i="1"/>
  <c r="R2500" i="1"/>
  <c r="Q2500" i="1"/>
  <c r="Q2574" i="1"/>
  <c r="R2574" i="1" s="1"/>
  <c r="Q2150" i="1"/>
  <c r="R2150" i="1" s="1"/>
  <c r="Q2154" i="1"/>
  <c r="R2154" i="1" s="1"/>
  <c r="R2194" i="1"/>
  <c r="Q2198" i="1"/>
  <c r="R2198" i="1" s="1"/>
  <c r="Q2206" i="1"/>
  <c r="R2206" i="1" s="1"/>
  <c r="Q2210" i="1"/>
  <c r="R2210" i="1" s="1"/>
  <c r="Q2231" i="1"/>
  <c r="Q2235" i="1"/>
  <c r="R2235" i="1" s="1"/>
  <c r="R2256" i="1"/>
  <c r="Q2256" i="1"/>
  <c r="Q2260" i="1"/>
  <c r="R2260" i="1" s="1"/>
  <c r="Q2281" i="1"/>
  <c r="R2281" i="1" s="1"/>
  <c r="R2285" i="1"/>
  <c r="R2333" i="1"/>
  <c r="Q2333" i="1"/>
  <c r="Q2338" i="1"/>
  <c r="R2338" i="1" s="1"/>
  <c r="Q2344" i="1"/>
  <c r="R2344" i="1" s="1"/>
  <c r="Q2350" i="1"/>
  <c r="R2350" i="1" s="1"/>
  <c r="Q2360" i="1"/>
  <c r="R2360" i="1" s="1"/>
  <c r="R2370" i="1"/>
  <c r="R2402" i="1"/>
  <c r="Q2528" i="1"/>
  <c r="R2528" i="1" s="1"/>
  <c r="Q2588" i="1"/>
  <c r="R2588" i="1" s="1"/>
  <c r="Q2166" i="1"/>
  <c r="R2166" i="1" s="1"/>
  <c r="Q2170" i="1"/>
  <c r="R2170" i="1" s="1"/>
  <c r="Q2186" i="1"/>
  <c r="R2186" i="1" s="1"/>
  <c r="Q2211" i="1"/>
  <c r="R2211" i="1" s="1"/>
  <c r="R2398" i="1"/>
  <c r="Q2403" i="1"/>
  <c r="R2403" i="1" s="1"/>
  <c r="Q2419" i="1"/>
  <c r="R2419" i="1" s="1"/>
  <c r="Q2432" i="1"/>
  <c r="R2432" i="1" s="1"/>
  <c r="Q2541" i="1"/>
  <c r="R2541" i="1" s="1"/>
  <c r="Q2554" i="1"/>
  <c r="R2554" i="1" s="1"/>
  <c r="Q2653" i="1"/>
  <c r="R2653" i="1" s="1"/>
  <c r="Q2158" i="1"/>
  <c r="R2158" i="1" s="1"/>
  <c r="Q2162" i="1"/>
  <c r="R2162" i="1" s="1"/>
  <c r="R2182" i="1"/>
  <c r="Q2182" i="1"/>
  <c r="Q2190" i="1"/>
  <c r="R2190" i="1" s="1"/>
  <c r="Q2194" i="1"/>
  <c r="Q2215" i="1"/>
  <c r="R2215" i="1" s="1"/>
  <c r="Q2219" i="1"/>
  <c r="Q2240" i="1"/>
  <c r="R2240" i="1" s="1"/>
  <c r="Q2244" i="1"/>
  <c r="R2244" i="1" s="1"/>
  <c r="Q2290" i="1"/>
  <c r="R2290" i="1" s="1"/>
  <c r="Q2295" i="1"/>
  <c r="R2309" i="1"/>
  <c r="Q2314" i="1"/>
  <c r="R2319" i="1"/>
  <c r="Q2319" i="1"/>
  <c r="Q2339" i="1"/>
  <c r="R2339" i="1" s="1"/>
  <c r="R2345" i="1"/>
  <c r="R2351" i="1"/>
  <c r="Q2355" i="1"/>
  <c r="R2355" i="1" s="1"/>
  <c r="R2366" i="1"/>
  <c r="R2371" i="1"/>
  <c r="Q2381" i="1"/>
  <c r="R2381" i="1" s="1"/>
  <c r="Q2413" i="1"/>
  <c r="R2413" i="1" s="1"/>
  <c r="R2438" i="1"/>
  <c r="R2444" i="1"/>
  <c r="Q2451" i="1"/>
  <c r="R2451" i="1" s="1"/>
  <c r="Q2464" i="1"/>
  <c r="R2464" i="1" s="1"/>
  <c r="R2508" i="1"/>
  <c r="R2515" i="1"/>
  <c r="Q2515" i="1"/>
  <c r="Q2547" i="1"/>
  <c r="R2547" i="1" s="1"/>
  <c r="Q2634" i="1"/>
  <c r="R2634" i="1" s="1"/>
  <c r="R2125" i="1"/>
  <c r="Q2195" i="1"/>
  <c r="R2195" i="1" s="1"/>
  <c r="Q2265" i="1"/>
  <c r="R2265" i="1" s="1"/>
  <c r="Q2291" i="1"/>
  <c r="R2291" i="1" s="1"/>
  <c r="Q2300" i="1"/>
  <c r="R2300" i="1" s="1"/>
  <c r="R2361" i="1"/>
  <c r="Q2382" i="1"/>
  <c r="R2382" i="1" s="1"/>
  <c r="Q2398" i="1"/>
  <c r="R2404" i="1"/>
  <c r="Q2404" i="1"/>
  <c r="Q2433" i="1"/>
  <c r="R2433" i="1" s="1"/>
  <c r="R2458" i="1"/>
  <c r="Q2458" i="1"/>
  <c r="R2502" i="1"/>
  <c r="Q2502" i="1"/>
  <c r="Q2622" i="1"/>
  <c r="R2622" i="1" s="1"/>
  <c r="Q2163" i="1"/>
  <c r="R2163" i="1" s="1"/>
  <c r="R2224" i="1"/>
  <c r="Q2224" i="1"/>
  <c r="R2310" i="1"/>
  <c r="Q2320" i="1"/>
  <c r="R2320" i="1" s="1"/>
  <c r="Q2329" i="1"/>
  <c r="R2329" i="1" s="1"/>
  <c r="R2340" i="1"/>
  <c r="Q2340" i="1"/>
  <c r="R2399" i="1"/>
  <c r="Q2414" i="1"/>
  <c r="R2414" i="1" s="1"/>
  <c r="R2439" i="1"/>
  <c r="Q2445" i="1"/>
  <c r="R2445" i="1" s="1"/>
  <c r="R2470" i="1"/>
  <c r="Q2470" i="1"/>
  <c r="R2509" i="1"/>
  <c r="Q2509" i="1"/>
  <c r="R2570" i="1"/>
  <c r="Q2570" i="1"/>
  <c r="R2597" i="1"/>
  <c r="R2093" i="1"/>
  <c r="R2249" i="1"/>
  <c r="Q2249" i="1"/>
  <c r="Q2334" i="1"/>
  <c r="Q2346" i="1"/>
  <c r="R2346" i="1" s="1"/>
  <c r="Q2367" i="1"/>
  <c r="R2367" i="1" s="1"/>
  <c r="R2372" i="1"/>
  <c r="Q2372" i="1"/>
  <c r="R2383" i="1"/>
  <c r="Q2427" i="1"/>
  <c r="R2427" i="1" s="1"/>
  <c r="Q2496" i="1"/>
  <c r="R2496" i="1" s="1"/>
  <c r="Q2623" i="1"/>
  <c r="R2623" i="1" s="1"/>
  <c r="Q2056" i="1"/>
  <c r="Q2072" i="1"/>
  <c r="R2072" i="1" s="1"/>
  <c r="Q2086" i="1"/>
  <c r="R2086" i="1" s="1"/>
  <c r="Q2097" i="1"/>
  <c r="Q2133" i="1"/>
  <c r="R2133" i="1" s="1"/>
  <c r="Q2140" i="1"/>
  <c r="R2140" i="1" s="1"/>
  <c r="Q2148" i="1"/>
  <c r="R2148" i="1" s="1"/>
  <c r="Q2171" i="1"/>
  <c r="R2171" i="1" s="1"/>
  <c r="Q2183" i="1"/>
  <c r="R2183" i="1" s="1"/>
  <c r="Q2187" i="1"/>
  <c r="R2187" i="1" s="1"/>
  <c r="Q2208" i="1"/>
  <c r="R2208" i="1" s="1"/>
  <c r="Q2212" i="1"/>
  <c r="R2212" i="1" s="1"/>
  <c r="R2253" i="1"/>
  <c r="R2278" i="1"/>
  <c r="Q2278" i="1"/>
  <c r="Q2399" i="1"/>
  <c r="R2415" i="1"/>
  <c r="Q2415" i="1"/>
  <c r="Q2420" i="1"/>
  <c r="R2420" i="1" s="1"/>
  <c r="R2446" i="1"/>
  <c r="Q2446" i="1"/>
  <c r="R2471" i="1"/>
  <c r="Q2471" i="1"/>
  <c r="R2477" i="1"/>
  <c r="Q2477" i="1"/>
  <c r="R2577" i="1"/>
  <c r="Q2577" i="1"/>
  <c r="R2591" i="1"/>
  <c r="Q2591" i="1"/>
  <c r="Q2233" i="1"/>
  <c r="R2233" i="1" s="1"/>
  <c r="Q2266" i="1"/>
  <c r="R2266" i="1" s="1"/>
  <c r="R2287" i="1"/>
  <c r="R2301" i="1"/>
  <c r="R2335" i="1"/>
  <c r="Q2335" i="1"/>
  <c r="Q2347" i="1"/>
  <c r="R2347" i="1" s="1"/>
  <c r="R2357" i="1"/>
  <c r="Q2357" i="1"/>
  <c r="Q2362" i="1"/>
  <c r="R2394" i="1"/>
  <c r="Q2394" i="1"/>
  <c r="R2428" i="1"/>
  <c r="Q2428" i="1"/>
  <c r="Q2490" i="1"/>
  <c r="R2490" i="1"/>
  <c r="R2537" i="1"/>
  <c r="Q2557" i="1"/>
  <c r="R2557" i="1" s="1"/>
  <c r="R2584" i="1"/>
  <c r="Q2584" i="1"/>
  <c r="R2112" i="1"/>
  <c r="Q2112" i="1"/>
  <c r="Q2152" i="1"/>
  <c r="Q2160" i="1"/>
  <c r="R2160" i="1" s="1"/>
  <c r="R2175" i="1"/>
  <c r="Q2192" i="1"/>
  <c r="R2192" i="1" s="1"/>
  <c r="Q2196" i="1"/>
  <c r="R2196" i="1" s="1"/>
  <c r="R2237" i="1"/>
  <c r="R2258" i="1"/>
  <c r="R2262" i="1"/>
  <c r="Q2262" i="1"/>
  <c r="Q2288" i="1"/>
  <c r="R2288" i="1" s="1"/>
  <c r="Q2292" i="1"/>
  <c r="R2292" i="1" s="1"/>
  <c r="R2297" i="1"/>
  <c r="Q2297" i="1"/>
  <c r="Q2306" i="1"/>
  <c r="R2306" i="1" s="1"/>
  <c r="Q2311" i="1"/>
  <c r="R2311" i="1" s="1"/>
  <c r="R2325" i="1"/>
  <c r="R2330" i="1"/>
  <c r="Q2368" i="1"/>
  <c r="R2368" i="1" s="1"/>
  <c r="R2378" i="1"/>
  <c r="R2518" i="1"/>
  <c r="Q2518" i="1"/>
  <c r="Q2531" i="1"/>
  <c r="R2531" i="1" s="1"/>
  <c r="Q2544" i="1"/>
  <c r="R2544" i="1" s="1"/>
  <c r="Q2564" i="1"/>
  <c r="R2564" i="1" s="1"/>
  <c r="Q2605" i="1"/>
  <c r="R2605" i="1" s="1"/>
  <c r="R2637" i="1"/>
  <c r="Q2087" i="1"/>
  <c r="R2087" i="1" s="1"/>
  <c r="Q2164" i="1"/>
  <c r="R2164" i="1" s="1"/>
  <c r="Q2176" i="1"/>
  <c r="R2176" i="1" s="1"/>
  <c r="Q2217" i="1"/>
  <c r="R2217" i="1" s="1"/>
  <c r="Q2250" i="1"/>
  <c r="R2250" i="1" s="1"/>
  <c r="Q2275" i="1"/>
  <c r="R2275" i="1" s="1"/>
  <c r="Q2307" i="1"/>
  <c r="R2307" i="1" s="1"/>
  <c r="Q2316" i="1"/>
  <c r="R2316" i="1" s="1"/>
  <c r="Q2336" i="1"/>
  <c r="R2336" i="1" s="1"/>
  <c r="R2358" i="1"/>
  <c r="Q2358" i="1"/>
  <c r="Q2384" i="1"/>
  <c r="Q2422" i="1"/>
  <c r="R2422" i="1" s="1"/>
  <c r="Q2429" i="1"/>
  <c r="R2429" i="1" s="1"/>
  <c r="Q2538" i="1"/>
  <c r="R2538" i="1"/>
  <c r="R2612" i="1"/>
  <c r="Q2612" i="1"/>
  <c r="Q1980" i="1"/>
  <c r="R1980" i="1" s="1"/>
  <c r="Q1996" i="1"/>
  <c r="Q2012" i="1"/>
  <c r="R2012" i="1" s="1"/>
  <c r="Q2028" i="1"/>
  <c r="R2028" i="1" s="1"/>
  <c r="Q2044" i="1"/>
  <c r="R2044" i="1" s="1"/>
  <c r="Q2060" i="1"/>
  <c r="R2060" i="1" s="1"/>
  <c r="Q2076" i="1"/>
  <c r="R2076" i="1" s="1"/>
  <c r="Q2080" i="1"/>
  <c r="R2080" i="1" s="1"/>
  <c r="Q2105" i="1"/>
  <c r="R2105" i="1" s="1"/>
  <c r="Q2116" i="1"/>
  <c r="R2116" i="1" s="1"/>
  <c r="Q2123" i="1"/>
  <c r="R2123" i="1" s="1"/>
  <c r="R2141" i="1"/>
  <c r="Q2145" i="1"/>
  <c r="R2145" i="1" s="1"/>
  <c r="Q2156" i="1"/>
  <c r="R2156" i="1" s="1"/>
  <c r="Q2168" i="1"/>
  <c r="R2168" i="1" s="1"/>
  <c r="Q2180" i="1"/>
  <c r="R2221" i="1"/>
  <c r="R2246" i="1"/>
  <c r="Q2246" i="1"/>
  <c r="Q2254" i="1"/>
  <c r="R2254" i="1" s="1"/>
  <c r="Q2258" i="1"/>
  <c r="Q2279" i="1"/>
  <c r="R2279" i="1" s="1"/>
  <c r="R2353" i="1"/>
  <c r="Q2406" i="1"/>
  <c r="R2406" i="1" s="1"/>
  <c r="R2416" i="1"/>
  <c r="R2435" i="1"/>
  <c r="Q2435" i="1"/>
  <c r="R2454" i="1"/>
  <c r="Q2454" i="1"/>
  <c r="R2479" i="1"/>
  <c r="Q2479" i="1"/>
  <c r="Q2512" i="1"/>
  <c r="R2512" i="1"/>
  <c r="Q2201" i="1"/>
  <c r="R2201" i="1" s="1"/>
  <c r="Q2259" i="1"/>
  <c r="R2259" i="1" s="1"/>
  <c r="R2284" i="1"/>
  <c r="R2390" i="1"/>
  <c r="Q2390" i="1"/>
  <c r="Q2401" i="1"/>
  <c r="R2401" i="1" s="1"/>
  <c r="Q2411" i="1"/>
  <c r="R2411" i="1"/>
  <c r="Q2423" i="1"/>
  <c r="R2423" i="1" s="1"/>
  <c r="Q2430" i="1"/>
  <c r="R2430" i="1" s="1"/>
  <c r="R2441" i="1"/>
  <c r="R2461" i="1"/>
  <c r="Q2505" i="1"/>
  <c r="R2505" i="1" s="1"/>
  <c r="R2638" i="1"/>
  <c r="Q2638" i="1"/>
  <c r="R2519" i="1"/>
  <c r="R2548" i="1"/>
  <c r="Q2548" i="1"/>
  <c r="R2559" i="1"/>
  <c r="Q2559" i="1"/>
  <c r="R2569" i="1"/>
  <c r="Q2569" i="1"/>
  <c r="Q2616" i="1"/>
  <c r="R2616" i="1" s="1"/>
  <c r="Q2678" i="1"/>
  <c r="R2678" i="1"/>
  <c r="Q2702" i="1"/>
  <c r="R2702" i="1"/>
  <c r="Q2713" i="1"/>
  <c r="R2713" i="1" s="1"/>
  <c r="Q2769" i="1"/>
  <c r="R2769" i="1" s="1"/>
  <c r="R2775" i="1"/>
  <c r="Q2775" i="1"/>
  <c r="R2462" i="1"/>
  <c r="Q2462" i="1"/>
  <c r="R2501" i="1"/>
  <c r="Q2501" i="1"/>
  <c r="Q2510" i="1"/>
  <c r="R2510" i="1" s="1"/>
  <c r="Q2529" i="1"/>
  <c r="R2529" i="1" s="1"/>
  <c r="Q2589" i="1"/>
  <c r="R2589" i="1" s="1"/>
  <c r="Q2649" i="1"/>
  <c r="R2649" i="1"/>
  <c r="Q2782" i="1"/>
  <c r="R2782" i="1"/>
  <c r="R2996" i="1"/>
  <c r="Q2996" i="1"/>
  <c r="R2450" i="1"/>
  <c r="Q2488" i="1"/>
  <c r="R2488" i="1" s="1"/>
  <c r="Q2492" i="1"/>
  <c r="R2492" i="1" s="1"/>
  <c r="Q2519" i="1"/>
  <c r="R2549" i="1"/>
  <c r="Q2549" i="1"/>
  <c r="R2606" i="1"/>
  <c r="Q2606" i="1"/>
  <c r="Q2661" i="1"/>
  <c r="R2661" i="1" s="1"/>
  <c r="R2673" i="1"/>
  <c r="Q2673" i="1"/>
  <c r="Q2679" i="1"/>
  <c r="R2679" i="1" s="1"/>
  <c r="R2714" i="1"/>
  <c r="Q2714" i="1"/>
  <c r="R2745" i="1"/>
  <c r="Q2745" i="1"/>
  <c r="R2421" i="1"/>
  <c r="Q2421" i="1"/>
  <c r="Q2439" i="1"/>
  <c r="Q2475" i="1"/>
  <c r="R2475" i="1" s="1"/>
  <c r="Q2483" i="1"/>
  <c r="R2483" i="1" s="1"/>
  <c r="R2520" i="1"/>
  <c r="Q2520" i="1"/>
  <c r="R2539" i="1"/>
  <c r="R2628" i="1"/>
  <c r="Q2650" i="1"/>
  <c r="R2650" i="1" s="1"/>
  <c r="Q2788" i="1"/>
  <c r="R2788" i="1" s="1"/>
  <c r="Q2801" i="1"/>
  <c r="R2801" i="1" s="1"/>
  <c r="R2807" i="1"/>
  <c r="Q2807" i="1"/>
  <c r="R2868" i="1"/>
  <c r="Q2868" i="1"/>
  <c r="Q2447" i="1"/>
  <c r="R2447" i="1" s="1"/>
  <c r="Q2497" i="1"/>
  <c r="R2497" i="1" s="1"/>
  <c r="Q2575" i="1"/>
  <c r="R2575" i="1" s="1"/>
  <c r="R2607" i="1"/>
  <c r="Q2607" i="1"/>
  <c r="R2674" i="1"/>
  <c r="Q2674" i="1"/>
  <c r="Q2708" i="1"/>
  <c r="R2708" i="1" s="1"/>
  <c r="Q2746" i="1"/>
  <c r="R2746" i="1" s="1"/>
  <c r="R2964" i="1"/>
  <c r="Q2964" i="1"/>
  <c r="R2389" i="1"/>
  <c r="Q2389" i="1"/>
  <c r="Q2396" i="1"/>
  <c r="R2396" i="1" s="1"/>
  <c r="R2440" i="1"/>
  <c r="R2443" i="1"/>
  <c r="Q2463" i="1"/>
  <c r="R2463" i="1" s="1"/>
  <c r="Q2484" i="1"/>
  <c r="R2484" i="1" s="1"/>
  <c r="R2506" i="1"/>
  <c r="Q2511" i="1"/>
  <c r="R2511" i="1" s="1"/>
  <c r="Q2525" i="1"/>
  <c r="R2525" i="1" s="1"/>
  <c r="R2535" i="1"/>
  <c r="Q2555" i="1"/>
  <c r="R2555" i="1" s="1"/>
  <c r="Q2560" i="1"/>
  <c r="R2565" i="1"/>
  <c r="Q2565" i="1"/>
  <c r="Q2585" i="1"/>
  <c r="R2585" i="1"/>
  <c r="Q2590" i="1"/>
  <c r="R2590" i="1" s="1"/>
  <c r="Q2651" i="1"/>
  <c r="R2651" i="1" s="1"/>
  <c r="R2721" i="1"/>
  <c r="Q2721" i="1"/>
  <c r="R2727" i="1"/>
  <c r="Q2727" i="1"/>
  <c r="R2900" i="1"/>
  <c r="Q2900" i="1"/>
  <c r="Q2516" i="1"/>
  <c r="R2516" i="1" s="1"/>
  <c r="Q2545" i="1"/>
  <c r="R2545" i="1" s="1"/>
  <c r="Q2596" i="1"/>
  <c r="R2596" i="1" s="1"/>
  <c r="Q2613" i="1"/>
  <c r="R2613" i="1" s="1"/>
  <c r="Q2635" i="1"/>
  <c r="R2635" i="1" s="1"/>
  <c r="R2657" i="1"/>
  <c r="Q2657" i="1"/>
  <c r="R2686" i="1"/>
  <c r="Q2698" i="1"/>
  <c r="R2698" i="1" s="1"/>
  <c r="Q2734" i="1"/>
  <c r="R2734" i="1"/>
  <c r="R2778" i="1"/>
  <c r="Q2778" i="1"/>
  <c r="R2456" i="1"/>
  <c r="Q2472" i="1"/>
  <c r="R2472" i="1" s="1"/>
  <c r="Q2485" i="1"/>
  <c r="R2485" i="1" s="1"/>
  <c r="Q2526" i="1"/>
  <c r="R2526" i="1" s="1"/>
  <c r="Q2645" i="1"/>
  <c r="R2645" i="1" s="1"/>
  <c r="Q2663" i="1"/>
  <c r="R2663" i="1" s="1"/>
  <c r="Q2692" i="1"/>
  <c r="R2692" i="1" s="1"/>
  <c r="R2722" i="1"/>
  <c r="Q2722" i="1"/>
  <c r="R2740" i="1"/>
  <c r="Q2740" i="1"/>
  <c r="Q2753" i="1"/>
  <c r="R2753" i="1" s="1"/>
  <c r="R2759" i="1"/>
  <c r="Q2759" i="1"/>
  <c r="Q2820" i="1"/>
  <c r="R2820" i="1" s="1"/>
  <c r="R2932" i="1"/>
  <c r="Q2932" i="1"/>
  <c r="Q2393" i="1"/>
  <c r="R2393" i="1" s="1"/>
  <c r="R2418" i="1"/>
  <c r="Q2444" i="1"/>
  <c r="R2494" i="1"/>
  <c r="Q2494" i="1"/>
  <c r="R2517" i="1"/>
  <c r="Q2517" i="1"/>
  <c r="Q2521" i="1"/>
  <c r="R2521" i="1" s="1"/>
  <c r="Q2536" i="1"/>
  <c r="R2536" i="1" s="1"/>
  <c r="Q2602" i="1"/>
  <c r="R2602" i="1" s="1"/>
  <c r="R2687" i="1"/>
  <c r="Q2687" i="1"/>
  <c r="Q2766" i="1"/>
  <c r="R2766" i="1" s="1"/>
  <c r="Q2437" i="1"/>
  <c r="R2437" i="1" s="1"/>
  <c r="Q2448" i="1"/>
  <c r="R2448" i="1" s="1"/>
  <c r="Q2456" i="1"/>
  <c r="R2481" i="1"/>
  <c r="R2556" i="1"/>
  <c r="R2561" i="1"/>
  <c r="R2619" i="1"/>
  <c r="Q2619" i="1"/>
  <c r="Q2670" i="1"/>
  <c r="R2670" i="1"/>
  <c r="Q2705" i="1"/>
  <c r="R2705" i="1" s="1"/>
  <c r="Q2754" i="1"/>
  <c r="R2754" i="1" s="1"/>
  <c r="Q2852" i="1"/>
  <c r="R2852" i="1" s="1"/>
  <c r="Q2460" i="1"/>
  <c r="R2460" i="1" s="1"/>
  <c r="R2551" i="1"/>
  <c r="Q2597" i="1"/>
  <c r="Q2603" i="1"/>
  <c r="R2603" i="1" s="1"/>
  <c r="R2625" i="1"/>
  <c r="Q2625" i="1"/>
  <c r="Q2630" i="1"/>
  <c r="R2630" i="1" s="1"/>
  <c r="R2676" i="1"/>
  <c r="Q2676" i="1"/>
  <c r="R2810" i="1"/>
  <c r="Q2310" i="1"/>
  <c r="Q2326" i="1"/>
  <c r="R2326" i="1" s="1"/>
  <c r="R2379" i="1"/>
  <c r="Q2383" i="1"/>
  <c r="Q2408" i="1"/>
  <c r="R2408" i="1" s="1"/>
  <c r="Q2426" i="1"/>
  <c r="R2426" i="1" s="1"/>
  <c r="Q2441" i="1"/>
  <c r="R2452" i="1"/>
  <c r="R2468" i="1"/>
  <c r="Q2481" i="1"/>
  <c r="Q2503" i="1"/>
  <c r="R2503" i="1" s="1"/>
  <c r="Q2508" i="1"/>
  <c r="Q2527" i="1"/>
  <c r="R2527" i="1" s="1"/>
  <c r="R2532" i="1"/>
  <c r="Q2532" i="1"/>
  <c r="Q2572" i="1"/>
  <c r="R2572" i="1"/>
  <c r="Q2609" i="1"/>
  <c r="R2609" i="1" s="1"/>
  <c r="Q2641" i="1"/>
  <c r="R2641" i="1" s="1"/>
  <c r="R2647" i="1"/>
  <c r="Q2647" i="1"/>
  <c r="Q2682" i="1"/>
  <c r="R2682" i="1" s="1"/>
  <c r="Q2700" i="1"/>
  <c r="R2700" i="1" s="1"/>
  <c r="Q2711" i="1"/>
  <c r="R2711" i="1" s="1"/>
  <c r="R2730" i="1"/>
  <c r="Q2730" i="1"/>
  <c r="R2785" i="1"/>
  <c r="Q2785" i="1"/>
  <c r="R2791" i="1"/>
  <c r="Q2791" i="1"/>
  <c r="Q2798" i="1"/>
  <c r="R2798" i="1" s="1"/>
  <c r="R2354" i="1"/>
  <c r="R2405" i="1"/>
  <c r="Q2405" i="1"/>
  <c r="Q2412" i="1"/>
  <c r="Q2453" i="1"/>
  <c r="R2453" i="1" s="1"/>
  <c r="Q2469" i="1"/>
  <c r="R2469" i="1" s="1"/>
  <c r="Q2473" i="1"/>
  <c r="R2473" i="1" s="1"/>
  <c r="Q2495" i="1"/>
  <c r="R2495" i="1" s="1"/>
  <c r="R2504" i="1"/>
  <c r="Q2504" i="1"/>
  <c r="R2513" i="1"/>
  <c r="Q2513" i="1"/>
  <c r="R2522" i="1"/>
  <c r="R2542" i="1"/>
  <c r="Q2542" i="1"/>
  <c r="Q2598" i="1"/>
  <c r="R2598" i="1" s="1"/>
  <c r="R2604" i="1"/>
  <c r="Q2604" i="1"/>
  <c r="Q2631" i="1"/>
  <c r="R2631" i="1" s="1"/>
  <c r="Q2637" i="1"/>
  <c r="Q2654" i="1"/>
  <c r="R2654" i="1" s="1"/>
  <c r="Q2665" i="1"/>
  <c r="R2665" i="1" s="1"/>
  <c r="Q2804" i="1"/>
  <c r="R2804" i="1" s="1"/>
  <c r="Q2884" i="1"/>
  <c r="R2884" i="1" s="1"/>
  <c r="Q2980" i="1"/>
  <c r="R2980" i="1" s="1"/>
  <c r="Q2351" i="1"/>
  <c r="Q2457" i="1"/>
  <c r="R2457" i="1" s="1"/>
  <c r="R2465" i="1"/>
  <c r="Q2478" i="1"/>
  <c r="R2478" i="1" s="1"/>
  <c r="Q2533" i="1"/>
  <c r="R2533" i="1" s="1"/>
  <c r="Q2537" i="1"/>
  <c r="R2593" i="1"/>
  <c r="Q2593" i="1"/>
  <c r="Q2610" i="1"/>
  <c r="R2610" i="1" s="1"/>
  <c r="Q2621" i="1"/>
  <c r="R2621" i="1" s="1"/>
  <c r="Q2626" i="1"/>
  <c r="R2626" i="1" s="1"/>
  <c r="Q2642" i="1"/>
  <c r="R2642" i="1" s="1"/>
  <c r="Q2718" i="1"/>
  <c r="R2718" i="1"/>
  <c r="R2724" i="1"/>
  <c r="Q2724" i="1"/>
  <c r="R2762" i="1"/>
  <c r="Q2762" i="1"/>
  <c r="R2916" i="1"/>
  <c r="Q2916" i="1"/>
  <c r="Q2373" i="1"/>
  <c r="R2373" i="1" s="1"/>
  <c r="Q2558" i="1"/>
  <c r="R2558" i="1" s="1"/>
  <c r="Q2568" i="1"/>
  <c r="R2568" i="1" s="1"/>
  <c r="Q2578" i="1"/>
  <c r="R2578" i="1" s="1"/>
  <c r="R2632" i="1"/>
  <c r="Q2632" i="1"/>
  <c r="R2655" i="1"/>
  <c r="Q2655" i="1"/>
  <c r="R2666" i="1"/>
  <c r="Q2666" i="1"/>
  <c r="Q2689" i="1"/>
  <c r="R2689" i="1" s="1"/>
  <c r="R2737" i="1"/>
  <c r="Q2737" i="1"/>
  <c r="Q2743" i="1"/>
  <c r="R2743" i="1" s="1"/>
  <c r="R2948" i="1"/>
  <c r="Q2948" i="1"/>
  <c r="R2731" i="1"/>
  <c r="R2763" i="1"/>
  <c r="Q2795" i="1"/>
  <c r="R2795" i="1" s="1"/>
  <c r="Q2814" i="1"/>
  <c r="R2814" i="1" s="1"/>
  <c r="R2842" i="1"/>
  <c r="Q2859" i="1"/>
  <c r="R2859" i="1" s="1"/>
  <c r="Q2870" i="1"/>
  <c r="R2870" i="1"/>
  <c r="Q2882" i="1"/>
  <c r="R2882" i="1" s="1"/>
  <c r="R2923" i="1"/>
  <c r="Q2923" i="1"/>
  <c r="Q2934" i="1"/>
  <c r="R2934" i="1"/>
  <c r="Q2946" i="1"/>
  <c r="R2946" i="1" s="1"/>
  <c r="Q2971" i="1"/>
  <c r="R2971" i="1" s="1"/>
  <c r="Q2777" i="1"/>
  <c r="R2777" i="1" s="1"/>
  <c r="R2786" i="1"/>
  <c r="Q2786" i="1"/>
  <c r="R2825" i="1"/>
  <c r="Q2825" i="1"/>
  <c r="Q2836" i="1"/>
  <c r="R2836" i="1" s="1"/>
  <c r="Q2888" i="1"/>
  <c r="R2888" i="1" s="1"/>
  <c r="R2894" i="1"/>
  <c r="Q2894" i="1"/>
  <c r="R2906" i="1"/>
  <c r="Q2953" i="1"/>
  <c r="R2953" i="1" s="1"/>
  <c r="Q2983" i="1"/>
  <c r="R2983" i="1" s="1"/>
  <c r="R2796" i="1"/>
  <c r="Q2796" i="1"/>
  <c r="R2831" i="1"/>
  <c r="Q2860" i="1"/>
  <c r="R2860" i="1" s="1"/>
  <c r="Q2865" i="1"/>
  <c r="R2865" i="1" s="1"/>
  <c r="Q2924" i="1"/>
  <c r="R2924" i="1" s="1"/>
  <c r="Q2929" i="1"/>
  <c r="R2929" i="1" s="1"/>
  <c r="Q2947" i="1"/>
  <c r="R2947" i="1" s="1"/>
  <c r="R2972" i="1"/>
  <c r="Q2972" i="1"/>
  <c r="R2977" i="1"/>
  <c r="Q2977" i="1"/>
  <c r="Q2732" i="1"/>
  <c r="R2732" i="1" s="1"/>
  <c r="Q2764" i="1"/>
  <c r="R2764" i="1" s="1"/>
  <c r="Q2772" i="1"/>
  <c r="R2772" i="1" s="1"/>
  <c r="R2843" i="1"/>
  <c r="Q2843" i="1"/>
  <c r="Q2871" i="1"/>
  <c r="R2871" i="1" s="1"/>
  <c r="Q2889" i="1"/>
  <c r="R2889" i="1" s="1"/>
  <c r="Q2906" i="1"/>
  <c r="Q2935" i="1"/>
  <c r="R2935" i="1" s="1"/>
  <c r="R2954" i="1"/>
  <c r="Q2984" i="1"/>
  <c r="R2984" i="1" s="1"/>
  <c r="R2990" i="1"/>
  <c r="Q2990" i="1"/>
  <c r="R2683" i="1"/>
  <c r="Q2810" i="1"/>
  <c r="Q2866" i="1"/>
  <c r="R2866" i="1" s="1"/>
  <c r="R2895" i="1"/>
  <c r="Q2907" i="1"/>
  <c r="R2907" i="1" s="1"/>
  <c r="Q2918" i="1"/>
  <c r="R2918" i="1"/>
  <c r="Q2930" i="1"/>
  <c r="R2930" i="1" s="1"/>
  <c r="Q2966" i="1"/>
  <c r="R2966" i="1"/>
  <c r="R2978" i="1"/>
  <c r="Q2978" i="1"/>
  <c r="Q2709" i="1"/>
  <c r="R2709" i="1" s="1"/>
  <c r="Q2741" i="1"/>
  <c r="R2741" i="1" s="1"/>
  <c r="Q2773" i="1"/>
  <c r="R2773" i="1" s="1"/>
  <c r="Q2826" i="1"/>
  <c r="R2826" i="1" s="1"/>
  <c r="Q2844" i="1"/>
  <c r="R2844" i="1" s="1"/>
  <c r="Q2849" i="1"/>
  <c r="R2849" i="1" s="1"/>
  <c r="R2854" i="1"/>
  <c r="R2872" i="1"/>
  <c r="Q2872" i="1"/>
  <c r="Q2878" i="1"/>
  <c r="R2878" i="1" s="1"/>
  <c r="R2936" i="1"/>
  <c r="Q2936" i="1"/>
  <c r="R2942" i="1"/>
  <c r="Q2942" i="1"/>
  <c r="Q2954" i="1"/>
  <c r="R2985" i="1"/>
  <c r="Q2985" i="1"/>
  <c r="Q2620" i="1"/>
  <c r="R2620" i="1" s="1"/>
  <c r="Q2658" i="1"/>
  <c r="R2658" i="1" s="1"/>
  <c r="Q2683" i="1"/>
  <c r="R2696" i="1"/>
  <c r="Q2701" i="1"/>
  <c r="R2701" i="1" s="1"/>
  <c r="Q2811" i="1"/>
  <c r="R2811" i="1" s="1"/>
  <c r="Q2827" i="1"/>
  <c r="R2827" i="1" s="1"/>
  <c r="R2901" i="1"/>
  <c r="Q2908" i="1"/>
  <c r="R2908" i="1" s="1"/>
  <c r="Q2913" i="1"/>
  <c r="R2913" i="1" s="1"/>
  <c r="Q2955" i="1"/>
  <c r="R2955" i="1" s="1"/>
  <c r="Q2979" i="1"/>
  <c r="R2979" i="1" s="1"/>
  <c r="Q2684" i="1"/>
  <c r="R2684" i="1" s="1"/>
  <c r="Q2697" i="1"/>
  <c r="R2697" i="1" s="1"/>
  <c r="Q2706" i="1"/>
  <c r="R2706" i="1" s="1"/>
  <c r="R2719" i="1"/>
  <c r="Q2728" i="1"/>
  <c r="R2728" i="1" s="1"/>
  <c r="R2760" i="1"/>
  <c r="Q2760" i="1"/>
  <c r="Q2792" i="1"/>
  <c r="R2792" i="1" s="1"/>
  <c r="Q2802" i="1"/>
  <c r="R2802" i="1" s="1"/>
  <c r="R2806" i="1"/>
  <c r="R2850" i="1"/>
  <c r="Q2850" i="1"/>
  <c r="R2855" i="1"/>
  <c r="Q2855" i="1"/>
  <c r="Q2873" i="1"/>
  <c r="R2873" i="1" s="1"/>
  <c r="Q2890" i="1"/>
  <c r="R2890" i="1" s="1"/>
  <c r="R2919" i="1"/>
  <c r="Q2919" i="1"/>
  <c r="Q2937" i="1"/>
  <c r="R2937" i="1" s="1"/>
  <c r="R2967" i="1"/>
  <c r="Q2967" i="1"/>
  <c r="R2986" i="1"/>
  <c r="Q2998" i="1"/>
  <c r="R2998" i="1" s="1"/>
  <c r="R2639" i="1"/>
  <c r="Q2639" i="1"/>
  <c r="R2812" i="1"/>
  <c r="Q2812" i="1"/>
  <c r="R2828" i="1"/>
  <c r="Q2828" i="1"/>
  <c r="Q2833" i="1"/>
  <c r="R2833" i="1" s="1"/>
  <c r="R2879" i="1"/>
  <c r="Q2891" i="1"/>
  <c r="R2891" i="1" s="1"/>
  <c r="Q2902" i="1"/>
  <c r="R2902" i="1" s="1"/>
  <c r="R2914" i="1"/>
  <c r="Q2914" i="1"/>
  <c r="Q2956" i="1"/>
  <c r="R2956" i="1" s="1"/>
  <c r="Q2961" i="1"/>
  <c r="R2961" i="1" s="1"/>
  <c r="Q2592" i="1"/>
  <c r="R2592" i="1" s="1"/>
  <c r="Q2671" i="1"/>
  <c r="R2671" i="1" s="1"/>
  <c r="R2693" i="1"/>
  <c r="Q2729" i="1"/>
  <c r="R2729" i="1" s="1"/>
  <c r="R2738" i="1"/>
  <c r="Q2738" i="1"/>
  <c r="R2742" i="1"/>
  <c r="Q2761" i="1"/>
  <c r="R2761" i="1" s="1"/>
  <c r="Q2770" i="1"/>
  <c r="R2770" i="1" s="1"/>
  <c r="R2774" i="1"/>
  <c r="Q2793" i="1"/>
  <c r="R2793" i="1" s="1"/>
  <c r="Q2856" i="1"/>
  <c r="R2856" i="1" s="1"/>
  <c r="Q2862" i="1"/>
  <c r="R2862" i="1" s="1"/>
  <c r="R2874" i="1"/>
  <c r="Q2920" i="1"/>
  <c r="R2920" i="1" s="1"/>
  <c r="Q2926" i="1"/>
  <c r="R2926" i="1" s="1"/>
  <c r="R2968" i="1"/>
  <c r="Q2968" i="1"/>
  <c r="Q2974" i="1"/>
  <c r="R2974" i="1" s="1"/>
  <c r="Q2986" i="1"/>
  <c r="Q2599" i="1"/>
  <c r="R2599" i="1" s="1"/>
  <c r="Q2628" i="1"/>
  <c r="Q2715" i="1"/>
  <c r="R2715" i="1" s="1"/>
  <c r="Q2747" i="1"/>
  <c r="R2747" i="1" s="1"/>
  <c r="Q2779" i="1"/>
  <c r="R2779" i="1" s="1"/>
  <c r="Q2817" i="1"/>
  <c r="R2817" i="1" s="1"/>
  <c r="Q2834" i="1"/>
  <c r="R2834" i="1" s="1"/>
  <c r="Q2839" i="1"/>
  <c r="R2839" i="1" s="1"/>
  <c r="Q2845" i="1"/>
  <c r="R2845" i="1" s="1"/>
  <c r="R2892" i="1"/>
  <c r="Q2892" i="1"/>
  <c r="R2897" i="1"/>
  <c r="Q2897" i="1"/>
  <c r="Q2950" i="1"/>
  <c r="R2950" i="1"/>
  <c r="R2962" i="1"/>
  <c r="Q2962" i="1"/>
  <c r="Q2987" i="1"/>
  <c r="R2987" i="1" s="1"/>
  <c r="R2992" i="1"/>
  <c r="R2999" i="1"/>
  <c r="Q2999" i="1"/>
  <c r="R2617" i="1"/>
  <c r="Q2636" i="1"/>
  <c r="R2636" i="1" s="1"/>
  <c r="Q2693" i="1"/>
  <c r="Q2716" i="1"/>
  <c r="R2716" i="1" s="1"/>
  <c r="Q2748" i="1"/>
  <c r="R2748" i="1" s="1"/>
  <c r="Q2780" i="1"/>
  <c r="R2780" i="1" s="1"/>
  <c r="R2822" i="1"/>
  <c r="Q2857" i="1"/>
  <c r="R2857" i="1" s="1"/>
  <c r="Q2874" i="1"/>
  <c r="R2903" i="1"/>
  <c r="Q2903" i="1"/>
  <c r="R2921" i="1"/>
  <c r="Q2921" i="1"/>
  <c r="Q2938" i="1"/>
  <c r="R2938" i="1" s="1"/>
  <c r="R2969" i="1"/>
  <c r="Q2969" i="1"/>
  <c r="R2993" i="1"/>
  <c r="Q2993" i="1"/>
  <c r="Q2491" i="1"/>
  <c r="R2491" i="1" s="1"/>
  <c r="Q2507" i="1"/>
  <c r="R2507" i="1" s="1"/>
  <c r="Q2523" i="1"/>
  <c r="R2523" i="1" s="1"/>
  <c r="Q2539" i="1"/>
  <c r="Q2552" i="1"/>
  <c r="R2552" i="1" s="1"/>
  <c r="Q2562" i="1"/>
  <c r="R2562" i="1" s="1"/>
  <c r="Q2582" i="1"/>
  <c r="R2582" i="1" s="1"/>
  <c r="Q2667" i="1"/>
  <c r="R2667" i="1" s="1"/>
  <c r="R2680" i="1"/>
  <c r="R2818" i="1"/>
  <c r="Q2818" i="1"/>
  <c r="Q2840" i="1"/>
  <c r="R2840" i="1" s="1"/>
  <c r="Q2846" i="1"/>
  <c r="R2846" i="1" s="1"/>
  <c r="Q2875" i="1"/>
  <c r="R2875" i="1" s="1"/>
  <c r="Q2886" i="1"/>
  <c r="R2886" i="1" s="1"/>
  <c r="Q2898" i="1"/>
  <c r="R2898" i="1" s="1"/>
  <c r="R2939" i="1"/>
  <c r="Q2939" i="1"/>
  <c r="R2963" i="1"/>
  <c r="Q2963" i="1"/>
  <c r="R2975" i="1"/>
  <c r="R2981" i="1"/>
  <c r="Q2988" i="1"/>
  <c r="R2988" i="1" s="1"/>
  <c r="Q3000" i="1"/>
  <c r="R3000" i="1" s="1"/>
  <c r="R2668" i="1"/>
  <c r="Q2668" i="1"/>
  <c r="Q2681" i="1"/>
  <c r="R2681" i="1" s="1"/>
  <c r="Q2690" i="1"/>
  <c r="R2690" i="1" s="1"/>
  <c r="Q2703" i="1"/>
  <c r="R2703" i="1" s="1"/>
  <c r="Q2725" i="1"/>
  <c r="R2725" i="1" s="1"/>
  <c r="R2757" i="1"/>
  <c r="Q2757" i="1"/>
  <c r="R2789" i="1"/>
  <c r="Q2808" i="1"/>
  <c r="R2808" i="1" s="1"/>
  <c r="R2823" i="1"/>
  <c r="Q2823" i="1"/>
  <c r="R2904" i="1"/>
  <c r="Q2904" i="1"/>
  <c r="R2910" i="1"/>
  <c r="Q2910" i="1"/>
  <c r="Q2951" i="1"/>
  <c r="R2951" i="1" s="1"/>
  <c r="R2970" i="1"/>
  <c r="Q2994" i="1"/>
  <c r="R2994" i="1" s="1"/>
  <c r="R2694" i="1"/>
  <c r="R2699" i="1"/>
  <c r="Q2794" i="1"/>
  <c r="R2794" i="1" s="1"/>
  <c r="R2841" i="1"/>
  <c r="Q2841" i="1"/>
  <c r="R2869" i="1"/>
  <c r="R2876" i="1"/>
  <c r="Q2876" i="1"/>
  <c r="R2881" i="1"/>
  <c r="Q2881" i="1"/>
  <c r="R2933" i="1"/>
  <c r="Q2940" i="1"/>
  <c r="R2940" i="1" s="1"/>
  <c r="R2945" i="1"/>
  <c r="Q2945" i="1"/>
  <c r="Q2982" i="1"/>
  <c r="R2982" i="1" s="1"/>
  <c r="Q3001" i="1"/>
  <c r="R3001" i="1" s="1"/>
  <c r="Q2629" i="1"/>
  <c r="R2629" i="1" s="1"/>
  <c r="Q2652" i="1"/>
  <c r="R2652" i="1" s="1"/>
  <c r="Q2664" i="1"/>
  <c r="R2664" i="1" s="1"/>
  <c r="R2677" i="1"/>
  <c r="R2735" i="1"/>
  <c r="Q2744" i="1"/>
  <c r="R2744" i="1" s="1"/>
  <c r="Q2776" i="1"/>
  <c r="R2776" i="1" s="1"/>
  <c r="Q2809" i="1"/>
  <c r="R2809" i="1" s="1"/>
  <c r="Q2824" i="1"/>
  <c r="R2824" i="1" s="1"/>
  <c r="Q2830" i="1"/>
  <c r="R2830" i="1" s="1"/>
  <c r="Q2858" i="1"/>
  <c r="R2858" i="1" s="1"/>
  <c r="R2887" i="1"/>
  <c r="Q2887" i="1"/>
  <c r="R2905" i="1"/>
  <c r="Q2905" i="1"/>
  <c r="Q2922" i="1"/>
  <c r="R2922" i="1" s="1"/>
  <c r="Q2952" i="1"/>
  <c r="R2952" i="1" s="1"/>
  <c r="R2958" i="1"/>
  <c r="Q2958" i="1"/>
  <c r="Q2970" i="1"/>
  <c r="Q2995" i="1"/>
  <c r="R2995" i="1" s="1"/>
  <c r="Q2789" i="1"/>
  <c r="Q2805" i="1"/>
  <c r="R2805" i="1" s="1"/>
  <c r="Q2821" i="1"/>
  <c r="R2821" i="1" s="1"/>
  <c r="Q2837" i="1"/>
  <c r="R2837" i="1" s="1"/>
  <c r="Q2853" i="1"/>
  <c r="R2853" i="1" s="1"/>
  <c r="Q2869" i="1"/>
  <c r="Q2885" i="1"/>
  <c r="R2885" i="1" s="1"/>
  <c r="Q2901" i="1"/>
  <c r="Q2917" i="1"/>
  <c r="R2917" i="1" s="1"/>
  <c r="Q2933" i="1"/>
  <c r="Q2949" i="1"/>
  <c r="R2949" i="1" s="1"/>
  <c r="Q2965" i="1"/>
  <c r="R2965" i="1" s="1"/>
  <c r="Q2981" i="1"/>
  <c r="Q2997" i="1"/>
  <c r="R2997" i="1" s="1"/>
  <c r="Q2719" i="1"/>
  <c r="Q2735" i="1"/>
  <c r="Q2751" i="1"/>
  <c r="R2751" i="1" s="1"/>
  <c r="Q2767" i="1"/>
  <c r="R2767" i="1" s="1"/>
  <c r="Q2783" i="1"/>
  <c r="R2783" i="1" s="1"/>
  <c r="Q2799" i="1"/>
  <c r="R2799" i="1" s="1"/>
  <c r="Q2815" i="1"/>
  <c r="R2815" i="1" s="1"/>
  <c r="Q2831" i="1"/>
  <c r="Q2847" i="1"/>
  <c r="R2847" i="1" s="1"/>
  <c r="Q2863" i="1"/>
  <c r="R2863" i="1" s="1"/>
  <c r="Q2879" i="1"/>
  <c r="Q2895" i="1"/>
  <c r="Q2911" i="1"/>
  <c r="R2911" i="1" s="1"/>
  <c r="Q2927" i="1"/>
  <c r="R2927" i="1" s="1"/>
  <c r="Q2943" i="1"/>
  <c r="R2943" i="1" s="1"/>
  <c r="Q2959" i="1"/>
  <c r="R2959" i="1" s="1"/>
  <c r="Q2975" i="1"/>
  <c r="Q2991" i="1"/>
  <c r="R2991" i="1" s="1"/>
</calcChain>
</file>

<file path=xl/sharedStrings.xml><?xml version="1.0" encoding="utf-8"?>
<sst xmlns="http://schemas.openxmlformats.org/spreadsheetml/2006/main" count="27093" uniqueCount="3187">
  <si>
    <t>Data_Pedido</t>
  </si>
  <si>
    <t>Pedido_ID</t>
  </si>
  <si>
    <t>Cliente</t>
  </si>
  <si>
    <t>Estado</t>
  </si>
  <si>
    <t>Região</t>
  </si>
  <si>
    <t>Canal</t>
  </si>
  <si>
    <t>Categoria</t>
  </si>
  <si>
    <t>Produto</t>
  </si>
  <si>
    <t>Vendedor</t>
  </si>
  <si>
    <t>Quantidade</t>
  </si>
  <si>
    <t>Preço_Unitário</t>
  </si>
  <si>
    <t>Custo_Unitário</t>
  </si>
  <si>
    <t>Desconto_%</t>
  </si>
  <si>
    <t>Receita_Bruta</t>
  </si>
  <si>
    <t>Receita_Líquida</t>
  </si>
  <si>
    <t>Custo_Total</t>
  </si>
  <si>
    <t>Margem_R$</t>
  </si>
  <si>
    <t>Margem_%</t>
  </si>
  <si>
    <t>Dias_Entrega</t>
  </si>
  <si>
    <t>Status</t>
  </si>
  <si>
    <t>Avaliação</t>
  </si>
  <si>
    <t>Observação</t>
  </si>
  <si>
    <t>PED-100001</t>
  </si>
  <si>
    <t>Cliente 050</t>
  </si>
  <si>
    <t>PA</t>
  </si>
  <si>
    <t>Norte</t>
  </si>
  <si>
    <t>E-commerce</t>
  </si>
  <si>
    <t>Casa</t>
  </si>
  <si>
    <t>Cafeteira Smart</t>
  </si>
  <si>
    <t>Ana</t>
  </si>
  <si>
    <t>Entregue com atraso</t>
  </si>
  <si>
    <t>Desconto autorizado fora da campanha</t>
  </si>
  <si>
    <t>PED-100002</t>
  </si>
  <si>
    <t>Cliente 010</t>
  </si>
  <si>
    <t>ES</t>
  </si>
  <si>
    <t>Sudeste</t>
  </si>
  <si>
    <t>Televendas</t>
  </si>
  <si>
    <t>Acessórios</t>
  </si>
  <si>
    <t>Mochila Executiva</t>
  </si>
  <si>
    <t>João</t>
  </si>
  <si>
    <t>Cancelado</t>
  </si>
  <si>
    <t>PED-100003</t>
  </si>
  <si>
    <t>Cliente 049</t>
  </si>
  <si>
    <t>AM</t>
  </si>
  <si>
    <t>Tecnologia</t>
  </si>
  <si>
    <t>Headset Office</t>
  </si>
  <si>
    <t>Entregue</t>
  </si>
  <si>
    <t>PED-100004</t>
  </si>
  <si>
    <t>Cliente 066</t>
  </si>
  <si>
    <t>GO</t>
  </si>
  <si>
    <t>Centro-Oeste</t>
  </si>
  <si>
    <t>Escritório</t>
  </si>
  <si>
    <t>Luminária LED</t>
  </si>
  <si>
    <t>Bruno</t>
  </si>
  <si>
    <t>PED-100005</t>
  </si>
  <si>
    <t>Cliente 055</t>
  </si>
  <si>
    <t>PR</t>
  </si>
  <si>
    <t>Sul</t>
  </si>
  <si>
    <t>Marketplace</t>
  </si>
  <si>
    <t>Cadeira Ergonômica</t>
  </si>
  <si>
    <t>Henrique</t>
  </si>
  <si>
    <t>PED-100006</t>
  </si>
  <si>
    <t>Cliente 087</t>
  </si>
  <si>
    <t>MG</t>
  </si>
  <si>
    <t>Loja</t>
  </si>
  <si>
    <t>Carla</t>
  </si>
  <si>
    <t>PED-100007</t>
  </si>
  <si>
    <t>Cliente 027</t>
  </si>
  <si>
    <t>Purificador</t>
  </si>
  <si>
    <t>PED-100008</t>
  </si>
  <si>
    <t>Cliente 101</t>
  </si>
  <si>
    <t>BA</t>
  </si>
  <si>
    <t>Nordeste</t>
  </si>
  <si>
    <t>Monitor 27</t>
  </si>
  <si>
    <t>Felipe</t>
  </si>
  <si>
    <t>PED-100009</t>
  </si>
  <si>
    <t>Cliente 119</t>
  </si>
  <si>
    <t>Elaine</t>
  </si>
  <si>
    <t>PED-100010</t>
  </si>
  <si>
    <t>Cliente 025</t>
  </si>
  <si>
    <t>PED-100011</t>
  </si>
  <si>
    <t>PED-100012</t>
  </si>
  <si>
    <t>Cliente 091</t>
  </si>
  <si>
    <t>PED-100013</t>
  </si>
  <si>
    <t>Cliente 006</t>
  </si>
  <si>
    <t>MT</t>
  </si>
  <si>
    <t>Aspirador Robô</t>
  </si>
  <si>
    <t>Isabela</t>
  </si>
  <si>
    <t>PED-100014</t>
  </si>
  <si>
    <t>Cliente 097</t>
  </si>
  <si>
    <t>PED-100015</t>
  </si>
  <si>
    <t>Cliente 020</t>
  </si>
  <si>
    <t>Diego</t>
  </si>
  <si>
    <t>PED-100016</t>
  </si>
  <si>
    <t>Gabriela</t>
  </si>
  <si>
    <t>PED-100017</t>
  </si>
  <si>
    <t>Cliente 013</t>
  </si>
  <si>
    <t>SC</t>
  </si>
  <si>
    <t>PED-100018</t>
  </si>
  <si>
    <t>PED-100019</t>
  </si>
  <si>
    <t>Cliente 080</t>
  </si>
  <si>
    <t>RJ</t>
  </si>
  <si>
    <t>PED-100020</t>
  </si>
  <si>
    <t>Cliente 008</t>
  </si>
  <si>
    <t>Hub USB-C</t>
  </si>
  <si>
    <t>PED-100021</t>
  </si>
  <si>
    <t>Cliente 058</t>
  </si>
  <si>
    <t>PED-100022</t>
  </si>
  <si>
    <t>Cliente 074</t>
  </si>
  <si>
    <t>PED-100023</t>
  </si>
  <si>
    <t>Cliente 095</t>
  </si>
  <si>
    <t>PED-100024</t>
  </si>
  <si>
    <t>Cliente 046</t>
  </si>
  <si>
    <t>DF</t>
  </si>
  <si>
    <t>PED-100025</t>
  </si>
  <si>
    <t>Cliente 036</t>
  </si>
  <si>
    <t>Mesa Ajustável</t>
  </si>
  <si>
    <t>PED-100026</t>
  </si>
  <si>
    <t>Cliente 115</t>
  </si>
  <si>
    <t>PED-100027</t>
  </si>
  <si>
    <t>Cliente 021</t>
  </si>
  <si>
    <t>CE</t>
  </si>
  <si>
    <t>PED-100028</t>
  </si>
  <si>
    <t>Cliente 104</t>
  </si>
  <si>
    <t>Notebook Pro</t>
  </si>
  <si>
    <t>PED-100029</t>
  </si>
  <si>
    <t>RS</t>
  </si>
  <si>
    <t>PED-100030</t>
  </si>
  <si>
    <t>PED-100031</t>
  </si>
  <si>
    <t>Cliente 012</t>
  </si>
  <si>
    <t>PE</t>
  </si>
  <si>
    <t>PED-100032</t>
  </si>
  <si>
    <t>Cliente 047</t>
  </si>
  <si>
    <t>PED-100033</t>
  </si>
  <si>
    <t>Cliente 109</t>
  </si>
  <si>
    <t>PED-100034</t>
  </si>
  <si>
    <t>Cliente 029</t>
  </si>
  <si>
    <t>PED-100035</t>
  </si>
  <si>
    <t>Cliente 117</t>
  </si>
  <si>
    <t>MA</t>
  </si>
  <si>
    <t>PED-100036</t>
  </si>
  <si>
    <t>PED-100037</t>
  </si>
  <si>
    <t>Cliente 092</t>
  </si>
  <si>
    <t>PED-100038</t>
  </si>
  <si>
    <t>Cliente 081</t>
  </si>
  <si>
    <t>PED-100039</t>
  </si>
  <si>
    <t>Cliente 114</t>
  </si>
  <si>
    <t>PED-100040</t>
  </si>
  <si>
    <t>Cliente 078</t>
  </si>
  <si>
    <t>PED-100041</t>
  </si>
  <si>
    <t>Cliente 009</t>
  </si>
  <si>
    <t>PED-100042</t>
  </si>
  <si>
    <t>PED-100043</t>
  </si>
  <si>
    <t>Cliente 056</t>
  </si>
  <si>
    <t>PED-100044</t>
  </si>
  <si>
    <t>Cliente 030</t>
  </si>
  <si>
    <t>PED-100045</t>
  </si>
  <si>
    <t>Cliente 003</t>
  </si>
  <si>
    <t>PED-100046</t>
  </si>
  <si>
    <t>Cliente 054</t>
  </si>
  <si>
    <t>PED-100047</t>
  </si>
  <si>
    <t>PED-100048</t>
  </si>
  <si>
    <t>Cliente 011</t>
  </si>
  <si>
    <t>PED-100049</t>
  </si>
  <si>
    <t>Cliente 086</t>
  </si>
  <si>
    <t>PED-100050</t>
  </si>
  <si>
    <t>Cliente 108</t>
  </si>
  <si>
    <t>PED-100051</t>
  </si>
  <si>
    <t>Cliente 043</t>
  </si>
  <si>
    <t>PED-100052</t>
  </si>
  <si>
    <t>Cliente 038</t>
  </si>
  <si>
    <t>PED-100053</t>
  </si>
  <si>
    <t>Cliente 048</t>
  </si>
  <si>
    <t>PED-100054</t>
  </si>
  <si>
    <t>Cliente 076</t>
  </si>
  <si>
    <t>PED-100055</t>
  </si>
  <si>
    <t>Cliente 099</t>
  </si>
  <si>
    <t>PED-100056</t>
  </si>
  <si>
    <t>Webcam HD</t>
  </si>
  <si>
    <t>PED-100057</t>
  </si>
  <si>
    <t>Cliente 035</t>
  </si>
  <si>
    <t>PED-100058</t>
  </si>
  <si>
    <t>Cliente 094</t>
  </si>
  <si>
    <t>PED-100059</t>
  </si>
  <si>
    <t>Cliente 062</t>
  </si>
  <si>
    <t>PED-100060</t>
  </si>
  <si>
    <t>PED-100061</t>
  </si>
  <si>
    <t>Cliente 028</t>
  </si>
  <si>
    <t>PED-100062</t>
  </si>
  <si>
    <t>PED-100063</t>
  </si>
  <si>
    <t>Cliente 042</t>
  </si>
  <si>
    <t>PED-100064</t>
  </si>
  <si>
    <t>PED-100065</t>
  </si>
  <si>
    <t>PED-100066</t>
  </si>
  <si>
    <t>PED-100067</t>
  </si>
  <si>
    <t>Cliente 065</t>
  </si>
  <si>
    <t>PED-100068</t>
  </si>
  <si>
    <t>PED-100069</t>
  </si>
  <si>
    <t>Cliente 100</t>
  </si>
  <si>
    <t>PED-100070</t>
  </si>
  <si>
    <t>PED-100071</t>
  </si>
  <si>
    <t>Cliente 051</t>
  </si>
  <si>
    <t>PED-100072</t>
  </si>
  <si>
    <t>PED-100073</t>
  </si>
  <si>
    <t>Cliente 089</t>
  </si>
  <si>
    <t>PED-100074</t>
  </si>
  <si>
    <t>Cliente 075</t>
  </si>
  <si>
    <t>SP</t>
  </si>
  <si>
    <t>Ocorrência logística</t>
  </si>
  <si>
    <t>PED-100075</t>
  </si>
  <si>
    <t>PED-100076</t>
  </si>
  <si>
    <t>Cliente 112</t>
  </si>
  <si>
    <t>PED-100077</t>
  </si>
  <si>
    <t>PED-100078</t>
  </si>
  <si>
    <t>Cliente 001</t>
  </si>
  <si>
    <t>PED-100079</t>
  </si>
  <si>
    <t>Cliente 044</t>
  </si>
  <si>
    <t>PED-100080</t>
  </si>
  <si>
    <t>Cliente 061</t>
  </si>
  <si>
    <t>PED-100081</t>
  </si>
  <si>
    <t>Cliente 060</t>
  </si>
  <si>
    <t>PED-100082</t>
  </si>
  <si>
    <t>PED-100083</t>
  </si>
  <si>
    <t>PED-100084</t>
  </si>
  <si>
    <t>Cliente 070</t>
  </si>
  <si>
    <t>PED-100085</t>
  </si>
  <si>
    <t>Cliente 063</t>
  </si>
  <si>
    <t>PED-100086</t>
  </si>
  <si>
    <t>PED-100087</t>
  </si>
  <si>
    <t>PED-100088</t>
  </si>
  <si>
    <t>PED-100089</t>
  </si>
  <si>
    <t>Cliente 111</t>
  </si>
  <si>
    <t>PED-100090</t>
  </si>
  <si>
    <t>Cliente 034</t>
  </si>
  <si>
    <t>PED-100091</t>
  </si>
  <si>
    <t>Cliente 018</t>
  </si>
  <si>
    <t>PED-100092</t>
  </si>
  <si>
    <t>PED-100093</t>
  </si>
  <si>
    <t>PED-100094</t>
  </si>
  <si>
    <t>PED-100095</t>
  </si>
  <si>
    <t>Cliente 032</t>
  </si>
  <si>
    <t>PED-100096</t>
  </si>
  <si>
    <t>PED-100097</t>
  </si>
  <si>
    <t>Cliente 118</t>
  </si>
  <si>
    <t>PED-100098</t>
  </si>
  <si>
    <t>PED-100099</t>
  </si>
  <si>
    <t>PED-100100</t>
  </si>
  <si>
    <t>Cliente 002</t>
  </si>
  <si>
    <t>PED-100101</t>
  </si>
  <si>
    <t>PED-100102</t>
  </si>
  <si>
    <t>PED-100103</t>
  </si>
  <si>
    <t>Cliente 105</t>
  </si>
  <si>
    <t>PED-100104</t>
  </si>
  <si>
    <t>Cliente 082</t>
  </si>
  <si>
    <t>PED-100105</t>
  </si>
  <si>
    <t>PED-100106</t>
  </si>
  <si>
    <t>PED-100107</t>
  </si>
  <si>
    <t>PED-100108</t>
  </si>
  <si>
    <t>PED-100109</t>
  </si>
  <si>
    <t>PED-100110</t>
  </si>
  <si>
    <t>Cliente 037</t>
  </si>
  <si>
    <t>PED-100111</t>
  </si>
  <si>
    <t>PED-100112</t>
  </si>
  <si>
    <t>PED-100113</t>
  </si>
  <si>
    <t>PED-100114</t>
  </si>
  <si>
    <t>PED-100115</t>
  </si>
  <si>
    <t>Cliente 096</t>
  </si>
  <si>
    <t>PED-100116</t>
  </si>
  <si>
    <t>PED-100117</t>
  </si>
  <si>
    <t>PED-100118</t>
  </si>
  <si>
    <t>PED-100119</t>
  </si>
  <si>
    <t>Cliente 110</t>
  </si>
  <si>
    <t>PED-100120</t>
  </si>
  <si>
    <t>PED-100121</t>
  </si>
  <si>
    <t>PED-100122</t>
  </si>
  <si>
    <t>Cliente 040</t>
  </si>
  <si>
    <t>PED-100123</t>
  </si>
  <si>
    <t>PED-100124</t>
  </si>
  <si>
    <t>PED-100125</t>
  </si>
  <si>
    <t>PED-100126</t>
  </si>
  <si>
    <t>PED-100127</t>
  </si>
  <si>
    <t>PED-100128</t>
  </si>
  <si>
    <t>PED-100129</t>
  </si>
  <si>
    <t>PED-100130</t>
  </si>
  <si>
    <t>Cliente 083</t>
  </si>
  <si>
    <t>PED-100131</t>
  </si>
  <si>
    <t>Cliente 016</t>
  </si>
  <si>
    <t>PED-100132</t>
  </si>
  <si>
    <t>Cliente 107</t>
  </si>
  <si>
    <t>PED-100133</t>
  </si>
  <si>
    <t>Cliente 093</t>
  </si>
  <si>
    <t>PED-100134</t>
  </si>
  <si>
    <t>PED-100135</t>
  </si>
  <si>
    <t>PED-100136</t>
  </si>
  <si>
    <t>Cliente 039</t>
  </si>
  <si>
    <t>PED-100137</t>
  </si>
  <si>
    <t>PED-100138</t>
  </si>
  <si>
    <t>Cliente 007</t>
  </si>
  <si>
    <t>PED-100139</t>
  </si>
  <si>
    <t>PED-100140</t>
  </si>
  <si>
    <t>PED-100141</t>
  </si>
  <si>
    <t>PED-100142</t>
  </si>
  <si>
    <t>PED-100143</t>
  </si>
  <si>
    <t>PED-100144</t>
  </si>
  <si>
    <t>PED-100145</t>
  </si>
  <si>
    <t>PED-100146</t>
  </si>
  <si>
    <t>PED-100147</t>
  </si>
  <si>
    <t>PED-100148</t>
  </si>
  <si>
    <t>Cliente 064</t>
  </si>
  <si>
    <t>PED-100149</t>
  </si>
  <si>
    <t>PED-100150</t>
  </si>
  <si>
    <t>PED-100151</t>
  </si>
  <si>
    <t>PED-100152</t>
  </si>
  <si>
    <t>PED-100153</t>
  </si>
  <si>
    <t>PED-100154</t>
  </si>
  <si>
    <t>Cliente 072</t>
  </si>
  <si>
    <t>PED-100155</t>
  </si>
  <si>
    <t>Cliente 077</t>
  </si>
  <si>
    <t>PED-100156</t>
  </si>
  <si>
    <t>PED-100157</t>
  </si>
  <si>
    <t>PED-100158</t>
  </si>
  <si>
    <t>Cliente 116</t>
  </si>
  <si>
    <t>PED-100159</t>
  </si>
  <si>
    <t>PED-100160</t>
  </si>
  <si>
    <t>PED-100161</t>
  </si>
  <si>
    <t>PED-100162</t>
  </si>
  <si>
    <t>PED-100163</t>
  </si>
  <si>
    <t>PED-100164</t>
  </si>
  <si>
    <t>PED-100165</t>
  </si>
  <si>
    <t>Cliente 106</t>
  </si>
  <si>
    <t>PED-100166</t>
  </si>
  <si>
    <t>Cliente 090</t>
  </si>
  <si>
    <t>PED-100167</t>
  </si>
  <si>
    <t>PED-100168</t>
  </si>
  <si>
    <t>PED-100169</t>
  </si>
  <si>
    <t>PED-100170</t>
  </si>
  <si>
    <t>Cliente 103</t>
  </si>
  <si>
    <t>PED-100171</t>
  </si>
  <si>
    <t>PED-100172</t>
  </si>
  <si>
    <t>PED-100173</t>
  </si>
  <si>
    <t>PED-100174</t>
  </si>
  <si>
    <t>PED-100175</t>
  </si>
  <si>
    <t>PED-100176</t>
  </si>
  <si>
    <t>PED-100177</t>
  </si>
  <si>
    <t>PED-100178</t>
  </si>
  <si>
    <t>PED-100179</t>
  </si>
  <si>
    <t>PED-100180</t>
  </si>
  <si>
    <t>PED-100181</t>
  </si>
  <si>
    <t>PED-100182</t>
  </si>
  <si>
    <t>Cliente 031</t>
  </si>
  <si>
    <t>PED-100183</t>
  </si>
  <si>
    <t>PED-100184</t>
  </si>
  <si>
    <t>PED-100185</t>
  </si>
  <si>
    <t>PED-100186</t>
  </si>
  <si>
    <t>PED-100187</t>
  </si>
  <si>
    <t>PED-100188</t>
  </si>
  <si>
    <t>Cliente 005</t>
  </si>
  <si>
    <t>PED-100189</t>
  </si>
  <si>
    <t>Cliente 024</t>
  </si>
  <si>
    <t>PED-100190</t>
  </si>
  <si>
    <t>PED-100191</t>
  </si>
  <si>
    <t>PED-100192</t>
  </si>
  <si>
    <t>PED-100193</t>
  </si>
  <si>
    <t>PED-100194</t>
  </si>
  <si>
    <t>PED-100195</t>
  </si>
  <si>
    <t>PED-100196</t>
  </si>
  <si>
    <t>PED-100197</t>
  </si>
  <si>
    <t>PED-100198</t>
  </si>
  <si>
    <t>PED-100199</t>
  </si>
  <si>
    <t>PED-100200</t>
  </si>
  <si>
    <t>Cliente 098</t>
  </si>
  <si>
    <t>PED-100201</t>
  </si>
  <si>
    <t>PED-100202</t>
  </si>
  <si>
    <t>PED-100203</t>
  </si>
  <si>
    <t>PED-100204</t>
  </si>
  <si>
    <t>Cliente 067</t>
  </si>
  <si>
    <t>PED-100205</t>
  </si>
  <si>
    <t>PED-100206</t>
  </si>
  <si>
    <t>Cliente 102</t>
  </si>
  <si>
    <t>PED-100207</t>
  </si>
  <si>
    <t>PED-100208</t>
  </si>
  <si>
    <t>Cliente 045</t>
  </si>
  <si>
    <t>PED-100209</t>
  </si>
  <si>
    <t>PED-100210</t>
  </si>
  <si>
    <t>Cliente 085</t>
  </si>
  <si>
    <t>PED-100211</t>
  </si>
  <si>
    <t>Cliente 019</t>
  </si>
  <si>
    <t>PED-100212</t>
  </si>
  <si>
    <t>Custo revisado após fechamento</t>
  </si>
  <si>
    <t>PED-100213</t>
  </si>
  <si>
    <t>PED-100214</t>
  </si>
  <si>
    <t>PED-100215</t>
  </si>
  <si>
    <t>Cliente 059</t>
  </si>
  <si>
    <t>PED-100216</t>
  </si>
  <si>
    <t>PED-100217</t>
  </si>
  <si>
    <t>PED-100218</t>
  </si>
  <si>
    <t>PED-100219</t>
  </si>
  <si>
    <t>PED-100220</t>
  </si>
  <si>
    <t>PED-100221</t>
  </si>
  <si>
    <t>PED-100222</t>
  </si>
  <si>
    <t>PED-100223</t>
  </si>
  <si>
    <t>Cliente 079</t>
  </si>
  <si>
    <t>PED-100224</t>
  </si>
  <si>
    <t>PED-100225</t>
  </si>
  <si>
    <t>PED-100226</t>
  </si>
  <si>
    <t>PED-100227</t>
  </si>
  <si>
    <t>PED-100228</t>
  </si>
  <si>
    <t>PED-100229</t>
  </si>
  <si>
    <t>PED-100230</t>
  </si>
  <si>
    <t>PED-100231</t>
  </si>
  <si>
    <t>PED-100232</t>
  </si>
  <si>
    <t>PED-100233</t>
  </si>
  <si>
    <t>PED-100234</t>
  </si>
  <si>
    <t>PED-100235</t>
  </si>
  <si>
    <t>PED-100236</t>
  </si>
  <si>
    <t>PED-100237</t>
  </si>
  <si>
    <t>PED-100238</t>
  </si>
  <si>
    <t>PED-100239</t>
  </si>
  <si>
    <t>Cliente 069</t>
  </si>
  <si>
    <t>PED-100240</t>
  </si>
  <si>
    <t>PED-100241</t>
  </si>
  <si>
    <t>PED-100242</t>
  </si>
  <si>
    <t>PED-100243</t>
  </si>
  <si>
    <t>PED-100244</t>
  </si>
  <si>
    <t>PED-100245</t>
  </si>
  <si>
    <t>PED-100246</t>
  </si>
  <si>
    <t>PED-100247</t>
  </si>
  <si>
    <t>PED-100248</t>
  </si>
  <si>
    <t>Cliente 071</t>
  </si>
  <si>
    <t>PED-100249</t>
  </si>
  <si>
    <t>PED-100250</t>
  </si>
  <si>
    <t>PED-100251</t>
  </si>
  <si>
    <t>PED-100252</t>
  </si>
  <si>
    <t>Cliente 113</t>
  </si>
  <si>
    <t>PED-100253</t>
  </si>
  <si>
    <t>PED-100254</t>
  </si>
  <si>
    <t>PED-100255</t>
  </si>
  <si>
    <t>PED-100256</t>
  </si>
  <si>
    <t>PED-100257</t>
  </si>
  <si>
    <t>PED-100258</t>
  </si>
  <si>
    <t>PED-100259</t>
  </si>
  <si>
    <t>PED-100260</t>
  </si>
  <si>
    <t>PED-100261</t>
  </si>
  <si>
    <t>PED-100262</t>
  </si>
  <si>
    <t>PED-100263</t>
  </si>
  <si>
    <t>PED-100264</t>
  </si>
  <si>
    <t>PED-100265</t>
  </si>
  <si>
    <t>Cliente 015</t>
  </si>
  <si>
    <t>PED-100266</t>
  </si>
  <si>
    <t>PED-100267</t>
  </si>
  <si>
    <t>PED-100268</t>
  </si>
  <si>
    <t>PED-100269</t>
  </si>
  <si>
    <t>PED-100270</t>
  </si>
  <si>
    <t>PED-100271</t>
  </si>
  <si>
    <t>PED-100272</t>
  </si>
  <si>
    <t>PED-100273</t>
  </si>
  <si>
    <t>Cliente 053</t>
  </si>
  <si>
    <t>PED-100274</t>
  </si>
  <si>
    <t>PED-100275</t>
  </si>
  <si>
    <t>PED-100276</t>
  </si>
  <si>
    <t>PED-100277</t>
  </si>
  <si>
    <t>PED-100278</t>
  </si>
  <si>
    <t>PED-100279</t>
  </si>
  <si>
    <t>PED-100280</t>
  </si>
  <si>
    <t>Cliente 014</t>
  </si>
  <si>
    <t>PED-100281</t>
  </si>
  <si>
    <t>Cliente 052</t>
  </si>
  <si>
    <t>PED-100282</t>
  </si>
  <si>
    <t>PED-100283</t>
  </si>
  <si>
    <t>PED-100284</t>
  </si>
  <si>
    <t>PED-100285</t>
  </si>
  <si>
    <t>PED-100286</t>
  </si>
  <si>
    <t>PED-100287</t>
  </si>
  <si>
    <t>PED-100288</t>
  </si>
  <si>
    <t>PED-100289</t>
  </si>
  <si>
    <t>PED-100290</t>
  </si>
  <si>
    <t>Cliente 057</t>
  </si>
  <si>
    <t>PED-100291</t>
  </si>
  <si>
    <t>PED-100292</t>
  </si>
  <si>
    <t>PED-100293</t>
  </si>
  <si>
    <t>Cliente 041</t>
  </si>
  <si>
    <t>PED-100294</t>
  </si>
  <si>
    <t>PED-100295</t>
  </si>
  <si>
    <t>PED-100296</t>
  </si>
  <si>
    <t>PED-100297</t>
  </si>
  <si>
    <t>PED-100298</t>
  </si>
  <si>
    <t>PED-100299</t>
  </si>
  <si>
    <t>PED-100300</t>
  </si>
  <si>
    <t>PED-100301</t>
  </si>
  <si>
    <t>PED-100302</t>
  </si>
  <si>
    <t>PED-100303</t>
  </si>
  <si>
    <t>PED-100304</t>
  </si>
  <si>
    <t>PED-100305</t>
  </si>
  <si>
    <t>PED-100306</t>
  </si>
  <si>
    <t>PED-100307</t>
  </si>
  <si>
    <t>PED-100308</t>
  </si>
  <si>
    <t>PED-100309</t>
  </si>
  <si>
    <t>PED-100310</t>
  </si>
  <si>
    <t>PED-100311</t>
  </si>
  <si>
    <t>PED-100312</t>
  </si>
  <si>
    <t>Cliente 088</t>
  </si>
  <si>
    <t>PED-100313</t>
  </si>
  <si>
    <t>PED-100314</t>
  </si>
  <si>
    <t>PED-100315</t>
  </si>
  <si>
    <t>PED-100316</t>
  </si>
  <si>
    <t>PED-100317</t>
  </si>
  <si>
    <t>PED-100318</t>
  </si>
  <si>
    <t>PED-100319</t>
  </si>
  <si>
    <t>PED-100320</t>
  </si>
  <si>
    <t>PED-100321</t>
  </si>
  <si>
    <t>PED-100322</t>
  </si>
  <si>
    <t>PED-100323</t>
  </si>
  <si>
    <t>PED-100324</t>
  </si>
  <si>
    <t>PED-100325</t>
  </si>
  <si>
    <t>Cliente 004</t>
  </si>
  <si>
    <t>PED-100326</t>
  </si>
  <si>
    <t>PED-100327</t>
  </si>
  <si>
    <t>PED-100328</t>
  </si>
  <si>
    <t>PED-100329</t>
  </si>
  <si>
    <t>PED-100330</t>
  </si>
  <si>
    <t>Cliente 073</t>
  </si>
  <si>
    <t>PED-100331</t>
  </si>
  <si>
    <t>PED-100332</t>
  </si>
  <si>
    <t>Cliente 068</t>
  </si>
  <si>
    <t>PED-100333</t>
  </si>
  <si>
    <t>Cliente 017</t>
  </si>
  <si>
    <t>PED-100334</t>
  </si>
  <si>
    <t>Cliente 023</t>
  </si>
  <si>
    <t>PED-100335</t>
  </si>
  <si>
    <t>PED-100336</t>
  </si>
  <si>
    <t>PED-100337</t>
  </si>
  <si>
    <t>PED-100338</t>
  </si>
  <si>
    <t>PED-100339</t>
  </si>
  <si>
    <t>PED-100340</t>
  </si>
  <si>
    <t>PED-100341</t>
  </si>
  <si>
    <t>PED-100342</t>
  </si>
  <si>
    <t>PED-100343</t>
  </si>
  <si>
    <t>PED-100344</t>
  </si>
  <si>
    <t>PED-100345</t>
  </si>
  <si>
    <t>PED-100346</t>
  </si>
  <si>
    <t>PED-100347</t>
  </si>
  <si>
    <t>PED-100348</t>
  </si>
  <si>
    <t>PED-100349</t>
  </si>
  <si>
    <t>PED-100350</t>
  </si>
  <si>
    <t>PED-100351</t>
  </si>
  <si>
    <t>PED-100352</t>
  </si>
  <si>
    <t>PED-100353</t>
  </si>
  <si>
    <t>PED-100354</t>
  </si>
  <si>
    <t>PED-100355</t>
  </si>
  <si>
    <t>PED-100356</t>
  </si>
  <si>
    <t>PED-100357</t>
  </si>
  <si>
    <t>PED-100358</t>
  </si>
  <si>
    <t>PED-100359</t>
  </si>
  <si>
    <t>PED-100360</t>
  </si>
  <si>
    <t>PED-100361</t>
  </si>
  <si>
    <t>PED-100362</t>
  </si>
  <si>
    <t>PED-100363</t>
  </si>
  <si>
    <t>PED-100364</t>
  </si>
  <si>
    <t>PED-100365</t>
  </si>
  <si>
    <t>PED-100366</t>
  </si>
  <si>
    <t>Cliente 026</t>
  </si>
  <si>
    <t>PED-100367</t>
  </si>
  <si>
    <t>PED-100368</t>
  </si>
  <si>
    <t>PED-100369</t>
  </si>
  <si>
    <t>PED-100370</t>
  </si>
  <si>
    <t>PED-100371</t>
  </si>
  <si>
    <t>PED-100372</t>
  </si>
  <si>
    <t>PED-100373</t>
  </si>
  <si>
    <t>PED-100374</t>
  </si>
  <si>
    <t>PED-100375</t>
  </si>
  <si>
    <t>PED-100376</t>
  </si>
  <si>
    <t>PED-100377</t>
  </si>
  <si>
    <t>PED-100378</t>
  </si>
  <si>
    <t>PED-100379</t>
  </si>
  <si>
    <t>PED-100380</t>
  </si>
  <si>
    <t>PED-100381</t>
  </si>
  <si>
    <t>PED-100382</t>
  </si>
  <si>
    <t>PED-100383</t>
  </si>
  <si>
    <t>PED-100384</t>
  </si>
  <si>
    <t>PED-100385</t>
  </si>
  <si>
    <t>PED-100386</t>
  </si>
  <si>
    <t>PED-100387</t>
  </si>
  <si>
    <t>PED-100388</t>
  </si>
  <si>
    <t>PED-100389</t>
  </si>
  <si>
    <t>PED-100390</t>
  </si>
  <si>
    <t>PED-100391</t>
  </si>
  <si>
    <t>PED-100392</t>
  </si>
  <si>
    <t>PED-100393</t>
  </si>
  <si>
    <t>PED-100394</t>
  </si>
  <si>
    <t>PED-100395</t>
  </si>
  <si>
    <t>Cliente 022</t>
  </si>
  <si>
    <t>PED-100396</t>
  </si>
  <si>
    <t>PED-100397</t>
  </si>
  <si>
    <t>PED-100398</t>
  </si>
  <si>
    <t>PED-100399</t>
  </si>
  <si>
    <t>PED-100400</t>
  </si>
  <si>
    <t>PED-100401</t>
  </si>
  <si>
    <t>PED-100402</t>
  </si>
  <si>
    <t>PED-100403</t>
  </si>
  <si>
    <t>PED-100404</t>
  </si>
  <si>
    <t>PED-100405</t>
  </si>
  <si>
    <t>PED-100406</t>
  </si>
  <si>
    <t>PED-100407</t>
  </si>
  <si>
    <t>PED-100408</t>
  </si>
  <si>
    <t>PED-100409</t>
  </si>
  <si>
    <t>PED-100410</t>
  </si>
  <si>
    <t>Cliente 084</t>
  </si>
  <si>
    <t>PED-100411</t>
  </si>
  <si>
    <t>PED-100412</t>
  </si>
  <si>
    <t>Cliente 120</t>
  </si>
  <si>
    <t>PED-100413</t>
  </si>
  <si>
    <t>PED-100414</t>
  </si>
  <si>
    <t>PED-100415</t>
  </si>
  <si>
    <t>PED-100416</t>
  </si>
  <si>
    <t>PED-100417</t>
  </si>
  <si>
    <t>PED-100418</t>
  </si>
  <si>
    <t>PED-100419</t>
  </si>
  <si>
    <t>PED-100420</t>
  </si>
  <si>
    <t>PED-100421</t>
  </si>
  <si>
    <t>PED-100422</t>
  </si>
  <si>
    <t>PED-100423</t>
  </si>
  <si>
    <t>PED-100424</t>
  </si>
  <si>
    <t>PED-100425</t>
  </si>
  <si>
    <t>PED-100426</t>
  </si>
  <si>
    <t>PED-100427</t>
  </si>
  <si>
    <t>PED-100428</t>
  </si>
  <si>
    <t>PED-100429</t>
  </si>
  <si>
    <t>PED-100430</t>
  </si>
  <si>
    <t>PED-100431</t>
  </si>
  <si>
    <t>PED-100432</t>
  </si>
  <si>
    <t>PED-100433</t>
  </si>
  <si>
    <t>PED-100434</t>
  </si>
  <si>
    <t>PED-100435</t>
  </si>
  <si>
    <t>PED-100436</t>
  </si>
  <si>
    <t>PED-100437</t>
  </si>
  <si>
    <t>PED-100438</t>
  </si>
  <si>
    <t>PED-100439</t>
  </si>
  <si>
    <t>PED-100440</t>
  </si>
  <si>
    <t>PED-100441</t>
  </si>
  <si>
    <t>PED-100443</t>
  </si>
  <si>
    <t>PED-100444</t>
  </si>
  <si>
    <t>PED-100445</t>
  </si>
  <si>
    <t>PED-100446</t>
  </si>
  <si>
    <t>PED-100447</t>
  </si>
  <si>
    <t>PED-100448</t>
  </si>
  <si>
    <t>PED-100449</t>
  </si>
  <si>
    <t>PED-100450</t>
  </si>
  <si>
    <t>PED-100451</t>
  </si>
  <si>
    <t>PED-100452</t>
  </si>
  <si>
    <t>PED-100453</t>
  </si>
  <si>
    <t>PED-100454</t>
  </si>
  <si>
    <t>PED-100455</t>
  </si>
  <si>
    <t>PED-100456</t>
  </si>
  <si>
    <t>PED-100457</t>
  </si>
  <si>
    <t>PED-100458</t>
  </si>
  <si>
    <t>PED-100459</t>
  </si>
  <si>
    <t>PED-100460</t>
  </si>
  <si>
    <t>PED-100461</t>
  </si>
  <si>
    <t>PED-100462</t>
  </si>
  <si>
    <t>PED-100463</t>
  </si>
  <si>
    <t>PED-100464</t>
  </si>
  <si>
    <t>PED-100465</t>
  </si>
  <si>
    <t>PED-100466</t>
  </si>
  <si>
    <t>PED-100467</t>
  </si>
  <si>
    <t>PED-100468</t>
  </si>
  <si>
    <t>PED-100469</t>
  </si>
  <si>
    <t>PED-100470</t>
  </si>
  <si>
    <t>PED-100471</t>
  </si>
  <si>
    <t>PED-100472</t>
  </si>
  <si>
    <t>PED-100473</t>
  </si>
  <si>
    <t>PED-100474</t>
  </si>
  <si>
    <t>PED-100475</t>
  </si>
  <si>
    <t>PED-100476</t>
  </si>
  <si>
    <t>PED-100477</t>
  </si>
  <si>
    <t>PED-100478</t>
  </si>
  <si>
    <t>PED-100479</t>
  </si>
  <si>
    <t>PED-100480</t>
  </si>
  <si>
    <t>PED-100481</t>
  </si>
  <si>
    <t>PED-100482</t>
  </si>
  <si>
    <t>PED-100483</t>
  </si>
  <si>
    <t>PED-100484</t>
  </si>
  <si>
    <t>PED-100485</t>
  </si>
  <si>
    <t>PED-100486</t>
  </si>
  <si>
    <t>PED-100487</t>
  </si>
  <si>
    <t>PED-100488</t>
  </si>
  <si>
    <t>PED-100489</t>
  </si>
  <si>
    <t>PED-100490</t>
  </si>
  <si>
    <t>Cliente 033</t>
  </si>
  <si>
    <t>PED-100491</t>
  </si>
  <si>
    <t>PED-100492</t>
  </si>
  <si>
    <t>PED-100493</t>
  </si>
  <si>
    <t>PED-100494</t>
  </si>
  <si>
    <t>PED-100495</t>
  </si>
  <si>
    <t>PED-100496</t>
  </si>
  <si>
    <t>PED-100497</t>
  </si>
  <si>
    <t>PED-100498</t>
  </si>
  <si>
    <t>PED-100499</t>
  </si>
  <si>
    <t>PED-100500</t>
  </si>
  <si>
    <t>PED-100501</t>
  </si>
  <si>
    <t>PED-100502</t>
  </si>
  <si>
    <t>PED-100503</t>
  </si>
  <si>
    <t>PED-100504</t>
  </si>
  <si>
    <t>PED-100505</t>
  </si>
  <si>
    <t>PED-100506</t>
  </si>
  <si>
    <t>PED-100507</t>
  </si>
  <si>
    <t>PED-100508</t>
  </si>
  <si>
    <t>PED-100509</t>
  </si>
  <si>
    <t>PED-100510</t>
  </si>
  <si>
    <t>PED-100511</t>
  </si>
  <si>
    <t>PED-100512</t>
  </si>
  <si>
    <t>PED-100513</t>
  </si>
  <si>
    <t>PED-100514</t>
  </si>
  <si>
    <t>PED-100515</t>
  </si>
  <si>
    <t>PED-100516</t>
  </si>
  <si>
    <t>PED-100517</t>
  </si>
  <si>
    <t>PED-100518</t>
  </si>
  <si>
    <t>PED-100519</t>
  </si>
  <si>
    <t>PED-100520</t>
  </si>
  <si>
    <t>PED-100521</t>
  </si>
  <si>
    <t>PED-100522</t>
  </si>
  <si>
    <t>PED-100523</t>
  </si>
  <si>
    <t>PED-100524</t>
  </si>
  <si>
    <t>PED-100525</t>
  </si>
  <si>
    <t>PED-100526</t>
  </si>
  <si>
    <t>PED-100527</t>
  </si>
  <si>
    <t>PED-100528</t>
  </si>
  <si>
    <t>PED-100529</t>
  </si>
  <si>
    <t>PED-100530</t>
  </si>
  <si>
    <t>PED-100531</t>
  </si>
  <si>
    <t>PED-100532</t>
  </si>
  <si>
    <t>PED-100533</t>
  </si>
  <si>
    <t>PED-100534</t>
  </si>
  <si>
    <t>PED-100535</t>
  </si>
  <si>
    <t>PED-100536</t>
  </si>
  <si>
    <t>PED-100537</t>
  </si>
  <si>
    <t>PED-100538</t>
  </si>
  <si>
    <t>PED-100539</t>
  </si>
  <si>
    <t>PED-100540</t>
  </si>
  <si>
    <t>PED-100541</t>
  </si>
  <si>
    <t>PED-100542</t>
  </si>
  <si>
    <t>PED-100543</t>
  </si>
  <si>
    <t>PED-100544</t>
  </si>
  <si>
    <t>PED-100545</t>
  </si>
  <si>
    <t>PED-100546</t>
  </si>
  <si>
    <t>PED-100547</t>
  </si>
  <si>
    <t>PED-100548</t>
  </si>
  <si>
    <t>PED-100549</t>
  </si>
  <si>
    <t>PED-100550</t>
  </si>
  <si>
    <t>PED-100551</t>
  </si>
  <si>
    <t>PED-100552</t>
  </si>
  <si>
    <t>PED-100553</t>
  </si>
  <si>
    <t>PED-100554</t>
  </si>
  <si>
    <t>PED-100555</t>
  </si>
  <si>
    <t>PED-100556</t>
  </si>
  <si>
    <t>PED-100557</t>
  </si>
  <si>
    <t>PED-100558</t>
  </si>
  <si>
    <t>PED-100559</t>
  </si>
  <si>
    <t>PED-100560</t>
  </si>
  <si>
    <t>PED-100561</t>
  </si>
  <si>
    <t>PED-100562</t>
  </si>
  <si>
    <t>PED-100563</t>
  </si>
  <si>
    <t>PED-100564</t>
  </si>
  <si>
    <t>PED-100565</t>
  </si>
  <si>
    <t>PED-100566</t>
  </si>
  <si>
    <t>PED-100567</t>
  </si>
  <si>
    <t>PED-100568</t>
  </si>
  <si>
    <t>PED-100569</t>
  </si>
  <si>
    <t>PED-100570</t>
  </si>
  <si>
    <t>PED-100571</t>
  </si>
  <si>
    <t>PED-100572</t>
  </si>
  <si>
    <t>PED-100573</t>
  </si>
  <si>
    <t>PED-100574</t>
  </si>
  <si>
    <t>PED-100575</t>
  </si>
  <si>
    <t>PED-100576</t>
  </si>
  <si>
    <t>PED-100577</t>
  </si>
  <si>
    <t>PED-100578</t>
  </si>
  <si>
    <t>PED-100579</t>
  </si>
  <si>
    <t>PED-100580</t>
  </si>
  <si>
    <t>PED-100581</t>
  </si>
  <si>
    <t>PED-100582</t>
  </si>
  <si>
    <t>PED-100583</t>
  </si>
  <si>
    <t>PED-100584</t>
  </si>
  <si>
    <t>PED-100585</t>
  </si>
  <si>
    <t>PED-100586</t>
  </si>
  <si>
    <t>PED-100587</t>
  </si>
  <si>
    <t>PED-100588</t>
  </si>
  <si>
    <t>PED-100589</t>
  </si>
  <si>
    <t>PED-100590</t>
  </si>
  <si>
    <t>PED-100591</t>
  </si>
  <si>
    <t>PED-100592</t>
  </si>
  <si>
    <t>PED-100593</t>
  </si>
  <si>
    <t>PED-100594</t>
  </si>
  <si>
    <t>PED-100595</t>
  </si>
  <si>
    <t>PED-100596</t>
  </si>
  <si>
    <t>PED-100597</t>
  </si>
  <si>
    <t>PED-100598</t>
  </si>
  <si>
    <t>PED-100599</t>
  </si>
  <si>
    <t>PED-100600</t>
  </si>
  <si>
    <t>PED-100601</t>
  </si>
  <si>
    <t>PED-100602</t>
  </si>
  <si>
    <t>PED-100603</t>
  </si>
  <si>
    <t>PED-100604</t>
  </si>
  <si>
    <t>PED-100605</t>
  </si>
  <si>
    <t>PED-100606</t>
  </si>
  <si>
    <t>PED-100607</t>
  </si>
  <si>
    <t>PED-100608</t>
  </si>
  <si>
    <t>PED-100609</t>
  </si>
  <si>
    <t>PED-100610</t>
  </si>
  <si>
    <t>PED-100611</t>
  </si>
  <si>
    <t>PED-100612</t>
  </si>
  <si>
    <t>PED-100613</t>
  </si>
  <si>
    <t>PED-100614</t>
  </si>
  <si>
    <t>PED-100615</t>
  </si>
  <si>
    <t>PED-100616</t>
  </si>
  <si>
    <t>PED-100617</t>
  </si>
  <si>
    <t>PED-100618</t>
  </si>
  <si>
    <t>PED-100619</t>
  </si>
  <si>
    <t>PED-100620</t>
  </si>
  <si>
    <t>PED-100621</t>
  </si>
  <si>
    <t>PED-100622</t>
  </si>
  <si>
    <t>PED-100623</t>
  </si>
  <si>
    <t>PED-100624</t>
  </si>
  <si>
    <t>PED-100625</t>
  </si>
  <si>
    <t>PED-100626</t>
  </si>
  <si>
    <t>PED-100627</t>
  </si>
  <si>
    <t>PED-100628</t>
  </si>
  <si>
    <t>PED-100629</t>
  </si>
  <si>
    <t>PED-100630</t>
  </si>
  <si>
    <t>PED-100631</t>
  </si>
  <si>
    <t>PED-100632</t>
  </si>
  <si>
    <t>PED-100633</t>
  </si>
  <si>
    <t>PED-100634</t>
  </si>
  <si>
    <t>PED-100635</t>
  </si>
  <si>
    <t>PED-100636</t>
  </si>
  <si>
    <t>PED-100637</t>
  </si>
  <si>
    <t>PED-100638</t>
  </si>
  <si>
    <t>PED-100639</t>
  </si>
  <si>
    <t>PED-100640</t>
  </si>
  <si>
    <t>PED-100641</t>
  </si>
  <si>
    <t>PED-100642</t>
  </si>
  <si>
    <t>PED-100643</t>
  </si>
  <si>
    <t>PED-100644</t>
  </si>
  <si>
    <t>PED-100645</t>
  </si>
  <si>
    <t>PED-100646</t>
  </si>
  <si>
    <t>PED-100647</t>
  </si>
  <si>
    <t>PED-100648</t>
  </si>
  <si>
    <t>PED-100649</t>
  </si>
  <si>
    <t>PED-100650</t>
  </si>
  <si>
    <t>PED-100651</t>
  </si>
  <si>
    <t>PED-100652</t>
  </si>
  <si>
    <t>PED-100653</t>
  </si>
  <si>
    <t>PED-100654</t>
  </si>
  <si>
    <t>PED-100655</t>
  </si>
  <si>
    <t>PED-100656</t>
  </si>
  <si>
    <t>PED-100657</t>
  </si>
  <si>
    <t>PED-100658</t>
  </si>
  <si>
    <t>PED-100659</t>
  </si>
  <si>
    <t>PED-100660</t>
  </si>
  <si>
    <t>PED-100661</t>
  </si>
  <si>
    <t>PED-100662</t>
  </si>
  <si>
    <t>PED-100663</t>
  </si>
  <si>
    <t>PED-100664</t>
  </si>
  <si>
    <t>PED-100665</t>
  </si>
  <si>
    <t>PED-100666</t>
  </si>
  <si>
    <t>PED-100667</t>
  </si>
  <si>
    <t>PED-100668</t>
  </si>
  <si>
    <t>PED-100669</t>
  </si>
  <si>
    <t>PED-100670</t>
  </si>
  <si>
    <t>PED-100671</t>
  </si>
  <si>
    <t>PED-100672</t>
  </si>
  <si>
    <t>PED-100673</t>
  </si>
  <si>
    <t>PED-100674</t>
  </si>
  <si>
    <t>PED-100675</t>
  </si>
  <si>
    <t>PED-100676</t>
  </si>
  <si>
    <t>PED-100677</t>
  </si>
  <si>
    <t>PED-100678</t>
  </si>
  <si>
    <t>PED-100679</t>
  </si>
  <si>
    <t>PED-100680</t>
  </si>
  <si>
    <t>PED-100681</t>
  </si>
  <si>
    <t>PED-100682</t>
  </si>
  <si>
    <t>PED-100683</t>
  </si>
  <si>
    <t>PED-100684</t>
  </si>
  <si>
    <t>PED-100685</t>
  </si>
  <si>
    <t>PED-100686</t>
  </si>
  <si>
    <t>PED-100687</t>
  </si>
  <si>
    <t>PED-100688</t>
  </si>
  <si>
    <t>PED-100689</t>
  </si>
  <si>
    <t>PED-100690</t>
  </si>
  <si>
    <t>PED-100691</t>
  </si>
  <si>
    <t>PED-100692</t>
  </si>
  <si>
    <t>PED-100693</t>
  </si>
  <si>
    <t>PED-100694</t>
  </si>
  <si>
    <t>PED-100695</t>
  </si>
  <si>
    <t>PED-100696</t>
  </si>
  <si>
    <t>PED-100697</t>
  </si>
  <si>
    <t>PED-100698</t>
  </si>
  <si>
    <t>PED-100699</t>
  </si>
  <si>
    <t>PED-100700</t>
  </si>
  <si>
    <t>PED-100701</t>
  </si>
  <si>
    <t>PED-100702</t>
  </si>
  <si>
    <t>PED-100703</t>
  </si>
  <si>
    <t>PED-100704</t>
  </si>
  <si>
    <t>PED-100705</t>
  </si>
  <si>
    <t>PED-100706</t>
  </si>
  <si>
    <t>PED-100707</t>
  </si>
  <si>
    <t>PED-100708</t>
  </si>
  <si>
    <t>PED-100709</t>
  </si>
  <si>
    <t>PED-100710</t>
  </si>
  <si>
    <t>PED-100711</t>
  </si>
  <si>
    <t>PED-100712</t>
  </si>
  <si>
    <t>PED-100713</t>
  </si>
  <si>
    <t>PED-100714</t>
  </si>
  <si>
    <t>PED-100715</t>
  </si>
  <si>
    <t>PED-100716</t>
  </si>
  <si>
    <t>PED-100717</t>
  </si>
  <si>
    <t>PED-100718</t>
  </si>
  <si>
    <t>PED-100719</t>
  </si>
  <si>
    <t>PED-100720</t>
  </si>
  <si>
    <t>PED-100721</t>
  </si>
  <si>
    <t>PED-100722</t>
  </si>
  <si>
    <t>PED-100723</t>
  </si>
  <si>
    <t>PED-100724</t>
  </si>
  <si>
    <t>PED-100725</t>
  </si>
  <si>
    <t>PED-100726</t>
  </si>
  <si>
    <t>PED-100727</t>
  </si>
  <si>
    <t>PED-100728</t>
  </si>
  <si>
    <t>PED-100729</t>
  </si>
  <si>
    <t>PED-100730</t>
  </si>
  <si>
    <t>PED-100731</t>
  </si>
  <si>
    <t>PED-100732</t>
  </si>
  <si>
    <t>PED-100733</t>
  </si>
  <si>
    <t>PED-100734</t>
  </si>
  <si>
    <t>PED-100735</t>
  </si>
  <si>
    <t>PED-100736</t>
  </si>
  <si>
    <t>PED-100737</t>
  </si>
  <si>
    <t>PED-100738</t>
  </si>
  <si>
    <t>PED-100739</t>
  </si>
  <si>
    <t>PED-100740</t>
  </si>
  <si>
    <t>PED-100741</t>
  </si>
  <si>
    <t>PED-100742</t>
  </si>
  <si>
    <t>PED-100743</t>
  </si>
  <si>
    <t>PED-100744</t>
  </si>
  <si>
    <t>PED-100745</t>
  </si>
  <si>
    <t>PED-100746</t>
  </si>
  <si>
    <t>PED-100747</t>
  </si>
  <si>
    <t>PED-100748</t>
  </si>
  <si>
    <t>PED-100749</t>
  </si>
  <si>
    <t>PED-100750</t>
  </si>
  <si>
    <t>PED-100751</t>
  </si>
  <si>
    <t>PED-100752</t>
  </si>
  <si>
    <t>PED-100753</t>
  </si>
  <si>
    <t>PED-100754</t>
  </si>
  <si>
    <t>PED-100755</t>
  </si>
  <si>
    <t>PED-100756</t>
  </si>
  <si>
    <t>PED-100757</t>
  </si>
  <si>
    <t>PED-100758</t>
  </si>
  <si>
    <t>PED-100759</t>
  </si>
  <si>
    <t>PED-100760</t>
  </si>
  <si>
    <t>PED-100761</t>
  </si>
  <si>
    <t>PED-100762</t>
  </si>
  <si>
    <t>PED-100763</t>
  </si>
  <si>
    <t>PED-100764</t>
  </si>
  <si>
    <t>PED-100765</t>
  </si>
  <si>
    <t>PED-100766</t>
  </si>
  <si>
    <t>PED-100767</t>
  </si>
  <si>
    <t>PED-100768</t>
  </si>
  <si>
    <t>PED-100769</t>
  </si>
  <si>
    <t>PED-100770</t>
  </si>
  <si>
    <t>PED-100771</t>
  </si>
  <si>
    <t>PED-100772</t>
  </si>
  <si>
    <t>PED-100773</t>
  </si>
  <si>
    <t>PED-100774</t>
  </si>
  <si>
    <t>PED-100775</t>
  </si>
  <si>
    <t>PED-100776</t>
  </si>
  <si>
    <t>PED-100777</t>
  </si>
  <si>
    <t>PED-100778</t>
  </si>
  <si>
    <t>PED-100779</t>
  </si>
  <si>
    <t>PED-100780</t>
  </si>
  <si>
    <t>PED-100781</t>
  </si>
  <si>
    <t>PED-100782</t>
  </si>
  <si>
    <t>PED-100783</t>
  </si>
  <si>
    <t>PED-100784</t>
  </si>
  <si>
    <t>PED-100785</t>
  </si>
  <si>
    <t>PED-100786</t>
  </si>
  <si>
    <t>PED-100787</t>
  </si>
  <si>
    <t>PED-100788</t>
  </si>
  <si>
    <t>PED-100789</t>
  </si>
  <si>
    <t>PED-100790</t>
  </si>
  <si>
    <t>PED-100791</t>
  </si>
  <si>
    <t>PED-100792</t>
  </si>
  <si>
    <t>PED-100793</t>
  </si>
  <si>
    <t>PED-100794</t>
  </si>
  <si>
    <t>PED-100795</t>
  </si>
  <si>
    <t>PED-100796</t>
  </si>
  <si>
    <t>PED-100797</t>
  </si>
  <si>
    <t>PED-100798</t>
  </si>
  <si>
    <t>PED-100799</t>
  </si>
  <si>
    <t>PED-100800</t>
  </si>
  <si>
    <t>PED-100801</t>
  </si>
  <si>
    <t>PED-100802</t>
  </si>
  <si>
    <t>PED-100803</t>
  </si>
  <si>
    <t>PED-100804</t>
  </si>
  <si>
    <t>PED-100805</t>
  </si>
  <si>
    <t>PED-100806</t>
  </si>
  <si>
    <t>PED-100807</t>
  </si>
  <si>
    <t>PED-100808</t>
  </si>
  <si>
    <t>PED-100809</t>
  </si>
  <si>
    <t>PED-100810</t>
  </si>
  <si>
    <t>PED-100811</t>
  </si>
  <si>
    <t>PED-100812</t>
  </si>
  <si>
    <t>PED-100813</t>
  </si>
  <si>
    <t>PED-100814</t>
  </si>
  <si>
    <t>PED-100815</t>
  </si>
  <si>
    <t>PED-100816</t>
  </si>
  <si>
    <t>PED-100817</t>
  </si>
  <si>
    <t>PED-100818</t>
  </si>
  <si>
    <t>PED-100819</t>
  </si>
  <si>
    <t>PED-100820</t>
  </si>
  <si>
    <t>PED-100821</t>
  </si>
  <si>
    <t>PED-100822</t>
  </si>
  <si>
    <t>PED-100824</t>
  </si>
  <si>
    <t>PED-100825</t>
  </si>
  <si>
    <t>PED-100826</t>
  </si>
  <si>
    <t>PED-100827</t>
  </si>
  <si>
    <t>PED-100828</t>
  </si>
  <si>
    <t>PED-100829</t>
  </si>
  <si>
    <t>PED-100830</t>
  </si>
  <si>
    <t>PED-100831</t>
  </si>
  <si>
    <t>PED-100832</t>
  </si>
  <si>
    <t>PED-100833</t>
  </si>
  <si>
    <t>PED-100834</t>
  </si>
  <si>
    <t>PED-100835</t>
  </si>
  <si>
    <t>PED-100836</t>
  </si>
  <si>
    <t>PED-100837</t>
  </si>
  <si>
    <t>PED-100838</t>
  </si>
  <si>
    <t>PED-100839</t>
  </si>
  <si>
    <t>PED-100840</t>
  </si>
  <si>
    <t>PED-100841</t>
  </si>
  <si>
    <t>PED-100842</t>
  </si>
  <si>
    <t>PED-100843</t>
  </si>
  <si>
    <t>PED-100844</t>
  </si>
  <si>
    <t>PED-100845</t>
  </si>
  <si>
    <t>PED-100846</t>
  </si>
  <si>
    <t>PED-100847</t>
  </si>
  <si>
    <t>PED-100848</t>
  </si>
  <si>
    <t>PED-100849</t>
  </si>
  <si>
    <t>PED-100850</t>
  </si>
  <si>
    <t>PED-100851</t>
  </si>
  <si>
    <t>PED-100852</t>
  </si>
  <si>
    <t>PED-100853</t>
  </si>
  <si>
    <t>PED-100854</t>
  </si>
  <si>
    <t>PED-100855</t>
  </si>
  <si>
    <t>PED-100856</t>
  </si>
  <si>
    <t>PED-100857</t>
  </si>
  <si>
    <t>PED-100858</t>
  </si>
  <si>
    <t>PED-100859</t>
  </si>
  <si>
    <t>PED-100860</t>
  </si>
  <si>
    <t>PED-100861</t>
  </si>
  <si>
    <t>PED-100862</t>
  </si>
  <si>
    <t>PED-100863</t>
  </si>
  <si>
    <t>PED-100864</t>
  </si>
  <si>
    <t>PED-100865</t>
  </si>
  <si>
    <t>PED-100866</t>
  </si>
  <si>
    <t>PED-100867</t>
  </si>
  <si>
    <t>PED-100868</t>
  </si>
  <si>
    <t>PED-100869</t>
  </si>
  <si>
    <t>PED-100870</t>
  </si>
  <si>
    <t>PED-100871</t>
  </si>
  <si>
    <t>PED-100872</t>
  </si>
  <si>
    <t>PED-100873</t>
  </si>
  <si>
    <t>PED-100874</t>
  </si>
  <si>
    <t>PED-100875</t>
  </si>
  <si>
    <t>PED-100876</t>
  </si>
  <si>
    <t>PED-100877</t>
  </si>
  <si>
    <t>PED-100878</t>
  </si>
  <si>
    <t>PED-100879</t>
  </si>
  <si>
    <t>PED-100880</t>
  </si>
  <si>
    <t>PED-100881</t>
  </si>
  <si>
    <t>PED-100882</t>
  </si>
  <si>
    <t>PED-100883</t>
  </si>
  <si>
    <t>PED-100884</t>
  </si>
  <si>
    <t>PED-100885</t>
  </si>
  <si>
    <t>PED-100886</t>
  </si>
  <si>
    <t>PED-100887</t>
  </si>
  <si>
    <t>PED-100888</t>
  </si>
  <si>
    <t>PED-100889</t>
  </si>
  <si>
    <t>PED-100890</t>
  </si>
  <si>
    <t>PED-100891</t>
  </si>
  <si>
    <t>PED-100892</t>
  </si>
  <si>
    <t>PED-100893</t>
  </si>
  <si>
    <t>PED-100894</t>
  </si>
  <si>
    <t>PED-100895</t>
  </si>
  <si>
    <t>PED-100896</t>
  </si>
  <si>
    <t>PED-100897</t>
  </si>
  <si>
    <t>PED-100898</t>
  </si>
  <si>
    <t>PED-100899</t>
  </si>
  <si>
    <t>PED-100900</t>
  </si>
  <si>
    <t>PED-100901</t>
  </si>
  <si>
    <t>PED-100902</t>
  </si>
  <si>
    <t>PED-100903</t>
  </si>
  <si>
    <t>PED-100904</t>
  </si>
  <si>
    <t>PED-100905</t>
  </si>
  <si>
    <t>PED-100906</t>
  </si>
  <si>
    <t>PED-100907</t>
  </si>
  <si>
    <t>PED-100908</t>
  </si>
  <si>
    <t>PED-100909</t>
  </si>
  <si>
    <t>PED-100910</t>
  </si>
  <si>
    <t>PED-100911</t>
  </si>
  <si>
    <t>PED-100912</t>
  </si>
  <si>
    <t>PED-100913</t>
  </si>
  <si>
    <t>PED-100914</t>
  </si>
  <si>
    <t>PED-100915</t>
  </si>
  <si>
    <t>PED-100916</t>
  </si>
  <si>
    <t>PED-100917</t>
  </si>
  <si>
    <t>PED-100918</t>
  </si>
  <si>
    <t>PED-100919</t>
  </si>
  <si>
    <t>PED-100920</t>
  </si>
  <si>
    <t>PED-100921</t>
  </si>
  <si>
    <t>PED-100922</t>
  </si>
  <si>
    <t>PED-100923</t>
  </si>
  <si>
    <t>PED-100924</t>
  </si>
  <si>
    <t>PED-100925</t>
  </si>
  <si>
    <t>PED-100926</t>
  </si>
  <si>
    <t>PED-100927</t>
  </si>
  <si>
    <t>PED-100928</t>
  </si>
  <si>
    <t>PED-100929</t>
  </si>
  <si>
    <t>PED-100930</t>
  </si>
  <si>
    <t>PED-100931</t>
  </si>
  <si>
    <t>PED-100932</t>
  </si>
  <si>
    <t>PED-100933</t>
  </si>
  <si>
    <t>PED-100934</t>
  </si>
  <si>
    <t>PED-100935</t>
  </si>
  <si>
    <t>PED-100936</t>
  </si>
  <si>
    <t>PED-100937</t>
  </si>
  <si>
    <t>PED-100938</t>
  </si>
  <si>
    <t>PED-100939</t>
  </si>
  <si>
    <t>PED-100940</t>
  </si>
  <si>
    <t>PED-100941</t>
  </si>
  <si>
    <t>PED-100942</t>
  </si>
  <si>
    <t>PED-100943</t>
  </si>
  <si>
    <t>PED-100944</t>
  </si>
  <si>
    <t>PED-100945</t>
  </si>
  <si>
    <t>PED-100946</t>
  </si>
  <si>
    <t>PED-100947</t>
  </si>
  <si>
    <t>PED-100948</t>
  </si>
  <si>
    <t>PED-100949</t>
  </si>
  <si>
    <t>PED-100950</t>
  </si>
  <si>
    <t>PED-100951</t>
  </si>
  <si>
    <t>PED-100952</t>
  </si>
  <si>
    <t>PED-100953</t>
  </si>
  <si>
    <t>PED-100954</t>
  </si>
  <si>
    <t>PED-100955</t>
  </si>
  <si>
    <t>PED-100956</t>
  </si>
  <si>
    <t>PED-100957</t>
  </si>
  <si>
    <t>PED-100958</t>
  </si>
  <si>
    <t>PED-100959</t>
  </si>
  <si>
    <t>PED-100960</t>
  </si>
  <si>
    <t>PED-100961</t>
  </si>
  <si>
    <t>PED-100962</t>
  </si>
  <si>
    <t>PED-100963</t>
  </si>
  <si>
    <t>PED-100964</t>
  </si>
  <si>
    <t>PED-100965</t>
  </si>
  <si>
    <t>PED-100966</t>
  </si>
  <si>
    <t>PED-100967</t>
  </si>
  <si>
    <t>PED-100968</t>
  </si>
  <si>
    <t>PED-100969</t>
  </si>
  <si>
    <t>PED-100970</t>
  </si>
  <si>
    <t>PED-100971</t>
  </si>
  <si>
    <t>PED-100972</t>
  </si>
  <si>
    <t>PED-100973</t>
  </si>
  <si>
    <t>PED-100974</t>
  </si>
  <si>
    <t>PED-100975</t>
  </si>
  <si>
    <t>PED-100976</t>
  </si>
  <si>
    <t>PED-100977</t>
  </si>
  <si>
    <t>PED-100978</t>
  </si>
  <si>
    <t>PED-100979</t>
  </si>
  <si>
    <t>PED-100980</t>
  </si>
  <si>
    <t>PED-100981</t>
  </si>
  <si>
    <t>PED-100982</t>
  </si>
  <si>
    <t>PED-100983</t>
  </si>
  <si>
    <t>PED-100984</t>
  </si>
  <si>
    <t>PED-100985</t>
  </si>
  <si>
    <t>PED-100986</t>
  </si>
  <si>
    <t>PED-100987</t>
  </si>
  <si>
    <t>PED-100988</t>
  </si>
  <si>
    <t>PED-100989</t>
  </si>
  <si>
    <t>PED-100990</t>
  </si>
  <si>
    <t>PED-100991</t>
  </si>
  <si>
    <t>PED-100992</t>
  </si>
  <si>
    <t>PED-100993</t>
  </si>
  <si>
    <t>PED-100994</t>
  </si>
  <si>
    <t>PED-100995</t>
  </si>
  <si>
    <t>PED-100996</t>
  </si>
  <si>
    <t>PED-100997</t>
  </si>
  <si>
    <t>PED-100998</t>
  </si>
  <si>
    <t>PED-100999</t>
  </si>
  <si>
    <t>PED-101000</t>
  </si>
  <si>
    <t>PED-101001</t>
  </si>
  <si>
    <t>PED-101002</t>
  </si>
  <si>
    <t>PED-101003</t>
  </si>
  <si>
    <t>PED-101004</t>
  </si>
  <si>
    <t>PED-101005</t>
  </si>
  <si>
    <t>PED-101006</t>
  </si>
  <si>
    <t>PED-101007</t>
  </si>
  <si>
    <t>PED-101008</t>
  </si>
  <si>
    <t>PED-101009</t>
  </si>
  <si>
    <t>PED-101010</t>
  </si>
  <si>
    <t>PED-101011</t>
  </si>
  <si>
    <t>PED-101012</t>
  </si>
  <si>
    <t>PED-101013</t>
  </si>
  <si>
    <t>PED-101014</t>
  </si>
  <si>
    <t>PED-101015</t>
  </si>
  <si>
    <t>PED-101016</t>
  </si>
  <si>
    <t>PED-101017</t>
  </si>
  <si>
    <t>PED-101018</t>
  </si>
  <si>
    <t>PED-101019</t>
  </si>
  <si>
    <t>PED-101020</t>
  </si>
  <si>
    <t>PED-101021</t>
  </si>
  <si>
    <t>PED-101022</t>
  </si>
  <si>
    <t>PED-101023</t>
  </si>
  <si>
    <t>PED-101024</t>
  </si>
  <si>
    <t>PED-101025</t>
  </si>
  <si>
    <t>PED-101026</t>
  </si>
  <si>
    <t>PED-101027</t>
  </si>
  <si>
    <t>PED-101028</t>
  </si>
  <si>
    <t>PED-101029</t>
  </si>
  <si>
    <t>PED-101030</t>
  </si>
  <si>
    <t>PED-101031</t>
  </si>
  <si>
    <t>PED-101032</t>
  </si>
  <si>
    <t>PED-101033</t>
  </si>
  <si>
    <t>PED-101034</t>
  </si>
  <si>
    <t>PED-101035</t>
  </si>
  <si>
    <t>PED-101036</t>
  </si>
  <si>
    <t>PED-101037</t>
  </si>
  <si>
    <t>PED-101038</t>
  </si>
  <si>
    <t>PED-101039</t>
  </si>
  <si>
    <t>PED-101040</t>
  </si>
  <si>
    <t>PED-101041</t>
  </si>
  <si>
    <t>PED-101042</t>
  </si>
  <si>
    <t>PED-101043</t>
  </si>
  <si>
    <t>PED-101044</t>
  </si>
  <si>
    <t>PED-101045</t>
  </si>
  <si>
    <t>PED-101046</t>
  </si>
  <si>
    <t>PED-101047</t>
  </si>
  <si>
    <t>PED-101048</t>
  </si>
  <si>
    <t>PED-101049</t>
  </si>
  <si>
    <t>PED-101050</t>
  </si>
  <si>
    <t>PED-101051</t>
  </si>
  <si>
    <t>PED-101052</t>
  </si>
  <si>
    <t>PED-101053</t>
  </si>
  <si>
    <t>PED-101054</t>
  </si>
  <si>
    <t>PED-101055</t>
  </si>
  <si>
    <t>PED-101056</t>
  </si>
  <si>
    <t>PED-101057</t>
  </si>
  <si>
    <t>PED-101058</t>
  </si>
  <si>
    <t>PED-101059</t>
  </si>
  <si>
    <t>PED-101060</t>
  </si>
  <si>
    <t>PED-101061</t>
  </si>
  <si>
    <t>PED-101062</t>
  </si>
  <si>
    <t>PED-101063</t>
  </si>
  <si>
    <t>PED-101064</t>
  </si>
  <si>
    <t>PED-101065</t>
  </si>
  <si>
    <t>PED-101066</t>
  </si>
  <si>
    <t>PED-101067</t>
  </si>
  <si>
    <t>PED-101068</t>
  </si>
  <si>
    <t>PED-101069</t>
  </si>
  <si>
    <t>PED-101070</t>
  </si>
  <si>
    <t>PED-101071</t>
  </si>
  <si>
    <t>PED-101072</t>
  </si>
  <si>
    <t>PED-101073</t>
  </si>
  <si>
    <t>PED-101074</t>
  </si>
  <si>
    <t>PED-101075</t>
  </si>
  <si>
    <t>PED-101076</t>
  </si>
  <si>
    <t>PED-101077</t>
  </si>
  <si>
    <t>PED-101078</t>
  </si>
  <si>
    <t>PED-101079</t>
  </si>
  <si>
    <t>PED-101080</t>
  </si>
  <si>
    <t>PED-101081</t>
  </si>
  <si>
    <t>PED-101082</t>
  </si>
  <si>
    <t>PED-101083</t>
  </si>
  <si>
    <t>PED-101084</t>
  </si>
  <si>
    <t>PED-101085</t>
  </si>
  <si>
    <t>PED-101086</t>
  </si>
  <si>
    <t>PED-101087</t>
  </si>
  <si>
    <t>PED-101088</t>
  </si>
  <si>
    <t>PED-101089</t>
  </si>
  <si>
    <t>PED-101090</t>
  </si>
  <si>
    <t>PED-101091</t>
  </si>
  <si>
    <t>PED-101092</t>
  </si>
  <si>
    <t>PED-101093</t>
  </si>
  <si>
    <t>PED-101094</t>
  </si>
  <si>
    <t>PED-101095</t>
  </si>
  <si>
    <t>PED-101096</t>
  </si>
  <si>
    <t>PED-101097</t>
  </si>
  <si>
    <t>PED-101098</t>
  </si>
  <si>
    <t>PED-101099</t>
  </si>
  <si>
    <t>PED-101100</t>
  </si>
  <si>
    <t>PED-101101</t>
  </si>
  <si>
    <t>PED-101102</t>
  </si>
  <si>
    <t>PED-101103</t>
  </si>
  <si>
    <t>PED-101104</t>
  </si>
  <si>
    <t>PED-101105</t>
  </si>
  <si>
    <t>PED-101106</t>
  </si>
  <si>
    <t>PED-101107</t>
  </si>
  <si>
    <t>PED-101108</t>
  </si>
  <si>
    <t>PED-101109</t>
  </si>
  <si>
    <t>PED-101110</t>
  </si>
  <si>
    <t>PED-101111</t>
  </si>
  <si>
    <t>PED-101112</t>
  </si>
  <si>
    <t>PED-101113</t>
  </si>
  <si>
    <t>PED-101114</t>
  </si>
  <si>
    <t>PED-101115</t>
  </si>
  <si>
    <t>PED-101116</t>
  </si>
  <si>
    <t>PED-101117</t>
  </si>
  <si>
    <t>PED-101118</t>
  </si>
  <si>
    <t>PED-101119</t>
  </si>
  <si>
    <t>PED-101120</t>
  </si>
  <si>
    <t>PED-101121</t>
  </si>
  <si>
    <t>PED-101122</t>
  </si>
  <si>
    <t>PED-101123</t>
  </si>
  <si>
    <t>PED-101124</t>
  </si>
  <si>
    <t>PED-101125</t>
  </si>
  <si>
    <t>PED-101126</t>
  </si>
  <si>
    <t>PED-101127</t>
  </si>
  <si>
    <t>PED-101128</t>
  </si>
  <si>
    <t>PED-101129</t>
  </si>
  <si>
    <t>PED-101130</t>
  </si>
  <si>
    <t>PED-101131</t>
  </si>
  <si>
    <t>PED-101132</t>
  </si>
  <si>
    <t>PED-101133</t>
  </si>
  <si>
    <t>PED-101134</t>
  </si>
  <si>
    <t>PED-101135</t>
  </si>
  <si>
    <t>PED-101136</t>
  </si>
  <si>
    <t>PED-101137</t>
  </si>
  <si>
    <t>PED-101138</t>
  </si>
  <si>
    <t>PED-101139</t>
  </si>
  <si>
    <t>PED-101140</t>
  </si>
  <si>
    <t>PED-101141</t>
  </si>
  <si>
    <t>PED-101142</t>
  </si>
  <si>
    <t>PED-101143</t>
  </si>
  <si>
    <t>PED-101144</t>
  </si>
  <si>
    <t>PED-101145</t>
  </si>
  <si>
    <t>PED-101146</t>
  </si>
  <si>
    <t>PED-101147</t>
  </si>
  <si>
    <t>PED-101148</t>
  </si>
  <si>
    <t>PED-101149</t>
  </si>
  <si>
    <t>PED-101150</t>
  </si>
  <si>
    <t>PED-101151</t>
  </si>
  <si>
    <t>PED-101152</t>
  </si>
  <si>
    <t>PED-101153</t>
  </si>
  <si>
    <t>PED-101154</t>
  </si>
  <si>
    <t>PED-101155</t>
  </si>
  <si>
    <t>PED-101156</t>
  </si>
  <si>
    <t>PED-101157</t>
  </si>
  <si>
    <t>PED-101158</t>
  </si>
  <si>
    <t>PED-101159</t>
  </si>
  <si>
    <t>PED-101160</t>
  </si>
  <si>
    <t>PED-101161</t>
  </si>
  <si>
    <t>PED-101162</t>
  </si>
  <si>
    <t>PED-101163</t>
  </si>
  <si>
    <t>PED-101164</t>
  </si>
  <si>
    <t>PED-101165</t>
  </si>
  <si>
    <t>PED-101166</t>
  </si>
  <si>
    <t>PED-101167</t>
  </si>
  <si>
    <t>PED-101168</t>
  </si>
  <si>
    <t>PED-101169</t>
  </si>
  <si>
    <t>PED-101170</t>
  </si>
  <si>
    <t>PED-101171</t>
  </si>
  <si>
    <t>PED-101172</t>
  </si>
  <si>
    <t>PED-101173</t>
  </si>
  <si>
    <t>PED-101174</t>
  </si>
  <si>
    <t>PED-101175</t>
  </si>
  <si>
    <t>PED-101176</t>
  </si>
  <si>
    <t>PED-101177</t>
  </si>
  <si>
    <t>PED-101178</t>
  </si>
  <si>
    <t>PED-101179</t>
  </si>
  <si>
    <t>PED-101180</t>
  </si>
  <si>
    <t>PED-101181</t>
  </si>
  <si>
    <t>PED-101182</t>
  </si>
  <si>
    <t>PED-101183</t>
  </si>
  <si>
    <t>PED-101184</t>
  </si>
  <si>
    <t>PED-101185</t>
  </si>
  <si>
    <t>PED-101186</t>
  </si>
  <si>
    <t>PED-101187</t>
  </si>
  <si>
    <t>PED-101188</t>
  </si>
  <si>
    <t>PED-101189</t>
  </si>
  <si>
    <t>PED-101190</t>
  </si>
  <si>
    <t>PED-101192</t>
  </si>
  <si>
    <t>PED-101193</t>
  </si>
  <si>
    <t>PED-101194</t>
  </si>
  <si>
    <t>PED-101195</t>
  </si>
  <si>
    <t>PED-101196</t>
  </si>
  <si>
    <t>PED-101197</t>
  </si>
  <si>
    <t>PED-101198</t>
  </si>
  <si>
    <t>PED-101199</t>
  </si>
  <si>
    <t>PED-101200</t>
  </si>
  <si>
    <t>PED-101201</t>
  </si>
  <si>
    <t>PED-101202</t>
  </si>
  <si>
    <t>PED-101203</t>
  </si>
  <si>
    <t>PED-101204</t>
  </si>
  <si>
    <t>PED-101205</t>
  </si>
  <si>
    <t>PED-101206</t>
  </si>
  <si>
    <t>PED-101207</t>
  </si>
  <si>
    <t>PED-101208</t>
  </si>
  <si>
    <t>PED-101209</t>
  </si>
  <si>
    <t>PED-101210</t>
  </si>
  <si>
    <t>PED-101211</t>
  </si>
  <si>
    <t>PED-101212</t>
  </si>
  <si>
    <t>PED-101213</t>
  </si>
  <si>
    <t>PED-101214</t>
  </si>
  <si>
    <t>PED-101215</t>
  </si>
  <si>
    <t>PED-101216</t>
  </si>
  <si>
    <t>PED-101217</t>
  </si>
  <si>
    <t>PED-101218</t>
  </si>
  <si>
    <t>PED-101219</t>
  </si>
  <si>
    <t>PED-101220</t>
  </si>
  <si>
    <t>PED-101221</t>
  </si>
  <si>
    <t>PED-101222</t>
  </si>
  <si>
    <t>PED-101223</t>
  </si>
  <si>
    <t>PED-101224</t>
  </si>
  <si>
    <t>PED-101225</t>
  </si>
  <si>
    <t>PED-101226</t>
  </si>
  <si>
    <t>PED-101227</t>
  </si>
  <si>
    <t>PED-101228</t>
  </si>
  <si>
    <t>PED-101229</t>
  </si>
  <si>
    <t>PED-101230</t>
  </si>
  <si>
    <t>PED-101231</t>
  </si>
  <si>
    <t>PED-101232</t>
  </si>
  <si>
    <t>PED-101233</t>
  </si>
  <si>
    <t>PED-101234</t>
  </si>
  <si>
    <t>PED-101235</t>
  </si>
  <si>
    <t>PED-101236</t>
  </si>
  <si>
    <t>PED-101237</t>
  </si>
  <si>
    <t>PED-101238</t>
  </si>
  <si>
    <t>PED-101239</t>
  </si>
  <si>
    <t>PED-101240</t>
  </si>
  <si>
    <t>PED-101241</t>
  </si>
  <si>
    <t>PED-101242</t>
  </si>
  <si>
    <t>PED-101243</t>
  </si>
  <si>
    <t>PED-101244</t>
  </si>
  <si>
    <t>PED-101245</t>
  </si>
  <si>
    <t>PED-101246</t>
  </si>
  <si>
    <t>PED-101247</t>
  </si>
  <si>
    <t>PED-101248</t>
  </si>
  <si>
    <t>PED-101249</t>
  </si>
  <si>
    <t>PED-101250</t>
  </si>
  <si>
    <t>PED-101251</t>
  </si>
  <si>
    <t>PED-101252</t>
  </si>
  <si>
    <t>PED-101253</t>
  </si>
  <si>
    <t>PED-101254</t>
  </si>
  <si>
    <t>PED-101255</t>
  </si>
  <si>
    <t>PED-101256</t>
  </si>
  <si>
    <t>PED-101257</t>
  </si>
  <si>
    <t>PED-101258</t>
  </si>
  <si>
    <t>PED-101259</t>
  </si>
  <si>
    <t>PED-101260</t>
  </si>
  <si>
    <t>PED-101261</t>
  </si>
  <si>
    <t>PED-101262</t>
  </si>
  <si>
    <t>PED-101263</t>
  </si>
  <si>
    <t>PED-101264</t>
  </si>
  <si>
    <t>PED-101265</t>
  </si>
  <si>
    <t>PED-101266</t>
  </si>
  <si>
    <t>PED-101267</t>
  </si>
  <si>
    <t>PED-101268</t>
  </si>
  <si>
    <t>PED-101269</t>
  </si>
  <si>
    <t>PED-101270</t>
  </si>
  <si>
    <t>PED-101271</t>
  </si>
  <si>
    <t>PED-101272</t>
  </si>
  <si>
    <t>PED-101273</t>
  </si>
  <si>
    <t>PED-101274</t>
  </si>
  <si>
    <t>PED-101275</t>
  </si>
  <si>
    <t>PED-101276</t>
  </si>
  <si>
    <t>PED-101277</t>
  </si>
  <si>
    <t>PED-101278</t>
  </si>
  <si>
    <t>PED-101279</t>
  </si>
  <si>
    <t>PED-101280</t>
  </si>
  <si>
    <t>PED-101281</t>
  </si>
  <si>
    <t>PED-101282</t>
  </si>
  <si>
    <t>PED-101283</t>
  </si>
  <si>
    <t>PED-101284</t>
  </si>
  <si>
    <t>PED-101285</t>
  </si>
  <si>
    <t>PED-101286</t>
  </si>
  <si>
    <t>PED-101287</t>
  </si>
  <si>
    <t>PED-101288</t>
  </si>
  <si>
    <t>PED-101289</t>
  </si>
  <si>
    <t>PED-101290</t>
  </si>
  <si>
    <t>PED-101291</t>
  </si>
  <si>
    <t>PED-101292</t>
  </si>
  <si>
    <t>PED-101293</t>
  </si>
  <si>
    <t>PED-101294</t>
  </si>
  <si>
    <t>PED-101295</t>
  </si>
  <si>
    <t>PED-101296</t>
  </si>
  <si>
    <t>PED-101297</t>
  </si>
  <si>
    <t>PED-101298</t>
  </si>
  <si>
    <t>PED-101299</t>
  </si>
  <si>
    <t>PED-101300</t>
  </si>
  <si>
    <t>PED-101301</t>
  </si>
  <si>
    <t>PED-101302</t>
  </si>
  <si>
    <t>PED-101303</t>
  </si>
  <si>
    <t>PED-101304</t>
  </si>
  <si>
    <t>PED-101305</t>
  </si>
  <si>
    <t>PED-101306</t>
  </si>
  <si>
    <t>PED-101307</t>
  </si>
  <si>
    <t>PED-101308</t>
  </si>
  <si>
    <t>PED-101309</t>
  </si>
  <si>
    <t>PED-101310</t>
  </si>
  <si>
    <t>PED-101311</t>
  </si>
  <si>
    <t>PED-101312</t>
  </si>
  <si>
    <t>PED-101313</t>
  </si>
  <si>
    <t>PED-101314</t>
  </si>
  <si>
    <t>PED-101315</t>
  </si>
  <si>
    <t>PED-101316</t>
  </si>
  <si>
    <t>PED-101317</t>
  </si>
  <si>
    <t>PED-101318</t>
  </si>
  <si>
    <t>PED-101319</t>
  </si>
  <si>
    <t>PED-101320</t>
  </si>
  <si>
    <t>PED-101321</t>
  </si>
  <si>
    <t>PED-101322</t>
  </si>
  <si>
    <t>PED-101323</t>
  </si>
  <si>
    <t>PED-101324</t>
  </si>
  <si>
    <t>PED-101325</t>
  </si>
  <si>
    <t>PED-101326</t>
  </si>
  <si>
    <t>PED-101327</t>
  </si>
  <si>
    <t>PED-101328</t>
  </si>
  <si>
    <t>PED-101329</t>
  </si>
  <si>
    <t>PED-101330</t>
  </si>
  <si>
    <t>PED-101331</t>
  </si>
  <si>
    <t>PED-101332</t>
  </si>
  <si>
    <t>PED-101333</t>
  </si>
  <si>
    <t>PED-101334</t>
  </si>
  <si>
    <t>PED-101335</t>
  </si>
  <si>
    <t>PED-101336</t>
  </si>
  <si>
    <t>PED-101337</t>
  </si>
  <si>
    <t>PED-101338</t>
  </si>
  <si>
    <t>PED-101339</t>
  </si>
  <si>
    <t>PED-101340</t>
  </si>
  <si>
    <t>PED-101341</t>
  </si>
  <si>
    <t>PED-101342</t>
  </si>
  <si>
    <t>PED-101343</t>
  </si>
  <si>
    <t>PED-101344</t>
  </si>
  <si>
    <t>PED-101345</t>
  </si>
  <si>
    <t>PED-101346</t>
  </si>
  <si>
    <t>PED-101347</t>
  </si>
  <si>
    <t>PED-101348</t>
  </si>
  <si>
    <t>PED-101349</t>
  </si>
  <si>
    <t>PED-101350</t>
  </si>
  <si>
    <t>PED-101351</t>
  </si>
  <si>
    <t>PED-101352</t>
  </si>
  <si>
    <t>PED-101353</t>
  </si>
  <si>
    <t>PED-101354</t>
  </si>
  <si>
    <t>PED-101355</t>
  </si>
  <si>
    <t>PED-101356</t>
  </si>
  <si>
    <t>PED-101357</t>
  </si>
  <si>
    <t>PED-101358</t>
  </si>
  <si>
    <t>PED-101359</t>
  </si>
  <si>
    <t>PED-101360</t>
  </si>
  <si>
    <t>PED-101361</t>
  </si>
  <si>
    <t>PED-101362</t>
  </si>
  <si>
    <t>PED-101363</t>
  </si>
  <si>
    <t>PED-101364</t>
  </si>
  <si>
    <t>PED-101365</t>
  </si>
  <si>
    <t>PED-101366</t>
  </si>
  <si>
    <t>PED-101367</t>
  </si>
  <si>
    <t>PED-101368</t>
  </si>
  <si>
    <t>PED-101369</t>
  </si>
  <si>
    <t>PED-101370</t>
  </si>
  <si>
    <t>PED-101371</t>
  </si>
  <si>
    <t>PED-101372</t>
  </si>
  <si>
    <t>PED-101373</t>
  </si>
  <si>
    <t>PED-101374</t>
  </si>
  <si>
    <t>PED-101375</t>
  </si>
  <si>
    <t>PED-101376</t>
  </si>
  <si>
    <t>PED-101377</t>
  </si>
  <si>
    <t>PED-101378</t>
  </si>
  <si>
    <t>PED-101379</t>
  </si>
  <si>
    <t>PED-101380</t>
  </si>
  <si>
    <t>PED-101381</t>
  </si>
  <si>
    <t>PED-101382</t>
  </si>
  <si>
    <t>PED-101383</t>
  </si>
  <si>
    <t>PED-101384</t>
  </si>
  <si>
    <t>PED-101385</t>
  </si>
  <si>
    <t>PED-101386</t>
  </si>
  <si>
    <t>PED-101387</t>
  </si>
  <si>
    <t>PED-101388</t>
  </si>
  <si>
    <t>PED-101389</t>
  </si>
  <si>
    <t>PED-101390</t>
  </si>
  <si>
    <t>PED-101391</t>
  </si>
  <si>
    <t>PED-101392</t>
  </si>
  <si>
    <t>PED-101393</t>
  </si>
  <si>
    <t>PED-101394</t>
  </si>
  <si>
    <t>PED-101395</t>
  </si>
  <si>
    <t>PED-101396</t>
  </si>
  <si>
    <t>PED-101397</t>
  </si>
  <si>
    <t>PED-101398</t>
  </si>
  <si>
    <t>PED-101399</t>
  </si>
  <si>
    <t>PED-101400</t>
  </si>
  <si>
    <t>PED-101401</t>
  </si>
  <si>
    <t>PED-101402</t>
  </si>
  <si>
    <t>PED-101403</t>
  </si>
  <si>
    <t>PED-101404</t>
  </si>
  <si>
    <t>PED-101405</t>
  </si>
  <si>
    <t>PED-101406</t>
  </si>
  <si>
    <t>PED-101407</t>
  </si>
  <si>
    <t>PED-101408</t>
  </si>
  <si>
    <t>PED-101409</t>
  </si>
  <si>
    <t>PED-101410</t>
  </si>
  <si>
    <t>PED-101411</t>
  </si>
  <si>
    <t>PED-101412</t>
  </si>
  <si>
    <t>PED-101413</t>
  </si>
  <si>
    <t>PED-101414</t>
  </si>
  <si>
    <t>PED-101415</t>
  </si>
  <si>
    <t>PED-101416</t>
  </si>
  <si>
    <t>PED-101417</t>
  </si>
  <si>
    <t>PED-101418</t>
  </si>
  <si>
    <t>PED-101419</t>
  </si>
  <si>
    <t>PED-101420</t>
  </si>
  <si>
    <t>PED-101421</t>
  </si>
  <si>
    <t>PED-101422</t>
  </si>
  <si>
    <t>PED-101423</t>
  </si>
  <si>
    <t>PED-101424</t>
  </si>
  <si>
    <t>PED-101425</t>
  </si>
  <si>
    <t>PED-101426</t>
  </si>
  <si>
    <t>PED-101427</t>
  </si>
  <si>
    <t>PED-101428</t>
  </si>
  <si>
    <t>PED-101429</t>
  </si>
  <si>
    <t>PED-101430</t>
  </si>
  <si>
    <t>PED-101431</t>
  </si>
  <si>
    <t>PED-101432</t>
  </si>
  <si>
    <t>PED-101433</t>
  </si>
  <si>
    <t>PED-101434</t>
  </si>
  <si>
    <t>PED-101435</t>
  </si>
  <si>
    <t>PED-101436</t>
  </si>
  <si>
    <t>PED-101437</t>
  </si>
  <si>
    <t>PED-101439</t>
  </si>
  <si>
    <t>PED-101440</t>
  </si>
  <si>
    <t>PED-101441</t>
  </si>
  <si>
    <t>PED-101442</t>
  </si>
  <si>
    <t>PED-101443</t>
  </si>
  <si>
    <t>PED-101444</t>
  </si>
  <si>
    <t>PED-101445</t>
  </si>
  <si>
    <t>PED-101446</t>
  </si>
  <si>
    <t>PED-101447</t>
  </si>
  <si>
    <t>PED-101448</t>
  </si>
  <si>
    <t>PED-101449</t>
  </si>
  <si>
    <t>PED-101450</t>
  </si>
  <si>
    <t>PED-101451</t>
  </si>
  <si>
    <t>PED-101452</t>
  </si>
  <si>
    <t>PED-101453</t>
  </si>
  <si>
    <t>PED-101454</t>
  </si>
  <si>
    <t>PED-101455</t>
  </si>
  <si>
    <t>PED-101456</t>
  </si>
  <si>
    <t>PED-101457</t>
  </si>
  <si>
    <t>PED-101458</t>
  </si>
  <si>
    <t>PED-101459</t>
  </si>
  <si>
    <t>PED-101460</t>
  </si>
  <si>
    <t>PED-101461</t>
  </si>
  <si>
    <t>PED-101462</t>
  </si>
  <si>
    <t>PED-101463</t>
  </si>
  <si>
    <t>PED-101464</t>
  </si>
  <si>
    <t>PED-101465</t>
  </si>
  <si>
    <t>PED-101466</t>
  </si>
  <si>
    <t>PED-101467</t>
  </si>
  <si>
    <t>PED-101468</t>
  </si>
  <si>
    <t>PED-101469</t>
  </si>
  <si>
    <t>PED-101470</t>
  </si>
  <si>
    <t>PED-101471</t>
  </si>
  <si>
    <t>PED-101472</t>
  </si>
  <si>
    <t>PED-101473</t>
  </si>
  <si>
    <t>PED-101474</t>
  </si>
  <si>
    <t>PED-101475</t>
  </si>
  <si>
    <t>PED-101476</t>
  </si>
  <si>
    <t>PED-101477</t>
  </si>
  <si>
    <t>PED-101478</t>
  </si>
  <si>
    <t>PED-101479</t>
  </si>
  <si>
    <t>PED-101480</t>
  </si>
  <si>
    <t>PED-101481</t>
  </si>
  <si>
    <t>PED-101482</t>
  </si>
  <si>
    <t>PED-101483</t>
  </si>
  <si>
    <t>PED-101484</t>
  </si>
  <si>
    <t>PED-101485</t>
  </si>
  <si>
    <t>PED-101486</t>
  </si>
  <si>
    <t>PED-101487</t>
  </si>
  <si>
    <t>PED-101488</t>
  </si>
  <si>
    <t>PED-101489</t>
  </si>
  <si>
    <t>PED-101490</t>
  </si>
  <si>
    <t>PED-101491</t>
  </si>
  <si>
    <t>PED-101492</t>
  </si>
  <si>
    <t>PED-101493</t>
  </si>
  <si>
    <t>PED-101494</t>
  </si>
  <si>
    <t>PED-101495</t>
  </si>
  <si>
    <t>PED-101496</t>
  </si>
  <si>
    <t>PED-101497</t>
  </si>
  <si>
    <t>PED-101498</t>
  </si>
  <si>
    <t>PED-101499</t>
  </si>
  <si>
    <t>PED-101500</t>
  </si>
  <si>
    <t>PED-101501</t>
  </si>
  <si>
    <t>PED-101502</t>
  </si>
  <si>
    <t>PED-101503</t>
  </si>
  <si>
    <t>PED-101504</t>
  </si>
  <si>
    <t>PED-101505</t>
  </si>
  <si>
    <t>PED-101506</t>
  </si>
  <si>
    <t>PED-101507</t>
  </si>
  <si>
    <t>PED-101508</t>
  </si>
  <si>
    <t>PED-101509</t>
  </si>
  <si>
    <t>PED-101510</t>
  </si>
  <si>
    <t>PED-101511</t>
  </si>
  <si>
    <t>PED-101512</t>
  </si>
  <si>
    <t>PED-101513</t>
  </si>
  <si>
    <t>PED-101514</t>
  </si>
  <si>
    <t>PED-101515</t>
  </si>
  <si>
    <t>PED-101516</t>
  </si>
  <si>
    <t>PED-101517</t>
  </si>
  <si>
    <t>PED-101518</t>
  </si>
  <si>
    <t>PED-101519</t>
  </si>
  <si>
    <t>PED-101520</t>
  </si>
  <si>
    <t>PED-101521</t>
  </si>
  <si>
    <t>PED-101522</t>
  </si>
  <si>
    <t>PED-101523</t>
  </si>
  <si>
    <t>PED-101524</t>
  </si>
  <si>
    <t>PED-101525</t>
  </si>
  <si>
    <t>PED-101526</t>
  </si>
  <si>
    <t>PED-101527</t>
  </si>
  <si>
    <t>PED-101528</t>
  </si>
  <si>
    <t>PED-101529</t>
  </si>
  <si>
    <t>PED-101530</t>
  </si>
  <si>
    <t>PED-101531</t>
  </si>
  <si>
    <t>PED-101532</t>
  </si>
  <si>
    <t>PED-101533</t>
  </si>
  <si>
    <t>PED-101534</t>
  </si>
  <si>
    <t>PED-101535</t>
  </si>
  <si>
    <t>PED-101536</t>
  </si>
  <si>
    <t>PED-101537</t>
  </si>
  <si>
    <t>PED-101538</t>
  </si>
  <si>
    <t>PED-101539</t>
  </si>
  <si>
    <t>PED-101540</t>
  </si>
  <si>
    <t>PED-101541</t>
  </si>
  <si>
    <t>PED-101542</t>
  </si>
  <si>
    <t>PED-101543</t>
  </si>
  <si>
    <t>PED-101544</t>
  </si>
  <si>
    <t>PED-101545</t>
  </si>
  <si>
    <t>PED-101546</t>
  </si>
  <si>
    <t>PED-101547</t>
  </si>
  <si>
    <t>PED-101548</t>
  </si>
  <si>
    <t>PED-101549</t>
  </si>
  <si>
    <t>PED-101550</t>
  </si>
  <si>
    <t>PED-101551</t>
  </si>
  <si>
    <t>PED-101552</t>
  </si>
  <si>
    <t>PED-101553</t>
  </si>
  <si>
    <t>PED-101554</t>
  </si>
  <si>
    <t>PED-101555</t>
  </si>
  <si>
    <t>PED-101556</t>
  </si>
  <si>
    <t>PED-101557</t>
  </si>
  <si>
    <t>PED-101558</t>
  </si>
  <si>
    <t>PED-101559</t>
  </si>
  <si>
    <t>PED-101560</t>
  </si>
  <si>
    <t>PED-101561</t>
  </si>
  <si>
    <t>PED-101562</t>
  </si>
  <si>
    <t>PED-101563</t>
  </si>
  <si>
    <t>PED-101564</t>
  </si>
  <si>
    <t>PED-101565</t>
  </si>
  <si>
    <t>PED-101566</t>
  </si>
  <si>
    <t>PED-101567</t>
  </si>
  <si>
    <t>PED-101568</t>
  </si>
  <si>
    <t>PED-101569</t>
  </si>
  <si>
    <t>PED-101570</t>
  </si>
  <si>
    <t>PED-101571</t>
  </si>
  <si>
    <t>PED-101572</t>
  </si>
  <si>
    <t>PED-101573</t>
  </si>
  <si>
    <t>PED-101574</t>
  </si>
  <si>
    <t>PED-101575</t>
  </si>
  <si>
    <t>PED-101576</t>
  </si>
  <si>
    <t>PED-101577</t>
  </si>
  <si>
    <t>PED-101578</t>
  </si>
  <si>
    <t>PED-101579</t>
  </si>
  <si>
    <t>PED-101580</t>
  </si>
  <si>
    <t>PED-101581</t>
  </si>
  <si>
    <t>PED-101582</t>
  </si>
  <si>
    <t>PED-101583</t>
  </si>
  <si>
    <t>PED-101584</t>
  </si>
  <si>
    <t>PED-101585</t>
  </si>
  <si>
    <t>PED-101586</t>
  </si>
  <si>
    <t>PED-101587</t>
  </si>
  <si>
    <t>PED-101588</t>
  </si>
  <si>
    <t>PED-101589</t>
  </si>
  <si>
    <t>PED-101590</t>
  </si>
  <si>
    <t>PED-101591</t>
  </si>
  <si>
    <t>PED-101592</t>
  </si>
  <si>
    <t>PED-101593</t>
  </si>
  <si>
    <t>PED-101594</t>
  </si>
  <si>
    <t>PED-101595</t>
  </si>
  <si>
    <t>PED-101596</t>
  </si>
  <si>
    <t>PED-101597</t>
  </si>
  <si>
    <t>PED-101598</t>
  </si>
  <si>
    <t>PED-101599</t>
  </si>
  <si>
    <t>PED-101600</t>
  </si>
  <si>
    <t>PED-101601</t>
  </si>
  <si>
    <t>PED-101602</t>
  </si>
  <si>
    <t>PED-101603</t>
  </si>
  <si>
    <t>PED-101604</t>
  </si>
  <si>
    <t>PED-101605</t>
  </si>
  <si>
    <t>PED-101606</t>
  </si>
  <si>
    <t>PED-101607</t>
  </si>
  <si>
    <t>PED-101608</t>
  </si>
  <si>
    <t>PED-101609</t>
  </si>
  <si>
    <t>PED-101610</t>
  </si>
  <si>
    <t>PED-101611</t>
  </si>
  <si>
    <t>PED-101612</t>
  </si>
  <si>
    <t>PED-101613</t>
  </si>
  <si>
    <t>PED-101614</t>
  </si>
  <si>
    <t>PED-101615</t>
  </si>
  <si>
    <t>PED-101616</t>
  </si>
  <si>
    <t>PED-101617</t>
  </si>
  <si>
    <t>PED-101618</t>
  </si>
  <si>
    <t>PED-101619</t>
  </si>
  <si>
    <t>PED-101620</t>
  </si>
  <si>
    <t>PED-101621</t>
  </si>
  <si>
    <t>PED-101622</t>
  </si>
  <si>
    <t>PED-101623</t>
  </si>
  <si>
    <t>PED-101624</t>
  </si>
  <si>
    <t>PED-101625</t>
  </si>
  <si>
    <t>PED-101626</t>
  </si>
  <si>
    <t>PED-101627</t>
  </si>
  <si>
    <t>PED-101628</t>
  </si>
  <si>
    <t>PED-101629</t>
  </si>
  <si>
    <t>PED-101630</t>
  </si>
  <si>
    <t>PED-101631</t>
  </si>
  <si>
    <t>PED-101632</t>
  </si>
  <si>
    <t>PED-101633</t>
  </si>
  <si>
    <t>PED-101634</t>
  </si>
  <si>
    <t>PED-101635</t>
  </si>
  <si>
    <t>PED-101636</t>
  </si>
  <si>
    <t>PED-101637</t>
  </si>
  <si>
    <t>PED-101638</t>
  </si>
  <si>
    <t>PED-101639</t>
  </si>
  <si>
    <t>PED-101640</t>
  </si>
  <si>
    <t>PED-101641</t>
  </si>
  <si>
    <t>PED-101642</t>
  </si>
  <si>
    <t>PED-101643</t>
  </si>
  <si>
    <t>PED-101644</t>
  </si>
  <si>
    <t>PED-101645</t>
  </si>
  <si>
    <t>PED-101646</t>
  </si>
  <si>
    <t>PED-101647</t>
  </si>
  <si>
    <t>PED-101648</t>
  </si>
  <si>
    <t>PED-101649</t>
  </si>
  <si>
    <t>PED-101650</t>
  </si>
  <si>
    <t>PED-101651</t>
  </si>
  <si>
    <t>PED-101652</t>
  </si>
  <si>
    <t>PED-101653</t>
  </si>
  <si>
    <t>PED-101654</t>
  </si>
  <si>
    <t>PED-101655</t>
  </si>
  <si>
    <t>PED-101656</t>
  </si>
  <si>
    <t>PED-101657</t>
  </si>
  <si>
    <t>PED-101658</t>
  </si>
  <si>
    <t>PED-101659</t>
  </si>
  <si>
    <t>PED-101660</t>
  </si>
  <si>
    <t>PED-101661</t>
  </si>
  <si>
    <t>PED-101662</t>
  </si>
  <si>
    <t>PED-101663</t>
  </si>
  <si>
    <t>PED-101664</t>
  </si>
  <si>
    <t>PED-101665</t>
  </si>
  <si>
    <t>PED-101666</t>
  </si>
  <si>
    <t>PED-101667</t>
  </si>
  <si>
    <t>PED-101668</t>
  </si>
  <si>
    <t>PED-101669</t>
  </si>
  <si>
    <t>PED-101670</t>
  </si>
  <si>
    <t>PED-101671</t>
  </si>
  <si>
    <t>PED-101672</t>
  </si>
  <si>
    <t>PED-101673</t>
  </si>
  <si>
    <t>PED-101674</t>
  </si>
  <si>
    <t>PED-101675</t>
  </si>
  <si>
    <t>PED-101676</t>
  </si>
  <si>
    <t>PED-101677</t>
  </si>
  <si>
    <t>PED-101678</t>
  </si>
  <si>
    <t>PED-101679</t>
  </si>
  <si>
    <t>PED-101680</t>
  </si>
  <si>
    <t>PED-101681</t>
  </si>
  <si>
    <t>PED-101682</t>
  </si>
  <si>
    <t>PED-101683</t>
  </si>
  <si>
    <t>PED-101684</t>
  </si>
  <si>
    <t>PED-101685</t>
  </si>
  <si>
    <t>PED-101686</t>
  </si>
  <si>
    <t>PED-101687</t>
  </si>
  <si>
    <t>PED-101688</t>
  </si>
  <si>
    <t>PED-101689</t>
  </si>
  <si>
    <t>PED-101690</t>
  </si>
  <si>
    <t>PED-101691</t>
  </si>
  <si>
    <t>PED-101692</t>
  </si>
  <si>
    <t>PED-101693</t>
  </si>
  <si>
    <t>PED-101694</t>
  </si>
  <si>
    <t>PED-101695</t>
  </si>
  <si>
    <t>PED-101696</t>
  </si>
  <si>
    <t>PED-101697</t>
  </si>
  <si>
    <t>PED-101698</t>
  </si>
  <si>
    <t>PED-101699</t>
  </si>
  <si>
    <t>PED-101700</t>
  </si>
  <si>
    <t>PED-101701</t>
  </si>
  <si>
    <t>PED-101702</t>
  </si>
  <si>
    <t>PED-101703</t>
  </si>
  <si>
    <t>PED-101704</t>
  </si>
  <si>
    <t>PED-101705</t>
  </si>
  <si>
    <t>PED-101706</t>
  </si>
  <si>
    <t>PED-101707</t>
  </si>
  <si>
    <t>PED-101708</t>
  </si>
  <si>
    <t>PED-101709</t>
  </si>
  <si>
    <t>PED-101710</t>
  </si>
  <si>
    <t>PED-101711</t>
  </si>
  <si>
    <t>PED-101712</t>
  </si>
  <si>
    <t>PED-101713</t>
  </si>
  <si>
    <t>PED-101714</t>
  </si>
  <si>
    <t>PED-101715</t>
  </si>
  <si>
    <t>PED-101716</t>
  </si>
  <si>
    <t>PED-101717</t>
  </si>
  <si>
    <t>PED-101718</t>
  </si>
  <si>
    <t>PED-101719</t>
  </si>
  <si>
    <t>PED-101720</t>
  </si>
  <si>
    <t>PED-101721</t>
  </si>
  <si>
    <t>PED-101723</t>
  </si>
  <si>
    <t>PED-101724</t>
  </si>
  <si>
    <t>PED-101725</t>
  </si>
  <si>
    <t>PED-101726</t>
  </si>
  <si>
    <t>PED-101727</t>
  </si>
  <si>
    <t>PED-101728</t>
  </si>
  <si>
    <t>PED-101729</t>
  </si>
  <si>
    <t>PED-101730</t>
  </si>
  <si>
    <t>PED-101731</t>
  </si>
  <si>
    <t>PED-101732</t>
  </si>
  <si>
    <t>PED-101733</t>
  </si>
  <si>
    <t>PED-101734</t>
  </si>
  <si>
    <t>PED-101735</t>
  </si>
  <si>
    <t>PED-101736</t>
  </si>
  <si>
    <t>PED-101737</t>
  </si>
  <si>
    <t>PED-101738</t>
  </si>
  <si>
    <t>PED-101739</t>
  </si>
  <si>
    <t>PED-101740</t>
  </si>
  <si>
    <t>PED-101741</t>
  </si>
  <si>
    <t>PED-101742</t>
  </si>
  <si>
    <t>PED-101743</t>
  </si>
  <si>
    <t>PED-101744</t>
  </si>
  <si>
    <t>PED-101745</t>
  </si>
  <si>
    <t>PED-101746</t>
  </si>
  <si>
    <t>PED-101747</t>
  </si>
  <si>
    <t>PED-101748</t>
  </si>
  <si>
    <t>PED-101749</t>
  </si>
  <si>
    <t>PED-101750</t>
  </si>
  <si>
    <t>PED-101751</t>
  </si>
  <si>
    <t>PED-101752</t>
  </si>
  <si>
    <t>PED-101753</t>
  </si>
  <si>
    <t>PED-101754</t>
  </si>
  <si>
    <t>PED-101755</t>
  </si>
  <si>
    <t>PED-101756</t>
  </si>
  <si>
    <t>PED-101757</t>
  </si>
  <si>
    <t>PED-101758</t>
  </si>
  <si>
    <t>PED-101759</t>
  </si>
  <si>
    <t>PED-101760</t>
  </si>
  <si>
    <t>PED-101761</t>
  </si>
  <si>
    <t>PED-101762</t>
  </si>
  <si>
    <t>PED-101763</t>
  </si>
  <si>
    <t>PED-101764</t>
  </si>
  <si>
    <t>PED-101765</t>
  </si>
  <si>
    <t>PED-101766</t>
  </si>
  <si>
    <t>PED-101767</t>
  </si>
  <si>
    <t>PED-101768</t>
  </si>
  <si>
    <t>PED-101769</t>
  </si>
  <si>
    <t>PED-101770</t>
  </si>
  <si>
    <t>PED-101771</t>
  </si>
  <si>
    <t>PED-101772</t>
  </si>
  <si>
    <t>PED-101773</t>
  </si>
  <si>
    <t>PED-101774</t>
  </si>
  <si>
    <t>PED-101775</t>
  </si>
  <si>
    <t>PED-101776</t>
  </si>
  <si>
    <t>PED-101777</t>
  </si>
  <si>
    <t>PED-101778</t>
  </si>
  <si>
    <t>PED-101779</t>
  </si>
  <si>
    <t>PED-101780</t>
  </si>
  <si>
    <t>PED-101781</t>
  </si>
  <si>
    <t>PED-101782</t>
  </si>
  <si>
    <t>PED-101783</t>
  </si>
  <si>
    <t>PED-101784</t>
  </si>
  <si>
    <t>PED-101785</t>
  </si>
  <si>
    <t>PED-101786</t>
  </si>
  <si>
    <t>PED-101787</t>
  </si>
  <si>
    <t>PED-101788</t>
  </si>
  <si>
    <t>PED-101789</t>
  </si>
  <si>
    <t>PED-101790</t>
  </si>
  <si>
    <t>PED-101791</t>
  </si>
  <si>
    <t>PED-101792</t>
  </si>
  <si>
    <t>PED-101793</t>
  </si>
  <si>
    <t>PED-101794</t>
  </si>
  <si>
    <t>PED-101795</t>
  </si>
  <si>
    <t>PED-101796</t>
  </si>
  <si>
    <t>PED-101797</t>
  </si>
  <si>
    <t>PED-101798</t>
  </si>
  <si>
    <t>PED-101799</t>
  </si>
  <si>
    <t>PED-101800</t>
  </si>
  <si>
    <t>PED-101801</t>
  </si>
  <si>
    <t>PED-101802</t>
  </si>
  <si>
    <t>PED-101803</t>
  </si>
  <si>
    <t>PED-101804</t>
  </si>
  <si>
    <t>PED-101805</t>
  </si>
  <si>
    <t>PED-101806</t>
  </si>
  <si>
    <t>PED-101807</t>
  </si>
  <si>
    <t>PED-101808</t>
  </si>
  <si>
    <t>PED-101809</t>
  </si>
  <si>
    <t>PED-101810</t>
  </si>
  <si>
    <t>PED-101811</t>
  </si>
  <si>
    <t>PED-101812</t>
  </si>
  <si>
    <t>PED-101813</t>
  </si>
  <si>
    <t>PED-101814</t>
  </si>
  <si>
    <t>PED-101815</t>
  </si>
  <si>
    <t>PED-101816</t>
  </si>
  <si>
    <t>PED-101817</t>
  </si>
  <si>
    <t>PED-101818</t>
  </si>
  <si>
    <t>PED-101819</t>
  </si>
  <si>
    <t>PED-101820</t>
  </si>
  <si>
    <t>PED-101821</t>
  </si>
  <si>
    <t>PED-101822</t>
  </si>
  <si>
    <t>PED-101823</t>
  </si>
  <si>
    <t>PED-101824</t>
  </si>
  <si>
    <t>PED-101825</t>
  </si>
  <si>
    <t>PED-101826</t>
  </si>
  <si>
    <t>PED-101827</t>
  </si>
  <si>
    <t>PED-101828</t>
  </si>
  <si>
    <t>PED-101829</t>
  </si>
  <si>
    <t>PED-101830</t>
  </si>
  <si>
    <t>PED-101831</t>
  </si>
  <si>
    <t>PED-101832</t>
  </si>
  <si>
    <t>PED-101833</t>
  </si>
  <si>
    <t>PED-101834</t>
  </si>
  <si>
    <t>PED-101835</t>
  </si>
  <si>
    <t>PED-101836</t>
  </si>
  <si>
    <t>PED-101837</t>
  </si>
  <si>
    <t>PED-101838</t>
  </si>
  <si>
    <t>PED-101839</t>
  </si>
  <si>
    <t>PED-101840</t>
  </si>
  <si>
    <t>PED-101841</t>
  </si>
  <si>
    <t>PED-101842</t>
  </si>
  <si>
    <t>PED-101843</t>
  </si>
  <si>
    <t>PED-101844</t>
  </si>
  <si>
    <t>PED-101845</t>
  </si>
  <si>
    <t>PED-101846</t>
  </si>
  <si>
    <t>PED-101847</t>
  </si>
  <si>
    <t>PED-101848</t>
  </si>
  <si>
    <t>PED-101849</t>
  </si>
  <si>
    <t>PED-101850</t>
  </si>
  <si>
    <t>PED-101851</t>
  </si>
  <si>
    <t>PED-101852</t>
  </si>
  <si>
    <t>PED-101853</t>
  </si>
  <si>
    <t>PED-101854</t>
  </si>
  <si>
    <t>PED-101855</t>
  </si>
  <si>
    <t>PED-101856</t>
  </si>
  <si>
    <t>PED-101857</t>
  </si>
  <si>
    <t>PED-101858</t>
  </si>
  <si>
    <t>PED-101859</t>
  </si>
  <si>
    <t>PED-101860</t>
  </si>
  <si>
    <t>PED-101861</t>
  </si>
  <si>
    <t>PED-101862</t>
  </si>
  <si>
    <t>PED-101863</t>
  </si>
  <si>
    <t>PED-101864</t>
  </si>
  <si>
    <t>PED-101865</t>
  </si>
  <si>
    <t>PED-101866</t>
  </si>
  <si>
    <t>PED-101867</t>
  </si>
  <si>
    <t>PED-101868</t>
  </si>
  <si>
    <t>PED-101869</t>
  </si>
  <si>
    <t>PED-101870</t>
  </si>
  <si>
    <t>PED-101871</t>
  </si>
  <si>
    <t>PED-101872</t>
  </si>
  <si>
    <t>PED-101873</t>
  </si>
  <si>
    <t>PED-101874</t>
  </si>
  <si>
    <t>PED-101875</t>
  </si>
  <si>
    <t>PED-101876</t>
  </si>
  <si>
    <t>PED-101877</t>
  </si>
  <si>
    <t>PED-101878</t>
  </si>
  <si>
    <t>PED-101879</t>
  </si>
  <si>
    <t>PED-101880</t>
  </si>
  <si>
    <t>PED-101881</t>
  </si>
  <si>
    <t>PED-101882</t>
  </si>
  <si>
    <t>PED-101883</t>
  </si>
  <si>
    <t>PED-101884</t>
  </si>
  <si>
    <t>PED-101885</t>
  </si>
  <si>
    <t>PED-101886</t>
  </si>
  <si>
    <t>PED-101887</t>
  </si>
  <si>
    <t>PED-101888</t>
  </si>
  <si>
    <t>PED-101889</t>
  </si>
  <si>
    <t>PED-101890</t>
  </si>
  <si>
    <t>PED-101891</t>
  </si>
  <si>
    <t>PED-101892</t>
  </si>
  <si>
    <t>PED-101893</t>
  </si>
  <si>
    <t>PED-101894</t>
  </si>
  <si>
    <t>PED-101895</t>
  </si>
  <si>
    <t>PED-101896</t>
  </si>
  <si>
    <t>PED-101897</t>
  </si>
  <si>
    <t>PED-101898</t>
  </si>
  <si>
    <t>PED-101899</t>
  </si>
  <si>
    <t>PED-101900</t>
  </si>
  <si>
    <t>PED-101901</t>
  </si>
  <si>
    <t>PED-101902</t>
  </si>
  <si>
    <t>PED-101903</t>
  </si>
  <si>
    <t>PED-101904</t>
  </si>
  <si>
    <t>PED-101905</t>
  </si>
  <si>
    <t>PED-101906</t>
  </si>
  <si>
    <t>PED-101907</t>
  </si>
  <si>
    <t>PED-101908</t>
  </si>
  <si>
    <t>PED-101909</t>
  </si>
  <si>
    <t>PED-101910</t>
  </si>
  <si>
    <t>PED-101911</t>
  </si>
  <si>
    <t>PED-101912</t>
  </si>
  <si>
    <t>PED-101913</t>
  </si>
  <si>
    <t>PED-101914</t>
  </si>
  <si>
    <t>PED-101915</t>
  </si>
  <si>
    <t>PED-101916</t>
  </si>
  <si>
    <t>PED-101917</t>
  </si>
  <si>
    <t>PED-101918</t>
  </si>
  <si>
    <t>PED-101919</t>
  </si>
  <si>
    <t>PED-101920</t>
  </si>
  <si>
    <t>PED-101921</t>
  </si>
  <si>
    <t>PED-101922</t>
  </si>
  <si>
    <t>PED-101923</t>
  </si>
  <si>
    <t>PED-101924</t>
  </si>
  <si>
    <t>PED-101925</t>
  </si>
  <si>
    <t>PED-101926</t>
  </si>
  <si>
    <t>PED-101927</t>
  </si>
  <si>
    <t>PED-101928</t>
  </si>
  <si>
    <t>PED-101929</t>
  </si>
  <si>
    <t>PED-101930</t>
  </si>
  <si>
    <t>PED-101931</t>
  </si>
  <si>
    <t>PED-101932</t>
  </si>
  <si>
    <t>PED-101933</t>
  </si>
  <si>
    <t>PED-101934</t>
  </si>
  <si>
    <t>PED-101935</t>
  </si>
  <si>
    <t>PED-101936</t>
  </si>
  <si>
    <t>PED-101937</t>
  </si>
  <si>
    <t>PED-101938</t>
  </si>
  <si>
    <t>PED-101939</t>
  </si>
  <si>
    <t>PED-101940</t>
  </si>
  <si>
    <t>PED-101941</t>
  </si>
  <si>
    <t>PED-101942</t>
  </si>
  <si>
    <t>PED-101943</t>
  </si>
  <si>
    <t>PED-101944</t>
  </si>
  <si>
    <t>PED-101946</t>
  </si>
  <si>
    <t>PED-101947</t>
  </si>
  <si>
    <t>PED-101948</t>
  </si>
  <si>
    <t>PED-101949</t>
  </si>
  <si>
    <t>PED-101950</t>
  </si>
  <si>
    <t>PED-101951</t>
  </si>
  <si>
    <t>PED-101952</t>
  </si>
  <si>
    <t>PED-101953</t>
  </si>
  <si>
    <t>PED-101954</t>
  </si>
  <si>
    <t>PED-101955</t>
  </si>
  <si>
    <t>PED-101956</t>
  </si>
  <si>
    <t>PED-101957</t>
  </si>
  <si>
    <t>PED-101958</t>
  </si>
  <si>
    <t>PED-101959</t>
  </si>
  <si>
    <t>PED-101960</t>
  </si>
  <si>
    <t>PED-101961</t>
  </si>
  <si>
    <t>PED-101962</t>
  </si>
  <si>
    <t>PED-101963</t>
  </si>
  <si>
    <t>PED-101964</t>
  </si>
  <si>
    <t>PED-101965</t>
  </si>
  <si>
    <t>PED-101966</t>
  </si>
  <si>
    <t>PED-101967</t>
  </si>
  <si>
    <t>PED-101968</t>
  </si>
  <si>
    <t>PED-101969</t>
  </si>
  <si>
    <t>PED-101970</t>
  </si>
  <si>
    <t>PED-101971</t>
  </si>
  <si>
    <t>PED-101972</t>
  </si>
  <si>
    <t>PED-101973</t>
  </si>
  <si>
    <t>PED-101974</t>
  </si>
  <si>
    <t>PED-101975</t>
  </si>
  <si>
    <t>PED-101976</t>
  </si>
  <si>
    <t>PED-101977</t>
  </si>
  <si>
    <t>PED-101978</t>
  </si>
  <si>
    <t>PED-101979</t>
  </si>
  <si>
    <t>PED-101980</t>
  </si>
  <si>
    <t>PED-101981</t>
  </si>
  <si>
    <t>PED-101982</t>
  </si>
  <si>
    <t>PED-101983</t>
  </si>
  <si>
    <t>PED-101984</t>
  </si>
  <si>
    <t>PED-101985</t>
  </si>
  <si>
    <t>PED-101986</t>
  </si>
  <si>
    <t>PED-101987</t>
  </si>
  <si>
    <t>PED-101988</t>
  </si>
  <si>
    <t>PED-101989</t>
  </si>
  <si>
    <t>PED-101990</t>
  </si>
  <si>
    <t>PED-101991</t>
  </si>
  <si>
    <t>PED-101992</t>
  </si>
  <si>
    <t>PED-101993</t>
  </si>
  <si>
    <t>PED-101994</t>
  </si>
  <si>
    <t>PED-101995</t>
  </si>
  <si>
    <t>PED-101996</t>
  </si>
  <si>
    <t>PED-101997</t>
  </si>
  <si>
    <t>PED-101998</t>
  </si>
  <si>
    <t>PED-101999</t>
  </si>
  <si>
    <t>PED-102000</t>
  </si>
  <si>
    <t>PED-102001</t>
  </si>
  <si>
    <t>PED-102002</t>
  </si>
  <si>
    <t>PED-102003</t>
  </si>
  <si>
    <t>PED-102004</t>
  </si>
  <si>
    <t>PED-102005</t>
  </si>
  <si>
    <t>PED-102006</t>
  </si>
  <si>
    <t>PED-102007</t>
  </si>
  <si>
    <t>PED-102008</t>
  </si>
  <si>
    <t>PED-102009</t>
  </si>
  <si>
    <t>PED-102010</t>
  </si>
  <si>
    <t>PED-102011</t>
  </si>
  <si>
    <t>PED-102012</t>
  </si>
  <si>
    <t>PED-102013</t>
  </si>
  <si>
    <t>PED-102014</t>
  </si>
  <si>
    <t>PED-102015</t>
  </si>
  <si>
    <t>PED-102016</t>
  </si>
  <si>
    <t>PED-102017</t>
  </si>
  <si>
    <t>PED-102018</t>
  </si>
  <si>
    <t>PED-102019</t>
  </si>
  <si>
    <t>PED-102020</t>
  </si>
  <si>
    <t>PED-102021</t>
  </si>
  <si>
    <t>PED-102022</t>
  </si>
  <si>
    <t>PED-102023</t>
  </si>
  <si>
    <t>PED-102024</t>
  </si>
  <si>
    <t>PED-102025</t>
  </si>
  <si>
    <t>PED-102026</t>
  </si>
  <si>
    <t>PED-102027</t>
  </si>
  <si>
    <t>PED-102028</t>
  </si>
  <si>
    <t>PED-102029</t>
  </si>
  <si>
    <t>PED-102030</t>
  </si>
  <si>
    <t>PED-102031</t>
  </si>
  <si>
    <t>PED-102032</t>
  </si>
  <si>
    <t>PED-102033</t>
  </si>
  <si>
    <t>PED-102034</t>
  </si>
  <si>
    <t>PED-102035</t>
  </si>
  <si>
    <t>PED-102036</t>
  </si>
  <si>
    <t>PED-102037</t>
  </si>
  <si>
    <t>PED-102038</t>
  </si>
  <si>
    <t>PED-102039</t>
  </si>
  <si>
    <t>PED-102040</t>
  </si>
  <si>
    <t>PED-102041</t>
  </si>
  <si>
    <t>PED-102042</t>
  </si>
  <si>
    <t>PED-102043</t>
  </si>
  <si>
    <t>PED-102044</t>
  </si>
  <si>
    <t>PED-102045</t>
  </si>
  <si>
    <t>PED-102046</t>
  </si>
  <si>
    <t>PED-102047</t>
  </si>
  <si>
    <t>PED-102048</t>
  </si>
  <si>
    <t>PED-102049</t>
  </si>
  <si>
    <t>PED-102050</t>
  </si>
  <si>
    <t>PED-102051</t>
  </si>
  <si>
    <t>PED-102052</t>
  </si>
  <si>
    <t>PED-102053</t>
  </si>
  <si>
    <t>PED-102054</t>
  </si>
  <si>
    <t>PED-102055</t>
  </si>
  <si>
    <t>PED-102056</t>
  </si>
  <si>
    <t>PED-102057</t>
  </si>
  <si>
    <t>PED-102058</t>
  </si>
  <si>
    <t>PED-102059</t>
  </si>
  <si>
    <t>PED-102060</t>
  </si>
  <si>
    <t>PED-102061</t>
  </si>
  <si>
    <t>PED-102062</t>
  </si>
  <si>
    <t>PED-102063</t>
  </si>
  <si>
    <t>PED-102064</t>
  </si>
  <si>
    <t>PED-102065</t>
  </si>
  <si>
    <t>PED-102066</t>
  </si>
  <si>
    <t>PED-102067</t>
  </si>
  <si>
    <t>PED-102068</t>
  </si>
  <si>
    <t>PED-102069</t>
  </si>
  <si>
    <t>PED-102070</t>
  </si>
  <si>
    <t>PED-102071</t>
  </si>
  <si>
    <t>PED-102072</t>
  </si>
  <si>
    <t>PED-102073</t>
  </si>
  <si>
    <t>PED-102074</t>
  </si>
  <si>
    <t>PED-102075</t>
  </si>
  <si>
    <t>PED-102076</t>
  </si>
  <si>
    <t>PED-102077</t>
  </si>
  <si>
    <t>PED-102078</t>
  </si>
  <si>
    <t>PED-102079</t>
  </si>
  <si>
    <t>PED-102080</t>
  </si>
  <si>
    <t>PED-102081</t>
  </si>
  <si>
    <t>PED-102082</t>
  </si>
  <si>
    <t>PED-102083</t>
  </si>
  <si>
    <t>PED-102084</t>
  </si>
  <si>
    <t>PED-102085</t>
  </si>
  <si>
    <t>PED-102086</t>
  </si>
  <si>
    <t>PED-102087</t>
  </si>
  <si>
    <t>PED-102088</t>
  </si>
  <si>
    <t>PED-102089</t>
  </si>
  <si>
    <t>PED-102090</t>
  </si>
  <si>
    <t>PED-102091</t>
  </si>
  <si>
    <t>PED-102092</t>
  </si>
  <si>
    <t>PED-102093</t>
  </si>
  <si>
    <t>PED-102094</t>
  </si>
  <si>
    <t>PED-102095</t>
  </si>
  <si>
    <t>PED-102096</t>
  </si>
  <si>
    <t>PED-102097</t>
  </si>
  <si>
    <t>PED-102098</t>
  </si>
  <si>
    <t>PED-102099</t>
  </si>
  <si>
    <t>PED-102100</t>
  </si>
  <si>
    <t>PED-102101</t>
  </si>
  <si>
    <t>PED-102102</t>
  </si>
  <si>
    <t>PED-102103</t>
  </si>
  <si>
    <t>PED-102104</t>
  </si>
  <si>
    <t>PED-102105</t>
  </si>
  <si>
    <t>PED-102106</t>
  </si>
  <si>
    <t>PED-102107</t>
  </si>
  <si>
    <t>PED-102108</t>
  </si>
  <si>
    <t>PED-102109</t>
  </si>
  <si>
    <t>PED-102110</t>
  </si>
  <si>
    <t>PED-102111</t>
  </si>
  <si>
    <t>PED-102112</t>
  </si>
  <si>
    <t>PED-102113</t>
  </si>
  <si>
    <t>PED-102114</t>
  </si>
  <si>
    <t>PED-102115</t>
  </si>
  <si>
    <t>PED-102116</t>
  </si>
  <si>
    <t>PED-102117</t>
  </si>
  <si>
    <t>PED-102118</t>
  </si>
  <si>
    <t>PED-102120</t>
  </si>
  <si>
    <t>PED-102121</t>
  </si>
  <si>
    <t>PED-102122</t>
  </si>
  <si>
    <t>PED-102123</t>
  </si>
  <si>
    <t>PED-102124</t>
  </si>
  <si>
    <t>PED-102125</t>
  </si>
  <si>
    <t>PED-102126</t>
  </si>
  <si>
    <t>PED-102127</t>
  </si>
  <si>
    <t>PED-102128</t>
  </si>
  <si>
    <t>PED-102129</t>
  </si>
  <si>
    <t>PED-102130</t>
  </si>
  <si>
    <t>PED-102131</t>
  </si>
  <si>
    <t>PED-102132</t>
  </si>
  <si>
    <t>PED-102133</t>
  </si>
  <si>
    <t>PED-102134</t>
  </si>
  <si>
    <t>PED-102135</t>
  </si>
  <si>
    <t>PED-102136</t>
  </si>
  <si>
    <t>PED-102137</t>
  </si>
  <si>
    <t>PED-102138</t>
  </si>
  <si>
    <t>PED-102139</t>
  </si>
  <si>
    <t>PED-102140</t>
  </si>
  <si>
    <t>PED-102141</t>
  </si>
  <si>
    <t>PED-102142</t>
  </si>
  <si>
    <t>PED-102143</t>
  </si>
  <si>
    <t>PED-102144</t>
  </si>
  <si>
    <t>PED-102145</t>
  </si>
  <si>
    <t>PED-102146</t>
  </si>
  <si>
    <t>PED-102147</t>
  </si>
  <si>
    <t>PED-102148</t>
  </si>
  <si>
    <t>PED-102149</t>
  </si>
  <si>
    <t>PED-102150</t>
  </si>
  <si>
    <t>PED-102151</t>
  </si>
  <si>
    <t>PED-102152</t>
  </si>
  <si>
    <t>PED-102153</t>
  </si>
  <si>
    <t>PED-102154</t>
  </si>
  <si>
    <t>PED-102155</t>
  </si>
  <si>
    <t>PED-102156</t>
  </si>
  <si>
    <t>PED-102157</t>
  </si>
  <si>
    <t>PED-102158</t>
  </si>
  <si>
    <t>PED-102159</t>
  </si>
  <si>
    <t>PED-102160</t>
  </si>
  <si>
    <t>PED-102161</t>
  </si>
  <si>
    <t>PED-102162</t>
  </si>
  <si>
    <t>PED-102163</t>
  </si>
  <si>
    <t>PED-102164</t>
  </si>
  <si>
    <t>PED-102165</t>
  </si>
  <si>
    <t>PED-102166</t>
  </si>
  <si>
    <t>PED-102167</t>
  </si>
  <si>
    <t>PED-102168</t>
  </si>
  <si>
    <t>PED-102169</t>
  </si>
  <si>
    <t>PED-102170</t>
  </si>
  <si>
    <t>PED-102171</t>
  </si>
  <si>
    <t>PED-102172</t>
  </si>
  <si>
    <t>PED-102173</t>
  </si>
  <si>
    <t>PED-102174</t>
  </si>
  <si>
    <t>PED-102175</t>
  </si>
  <si>
    <t>PED-102176</t>
  </si>
  <si>
    <t>PED-102177</t>
  </si>
  <si>
    <t>PED-102178</t>
  </si>
  <si>
    <t>PED-102179</t>
  </si>
  <si>
    <t>PED-102180</t>
  </si>
  <si>
    <t>PED-102181</t>
  </si>
  <si>
    <t>PED-102182</t>
  </si>
  <si>
    <t>PED-102183</t>
  </si>
  <si>
    <t>PED-102184</t>
  </si>
  <si>
    <t>PED-102185</t>
  </si>
  <si>
    <t>PED-102186</t>
  </si>
  <si>
    <t>PED-102187</t>
  </si>
  <si>
    <t>PED-102188</t>
  </si>
  <si>
    <t>PED-102189</t>
  </si>
  <si>
    <t>PED-102190</t>
  </si>
  <si>
    <t>PED-102191</t>
  </si>
  <si>
    <t>PED-102192</t>
  </si>
  <si>
    <t>PED-102193</t>
  </si>
  <si>
    <t>PED-102194</t>
  </si>
  <si>
    <t>PED-102195</t>
  </si>
  <si>
    <t>PED-102196</t>
  </si>
  <si>
    <t>PED-102197</t>
  </si>
  <si>
    <t>PED-102198</t>
  </si>
  <si>
    <t>PED-102199</t>
  </si>
  <si>
    <t>PED-102200</t>
  </si>
  <si>
    <t>PED-102201</t>
  </si>
  <si>
    <t>PED-102202</t>
  </si>
  <si>
    <t>PED-102203</t>
  </si>
  <si>
    <t>PED-102204</t>
  </si>
  <si>
    <t>PED-102205</t>
  </si>
  <si>
    <t>PED-102206</t>
  </si>
  <si>
    <t>PED-102207</t>
  </si>
  <si>
    <t>PED-102208</t>
  </si>
  <si>
    <t>PED-102209</t>
  </si>
  <si>
    <t>PED-102210</t>
  </si>
  <si>
    <t>PED-102211</t>
  </si>
  <si>
    <t>PED-102212</t>
  </si>
  <si>
    <t>PED-102213</t>
  </si>
  <si>
    <t>PED-102214</t>
  </si>
  <si>
    <t>PED-102215</t>
  </si>
  <si>
    <t>PED-102216</t>
  </si>
  <si>
    <t>PED-102217</t>
  </si>
  <si>
    <t>PED-102218</t>
  </si>
  <si>
    <t>PED-102219</t>
  </si>
  <si>
    <t>PED-102220</t>
  </si>
  <si>
    <t>PED-102221</t>
  </si>
  <si>
    <t>PED-102222</t>
  </si>
  <si>
    <t>PED-102223</t>
  </si>
  <si>
    <t>PED-102224</t>
  </si>
  <si>
    <t>PED-102225</t>
  </si>
  <si>
    <t>PED-102226</t>
  </si>
  <si>
    <t>PED-102227</t>
  </si>
  <si>
    <t>PED-102228</t>
  </si>
  <si>
    <t>PED-102229</t>
  </si>
  <si>
    <t>PED-102230</t>
  </si>
  <si>
    <t>PED-102231</t>
  </si>
  <si>
    <t>PED-102232</t>
  </si>
  <si>
    <t>PED-102233</t>
  </si>
  <si>
    <t>PED-102234</t>
  </si>
  <si>
    <t>PED-102235</t>
  </si>
  <si>
    <t>PED-102236</t>
  </si>
  <si>
    <t>PED-102237</t>
  </si>
  <si>
    <t>PED-102238</t>
  </si>
  <si>
    <t>PED-102239</t>
  </si>
  <si>
    <t>PED-102240</t>
  </si>
  <si>
    <t>PED-102241</t>
  </si>
  <si>
    <t>PED-102242</t>
  </si>
  <si>
    <t>PED-102243</t>
  </si>
  <si>
    <t>PED-102244</t>
  </si>
  <si>
    <t>PED-102245</t>
  </si>
  <si>
    <t>PED-102246</t>
  </si>
  <si>
    <t>PED-102247</t>
  </si>
  <si>
    <t>PED-102248</t>
  </si>
  <si>
    <t>PED-102249</t>
  </si>
  <si>
    <t>PED-102250</t>
  </si>
  <si>
    <t>PED-102251</t>
  </si>
  <si>
    <t>PED-102252</t>
  </si>
  <si>
    <t>PED-102253</t>
  </si>
  <si>
    <t>PED-102254</t>
  </si>
  <si>
    <t>PED-102255</t>
  </si>
  <si>
    <t>PED-102256</t>
  </si>
  <si>
    <t>PED-102257</t>
  </si>
  <si>
    <t>PED-102258</t>
  </si>
  <si>
    <t>PED-102259</t>
  </si>
  <si>
    <t>PED-102260</t>
  </si>
  <si>
    <t>PED-102261</t>
  </si>
  <si>
    <t>PED-102262</t>
  </si>
  <si>
    <t>PED-102263</t>
  </si>
  <si>
    <t>PED-102264</t>
  </si>
  <si>
    <t>PED-102265</t>
  </si>
  <si>
    <t>PED-102266</t>
  </si>
  <si>
    <t>PED-102267</t>
  </si>
  <si>
    <t>PED-102268</t>
  </si>
  <si>
    <t>PED-102269</t>
  </si>
  <si>
    <t>PED-102270</t>
  </si>
  <si>
    <t>PED-102271</t>
  </si>
  <si>
    <t>PED-102272</t>
  </si>
  <si>
    <t>PED-102273</t>
  </si>
  <si>
    <t>PED-102274</t>
  </si>
  <si>
    <t>PED-102275</t>
  </si>
  <si>
    <t>PED-102276</t>
  </si>
  <si>
    <t>PED-102277</t>
  </si>
  <si>
    <t>PED-102278</t>
  </si>
  <si>
    <t>PED-102279</t>
  </si>
  <si>
    <t>PED-102280</t>
  </si>
  <si>
    <t>PED-102281</t>
  </si>
  <si>
    <t>PED-102282</t>
  </si>
  <si>
    <t>PED-102283</t>
  </si>
  <si>
    <t>PED-102284</t>
  </si>
  <si>
    <t>PED-102285</t>
  </si>
  <si>
    <t>PED-102286</t>
  </si>
  <si>
    <t>PED-102287</t>
  </si>
  <si>
    <t>PED-102288</t>
  </si>
  <si>
    <t>PED-102289</t>
  </si>
  <si>
    <t>PED-102290</t>
  </si>
  <si>
    <t>PED-102292</t>
  </si>
  <si>
    <t>PED-102293</t>
  </si>
  <si>
    <t>PED-102294</t>
  </si>
  <si>
    <t>PED-102295</t>
  </si>
  <si>
    <t>PED-102296</t>
  </si>
  <si>
    <t>PED-102297</t>
  </si>
  <si>
    <t>PED-102298</t>
  </si>
  <si>
    <t>PED-102299</t>
  </si>
  <si>
    <t>PED-102300</t>
  </si>
  <si>
    <t>PED-102301</t>
  </si>
  <si>
    <t>PED-102302</t>
  </si>
  <si>
    <t>PED-102303</t>
  </si>
  <si>
    <t>PED-102304</t>
  </si>
  <si>
    <t>PED-102305</t>
  </si>
  <si>
    <t>PED-102306</t>
  </si>
  <si>
    <t>PED-102307</t>
  </si>
  <si>
    <t>PED-102308</t>
  </si>
  <si>
    <t>PED-102309</t>
  </si>
  <si>
    <t>PED-102310</t>
  </si>
  <si>
    <t>PED-102311</t>
  </si>
  <si>
    <t>PED-102312</t>
  </si>
  <si>
    <t>PED-102313</t>
  </si>
  <si>
    <t>PED-102314</t>
  </si>
  <si>
    <t>PED-102315</t>
  </si>
  <si>
    <t>PED-102316</t>
  </si>
  <si>
    <t>PED-102317</t>
  </si>
  <si>
    <t>PED-102318</t>
  </si>
  <si>
    <t>PED-102319</t>
  </si>
  <si>
    <t>PED-102320</t>
  </si>
  <si>
    <t>PED-102321</t>
  </si>
  <si>
    <t>PED-102322</t>
  </si>
  <si>
    <t>PED-102323</t>
  </si>
  <si>
    <t>PED-102324</t>
  </si>
  <si>
    <t>PED-102325</t>
  </si>
  <si>
    <t>PED-102326</t>
  </si>
  <si>
    <t>PED-102327</t>
  </si>
  <si>
    <t>PED-102328</t>
  </si>
  <si>
    <t>PED-102329</t>
  </si>
  <si>
    <t>PED-102330</t>
  </si>
  <si>
    <t>PED-102331</t>
  </si>
  <si>
    <t>PED-102332</t>
  </si>
  <si>
    <t>PED-102333</t>
  </si>
  <si>
    <t>PED-102334</t>
  </si>
  <si>
    <t>PED-102335</t>
  </si>
  <si>
    <t>PED-102336</t>
  </si>
  <si>
    <t>PED-102337</t>
  </si>
  <si>
    <t>PED-102338</t>
  </si>
  <si>
    <t>PED-102339</t>
  </si>
  <si>
    <t>PED-102340</t>
  </si>
  <si>
    <t>PED-102341</t>
  </si>
  <si>
    <t>PED-102342</t>
  </si>
  <si>
    <t>PED-102343</t>
  </si>
  <si>
    <t>PED-102344</t>
  </si>
  <si>
    <t>PED-102345</t>
  </si>
  <si>
    <t>PED-102346</t>
  </si>
  <si>
    <t>PED-102347</t>
  </si>
  <si>
    <t>PED-102348</t>
  </si>
  <si>
    <t>PED-102349</t>
  </si>
  <si>
    <t>PED-102350</t>
  </si>
  <si>
    <t>PED-102351</t>
  </si>
  <si>
    <t>PED-102352</t>
  </si>
  <si>
    <t>PED-102353</t>
  </si>
  <si>
    <t>PED-102354</t>
  </si>
  <si>
    <t>PED-102355</t>
  </si>
  <si>
    <t>PED-102356</t>
  </si>
  <si>
    <t>PED-102357</t>
  </si>
  <si>
    <t>PED-102358</t>
  </si>
  <si>
    <t>PED-102359</t>
  </si>
  <si>
    <t>PED-102360</t>
  </si>
  <si>
    <t>PED-102361</t>
  </si>
  <si>
    <t>PED-102362</t>
  </si>
  <si>
    <t>PED-102363</t>
  </si>
  <si>
    <t>PED-102364</t>
  </si>
  <si>
    <t>PED-102365</t>
  </si>
  <si>
    <t>PED-102366</t>
  </si>
  <si>
    <t>PED-102367</t>
  </si>
  <si>
    <t>PED-102368</t>
  </si>
  <si>
    <t>PED-102369</t>
  </si>
  <si>
    <t>PED-102370</t>
  </si>
  <si>
    <t>PED-102371</t>
  </si>
  <si>
    <t>PED-102372</t>
  </si>
  <si>
    <t>PED-102373</t>
  </si>
  <si>
    <t>PED-102374</t>
  </si>
  <si>
    <t>PED-102375</t>
  </si>
  <si>
    <t>PED-102376</t>
  </si>
  <si>
    <t>PED-102377</t>
  </si>
  <si>
    <t>PED-102378</t>
  </si>
  <si>
    <t>PED-102379</t>
  </si>
  <si>
    <t>PED-102380</t>
  </si>
  <si>
    <t>PED-102381</t>
  </si>
  <si>
    <t>PED-102382</t>
  </si>
  <si>
    <t>PED-102383</t>
  </si>
  <si>
    <t>PED-102384</t>
  </si>
  <si>
    <t>PED-102385</t>
  </si>
  <si>
    <t>PED-102386</t>
  </si>
  <si>
    <t>PED-102387</t>
  </si>
  <si>
    <t>PED-102388</t>
  </si>
  <si>
    <t>PED-102389</t>
  </si>
  <si>
    <t>PED-102390</t>
  </si>
  <si>
    <t>PED-102391</t>
  </si>
  <si>
    <t>PED-102392</t>
  </si>
  <si>
    <t>PED-102393</t>
  </si>
  <si>
    <t>PED-102394</t>
  </si>
  <si>
    <t>PED-102395</t>
  </si>
  <si>
    <t>PED-102396</t>
  </si>
  <si>
    <t>PED-102397</t>
  </si>
  <si>
    <t>PED-102398</t>
  </si>
  <si>
    <t>PED-102399</t>
  </si>
  <si>
    <t>PED-102400</t>
  </si>
  <si>
    <t>PED-102401</t>
  </si>
  <si>
    <t>PED-102402</t>
  </si>
  <si>
    <t>PED-102403</t>
  </si>
  <si>
    <t>PED-102404</t>
  </si>
  <si>
    <t>PED-102405</t>
  </si>
  <si>
    <t>PED-102406</t>
  </si>
  <si>
    <t>PED-102407</t>
  </si>
  <si>
    <t>PED-102408</t>
  </si>
  <si>
    <t>PED-102409</t>
  </si>
  <si>
    <t>PED-102410</t>
  </si>
  <si>
    <t>PED-102411</t>
  </si>
  <si>
    <t>PED-102412</t>
  </si>
  <si>
    <t>PED-102413</t>
  </si>
  <si>
    <t>PED-102414</t>
  </si>
  <si>
    <t>PED-102415</t>
  </si>
  <si>
    <t>PED-102416</t>
  </si>
  <si>
    <t>PED-102417</t>
  </si>
  <si>
    <t>PED-102418</t>
  </si>
  <si>
    <t>PED-102419</t>
  </si>
  <si>
    <t>PED-102420</t>
  </si>
  <si>
    <t>PED-102421</t>
  </si>
  <si>
    <t>PED-102422</t>
  </si>
  <si>
    <t>PED-102423</t>
  </si>
  <si>
    <t>PED-102424</t>
  </si>
  <si>
    <t>PED-102425</t>
  </si>
  <si>
    <t>PED-102426</t>
  </si>
  <si>
    <t>PED-102427</t>
  </si>
  <si>
    <t>PED-102428</t>
  </si>
  <si>
    <t>PED-102429</t>
  </si>
  <si>
    <t>PED-102430</t>
  </si>
  <si>
    <t>PED-102431</t>
  </si>
  <si>
    <t>PED-102432</t>
  </si>
  <si>
    <t>PED-102433</t>
  </si>
  <si>
    <t>PED-102434</t>
  </si>
  <si>
    <t>PED-102435</t>
  </si>
  <si>
    <t>PED-102436</t>
  </si>
  <si>
    <t>PED-102437</t>
  </si>
  <si>
    <t>PED-102438</t>
  </si>
  <si>
    <t>PED-102439</t>
  </si>
  <si>
    <t>PED-102440</t>
  </si>
  <si>
    <t>PED-102441</t>
  </si>
  <si>
    <t>PED-102442</t>
  </si>
  <si>
    <t>PED-102443</t>
  </si>
  <si>
    <t>PED-102444</t>
  </si>
  <si>
    <t>PED-102445</t>
  </si>
  <si>
    <t>PED-102446</t>
  </si>
  <si>
    <t>PED-102447</t>
  </si>
  <si>
    <t>PED-102448</t>
  </si>
  <si>
    <t>PED-102449</t>
  </si>
  <si>
    <t>PED-102450</t>
  </si>
  <si>
    <t>PED-102451</t>
  </si>
  <si>
    <t>PED-102452</t>
  </si>
  <si>
    <t>PED-102453</t>
  </si>
  <si>
    <t>PED-102454</t>
  </si>
  <si>
    <t>PED-102455</t>
  </si>
  <si>
    <t>PED-102456</t>
  </si>
  <si>
    <t>PED-102457</t>
  </si>
  <si>
    <t>PED-102458</t>
  </si>
  <si>
    <t>PED-102459</t>
  </si>
  <si>
    <t>PED-102460</t>
  </si>
  <si>
    <t>PED-102461</t>
  </si>
  <si>
    <t>PED-102462</t>
  </si>
  <si>
    <t>PED-102463</t>
  </si>
  <si>
    <t>PED-102464</t>
  </si>
  <si>
    <t>PED-102465</t>
  </si>
  <si>
    <t>PED-102466</t>
  </si>
  <si>
    <t>PED-102467</t>
  </si>
  <si>
    <t>PED-102468</t>
  </si>
  <si>
    <t>PED-102469</t>
  </si>
  <si>
    <t>PED-102470</t>
  </si>
  <si>
    <t>PED-102471</t>
  </si>
  <si>
    <t>PED-102472</t>
  </si>
  <si>
    <t>PED-102473</t>
  </si>
  <si>
    <t>PED-102474</t>
  </si>
  <si>
    <t>PED-102475</t>
  </si>
  <si>
    <t>PED-102476</t>
  </si>
  <si>
    <t>PED-102477</t>
  </si>
  <si>
    <t>PED-102478</t>
  </si>
  <si>
    <t>PED-102479</t>
  </si>
  <si>
    <t>PED-102480</t>
  </si>
  <si>
    <t>PED-102481</t>
  </si>
  <si>
    <t>PED-102482</t>
  </si>
  <si>
    <t>PED-102483</t>
  </si>
  <si>
    <t>PED-102484</t>
  </si>
  <si>
    <t>PED-102485</t>
  </si>
  <si>
    <t>PED-102486</t>
  </si>
  <si>
    <t>PED-102487</t>
  </si>
  <si>
    <t>PED-102488</t>
  </si>
  <si>
    <t>PED-102490</t>
  </si>
  <si>
    <t>PED-102491</t>
  </si>
  <si>
    <t>PED-102492</t>
  </si>
  <si>
    <t>PED-102493</t>
  </si>
  <si>
    <t>PED-102494</t>
  </si>
  <si>
    <t>PED-102495</t>
  </si>
  <si>
    <t>PED-102496</t>
  </si>
  <si>
    <t>PED-102497</t>
  </si>
  <si>
    <t>PED-102498</t>
  </si>
  <si>
    <t>PED-102499</t>
  </si>
  <si>
    <t>PED-102500</t>
  </si>
  <si>
    <t>PED-102501</t>
  </si>
  <si>
    <t>PED-102502</t>
  </si>
  <si>
    <t>PED-102503</t>
  </si>
  <si>
    <t>PED-102504</t>
  </si>
  <si>
    <t>PED-102505</t>
  </si>
  <si>
    <t>PED-102506</t>
  </si>
  <si>
    <t>PED-102507</t>
  </si>
  <si>
    <t>PED-102508</t>
  </si>
  <si>
    <t>PED-102509</t>
  </si>
  <si>
    <t>PED-102510</t>
  </si>
  <si>
    <t>PED-102511</t>
  </si>
  <si>
    <t>PED-102512</t>
  </si>
  <si>
    <t>PED-102513</t>
  </si>
  <si>
    <t>PED-102514</t>
  </si>
  <si>
    <t>PED-102515</t>
  </si>
  <si>
    <t>PED-102516</t>
  </si>
  <si>
    <t>PED-102517</t>
  </si>
  <si>
    <t>PED-102518</t>
  </si>
  <si>
    <t>PED-102519</t>
  </si>
  <si>
    <t>PED-102520</t>
  </si>
  <si>
    <t>PED-102521</t>
  </si>
  <si>
    <t>PED-102522</t>
  </si>
  <si>
    <t>PED-102523</t>
  </si>
  <si>
    <t>PED-102524</t>
  </si>
  <si>
    <t>PED-102525</t>
  </si>
  <si>
    <t>PED-102526</t>
  </si>
  <si>
    <t>PED-102527</t>
  </si>
  <si>
    <t>PED-102528</t>
  </si>
  <si>
    <t>PED-102529</t>
  </si>
  <si>
    <t>PED-102530</t>
  </si>
  <si>
    <t>PED-102531</t>
  </si>
  <si>
    <t>PED-102532</t>
  </si>
  <si>
    <t>PED-102533</t>
  </si>
  <si>
    <t>PED-102534</t>
  </si>
  <si>
    <t>PED-102535</t>
  </si>
  <si>
    <t>PED-102536</t>
  </si>
  <si>
    <t>PED-102537</t>
  </si>
  <si>
    <t>PED-102538</t>
  </si>
  <si>
    <t>PED-102539</t>
  </si>
  <si>
    <t>PED-102540</t>
  </si>
  <si>
    <t>PED-102541</t>
  </si>
  <si>
    <t>PED-102542</t>
  </si>
  <si>
    <t>PED-102543</t>
  </si>
  <si>
    <t>PED-102544</t>
  </si>
  <si>
    <t>PED-102545</t>
  </si>
  <si>
    <t>PED-102546</t>
  </si>
  <si>
    <t>PED-102547</t>
  </si>
  <si>
    <t>PED-102548</t>
  </si>
  <si>
    <t>PED-102549</t>
  </si>
  <si>
    <t>PED-102550</t>
  </si>
  <si>
    <t>PED-102551</t>
  </si>
  <si>
    <t>PED-102552</t>
  </si>
  <si>
    <t>PED-102553</t>
  </si>
  <si>
    <t>PED-102554</t>
  </si>
  <si>
    <t>PED-102555</t>
  </si>
  <si>
    <t>PED-102556</t>
  </si>
  <si>
    <t>PED-102557</t>
  </si>
  <si>
    <t>PED-102558</t>
  </si>
  <si>
    <t>PED-102559</t>
  </si>
  <si>
    <t>PED-102560</t>
  </si>
  <si>
    <t>PED-102561</t>
  </si>
  <si>
    <t>PED-102562</t>
  </si>
  <si>
    <t>PED-102563</t>
  </si>
  <si>
    <t>PED-102564</t>
  </si>
  <si>
    <t>PED-102565</t>
  </si>
  <si>
    <t>PED-102566</t>
  </si>
  <si>
    <t>PED-102567</t>
  </si>
  <si>
    <t>PED-102568</t>
  </si>
  <si>
    <t>PED-102569</t>
  </si>
  <si>
    <t>PED-102570</t>
  </si>
  <si>
    <t>PED-102571</t>
  </si>
  <si>
    <t>PED-102572</t>
  </si>
  <si>
    <t>PED-102573</t>
  </si>
  <si>
    <t>PED-102574</t>
  </si>
  <si>
    <t>PED-102575</t>
  </si>
  <si>
    <t>PED-102576</t>
  </si>
  <si>
    <t>PED-102577</t>
  </si>
  <si>
    <t>PED-102578</t>
  </si>
  <si>
    <t>PED-102579</t>
  </si>
  <si>
    <t>PED-102580</t>
  </si>
  <si>
    <t>PED-102581</t>
  </si>
  <si>
    <t>PED-102582</t>
  </si>
  <si>
    <t>PED-102583</t>
  </si>
  <si>
    <t>PED-102584</t>
  </si>
  <si>
    <t>PED-102585</t>
  </si>
  <si>
    <t>PED-102586</t>
  </si>
  <si>
    <t>PED-102587</t>
  </si>
  <si>
    <t>PED-102588</t>
  </si>
  <si>
    <t>PED-102589</t>
  </si>
  <si>
    <t>PED-102590</t>
  </si>
  <si>
    <t>PED-102591</t>
  </si>
  <si>
    <t>PED-102592</t>
  </si>
  <si>
    <t>PED-102593</t>
  </si>
  <si>
    <t>PED-102594</t>
  </si>
  <si>
    <t>PED-102595</t>
  </si>
  <si>
    <t>PED-102596</t>
  </si>
  <si>
    <t>PED-102597</t>
  </si>
  <si>
    <t>PED-102598</t>
  </si>
  <si>
    <t>PED-102599</t>
  </si>
  <si>
    <t>PED-102600</t>
  </si>
  <si>
    <t>PED-102601</t>
  </si>
  <si>
    <t>PED-102602</t>
  </si>
  <si>
    <t>PED-102603</t>
  </si>
  <si>
    <t>PED-102604</t>
  </si>
  <si>
    <t>PED-102605</t>
  </si>
  <si>
    <t>PED-102606</t>
  </si>
  <si>
    <t>PED-102607</t>
  </si>
  <si>
    <t>PED-102608</t>
  </si>
  <si>
    <t>PED-102609</t>
  </si>
  <si>
    <t>PED-102610</t>
  </si>
  <si>
    <t>PED-102611</t>
  </si>
  <si>
    <t>PED-102612</t>
  </si>
  <si>
    <t>PED-102613</t>
  </si>
  <si>
    <t>PED-102614</t>
  </si>
  <si>
    <t>PED-102615</t>
  </si>
  <si>
    <t>PED-102616</t>
  </si>
  <si>
    <t>PED-102617</t>
  </si>
  <si>
    <t>PED-102618</t>
  </si>
  <si>
    <t>PED-102619</t>
  </si>
  <si>
    <t>PED-102620</t>
  </si>
  <si>
    <t>PED-102621</t>
  </si>
  <si>
    <t>PED-102622</t>
  </si>
  <si>
    <t>PED-102623</t>
  </si>
  <si>
    <t>PED-102624</t>
  </si>
  <si>
    <t>PED-102625</t>
  </si>
  <si>
    <t>PED-102626</t>
  </si>
  <si>
    <t>PED-102627</t>
  </si>
  <si>
    <t>PED-102628</t>
  </si>
  <si>
    <t>PED-102629</t>
  </si>
  <si>
    <t>PED-102630</t>
  </si>
  <si>
    <t>PED-102631</t>
  </si>
  <si>
    <t>PED-102633</t>
  </si>
  <si>
    <t>PED-102634</t>
  </si>
  <si>
    <t>PED-102635</t>
  </si>
  <si>
    <t>PED-102636</t>
  </si>
  <si>
    <t>PED-102637</t>
  </si>
  <si>
    <t>PED-102638</t>
  </si>
  <si>
    <t>PED-102639</t>
  </si>
  <si>
    <t>PED-102640</t>
  </si>
  <si>
    <t>PED-102641</t>
  </si>
  <si>
    <t>PED-102642</t>
  </si>
  <si>
    <t>PED-102643</t>
  </si>
  <si>
    <t>PED-102644</t>
  </si>
  <si>
    <t>PED-102645</t>
  </si>
  <si>
    <t>PED-102646</t>
  </si>
  <si>
    <t>PED-102647</t>
  </si>
  <si>
    <t>PED-102648</t>
  </si>
  <si>
    <t>PED-102649</t>
  </si>
  <si>
    <t>PED-102650</t>
  </si>
  <si>
    <t>PED-102651</t>
  </si>
  <si>
    <t>PED-102652</t>
  </si>
  <si>
    <t>PED-102653</t>
  </si>
  <si>
    <t>PED-102654</t>
  </si>
  <si>
    <t>PED-102655</t>
  </si>
  <si>
    <t>PED-102656</t>
  </si>
  <si>
    <t>PED-102657</t>
  </si>
  <si>
    <t>PED-102658</t>
  </si>
  <si>
    <t>PED-102659</t>
  </si>
  <si>
    <t>PED-102660</t>
  </si>
  <si>
    <t>PED-102661</t>
  </si>
  <si>
    <t>PED-102662</t>
  </si>
  <si>
    <t>PED-102663</t>
  </si>
  <si>
    <t>PED-102664</t>
  </si>
  <si>
    <t>PED-102665</t>
  </si>
  <si>
    <t>PED-102666</t>
  </si>
  <si>
    <t>PED-102667</t>
  </si>
  <si>
    <t>PED-102668</t>
  </si>
  <si>
    <t>PED-102669</t>
  </si>
  <si>
    <t>PED-102670</t>
  </si>
  <si>
    <t>PED-102671</t>
  </si>
  <si>
    <t>PED-102672</t>
  </si>
  <si>
    <t>PED-102673</t>
  </si>
  <si>
    <t>PED-102674</t>
  </si>
  <si>
    <t>PED-102675</t>
  </si>
  <si>
    <t>PED-102676</t>
  </si>
  <si>
    <t>PED-102677</t>
  </si>
  <si>
    <t>PED-102678</t>
  </si>
  <si>
    <t>PED-102679</t>
  </si>
  <si>
    <t>PED-102680</t>
  </si>
  <si>
    <t>PED-102681</t>
  </si>
  <si>
    <t>PED-102682</t>
  </si>
  <si>
    <t>PED-102683</t>
  </si>
  <si>
    <t>PED-102684</t>
  </si>
  <si>
    <t>PED-102685</t>
  </si>
  <si>
    <t>PED-102686</t>
  </si>
  <si>
    <t>PED-102687</t>
  </si>
  <si>
    <t>PED-102688</t>
  </si>
  <si>
    <t>PED-102689</t>
  </si>
  <si>
    <t>PED-102690</t>
  </si>
  <si>
    <t>PED-102691</t>
  </si>
  <si>
    <t>PED-102692</t>
  </si>
  <si>
    <t>PED-102693</t>
  </si>
  <si>
    <t>PED-102694</t>
  </si>
  <si>
    <t>PED-102695</t>
  </si>
  <si>
    <t>PED-102696</t>
  </si>
  <si>
    <t>PED-102697</t>
  </si>
  <si>
    <t>PED-102698</t>
  </si>
  <si>
    <t>PED-102699</t>
  </si>
  <si>
    <t>PED-102700</t>
  </si>
  <si>
    <t>PED-102701</t>
  </si>
  <si>
    <t>PED-102702</t>
  </si>
  <si>
    <t>PED-102703</t>
  </si>
  <si>
    <t>PED-102704</t>
  </si>
  <si>
    <t>PED-102705</t>
  </si>
  <si>
    <t>PED-102706</t>
  </si>
  <si>
    <t>PED-102707</t>
  </si>
  <si>
    <t>PED-102708</t>
  </si>
  <si>
    <t>PED-102709</t>
  </si>
  <si>
    <t>PED-102710</t>
  </si>
  <si>
    <t>PED-102711</t>
  </si>
  <si>
    <t>PED-102712</t>
  </si>
  <si>
    <t>PED-102713</t>
  </si>
  <si>
    <t>PED-102714</t>
  </si>
  <si>
    <t>PED-102715</t>
  </si>
  <si>
    <t>PED-102716</t>
  </si>
  <si>
    <t>PED-102717</t>
  </si>
  <si>
    <t>PED-102718</t>
  </si>
  <si>
    <t>PED-102719</t>
  </si>
  <si>
    <t>PED-102720</t>
  </si>
  <si>
    <t>PED-102721</t>
  </si>
  <si>
    <t>PED-102722</t>
  </si>
  <si>
    <t>PED-102723</t>
  </si>
  <si>
    <t>PED-102724</t>
  </si>
  <si>
    <t>PED-102725</t>
  </si>
  <si>
    <t>PED-102726</t>
  </si>
  <si>
    <t>PED-102727</t>
  </si>
  <si>
    <t>PED-102728</t>
  </si>
  <si>
    <t>PED-102729</t>
  </si>
  <si>
    <t>PED-102730</t>
  </si>
  <si>
    <t>PED-102731</t>
  </si>
  <si>
    <t>PED-102732</t>
  </si>
  <si>
    <t>PED-102733</t>
  </si>
  <si>
    <t>PED-102734</t>
  </si>
  <si>
    <t>PED-102735</t>
  </si>
  <si>
    <t>PED-102736</t>
  </si>
  <si>
    <t>PED-102737</t>
  </si>
  <si>
    <t>PED-102738</t>
  </si>
  <si>
    <t>PED-102739</t>
  </si>
  <si>
    <t>PED-102740</t>
  </si>
  <si>
    <t>PED-102741</t>
  </si>
  <si>
    <t>PED-102742</t>
  </si>
  <si>
    <t>PED-102743</t>
  </si>
  <si>
    <t>PED-102744</t>
  </si>
  <si>
    <t>PED-102745</t>
  </si>
  <si>
    <t>PED-102746</t>
  </si>
  <si>
    <t>PED-102747</t>
  </si>
  <si>
    <t>PED-102748</t>
  </si>
  <si>
    <t>PED-102749</t>
  </si>
  <si>
    <t>PED-102750</t>
  </si>
  <si>
    <t>PED-102751</t>
  </si>
  <si>
    <t>PED-102752</t>
  </si>
  <si>
    <t>PED-102753</t>
  </si>
  <si>
    <t>PED-102754</t>
  </si>
  <si>
    <t>PED-102755</t>
  </si>
  <si>
    <t>PED-102756</t>
  </si>
  <si>
    <t>PED-102757</t>
  </si>
  <si>
    <t>PED-102758</t>
  </si>
  <si>
    <t>PED-102759</t>
  </si>
  <si>
    <t>PED-102760</t>
  </si>
  <si>
    <t>PED-102761</t>
  </si>
  <si>
    <t>PED-102762</t>
  </si>
  <si>
    <t>PED-102763</t>
  </si>
  <si>
    <t>PED-102764</t>
  </si>
  <si>
    <t>PED-102765</t>
  </si>
  <si>
    <t>PED-102766</t>
  </si>
  <si>
    <t>PED-102767</t>
  </si>
  <si>
    <t>PED-102768</t>
  </si>
  <si>
    <t>PED-102769</t>
  </si>
  <si>
    <t>PED-102770</t>
  </si>
  <si>
    <t>PED-102771</t>
  </si>
  <si>
    <t>PED-102772</t>
  </si>
  <si>
    <t>PED-102773</t>
  </si>
  <si>
    <t>PED-102774</t>
  </si>
  <si>
    <t>PED-102775</t>
  </si>
  <si>
    <t>PED-102776</t>
  </si>
  <si>
    <t>PED-102777</t>
  </si>
  <si>
    <t>PED-102778</t>
  </si>
  <si>
    <t>PED-102779</t>
  </si>
  <si>
    <t>PED-102780</t>
  </si>
  <si>
    <t>PED-102781</t>
  </si>
  <si>
    <t>PED-102782</t>
  </si>
  <si>
    <t>PED-102783</t>
  </si>
  <si>
    <t>PED-102784</t>
  </si>
  <si>
    <t>PED-102785</t>
  </si>
  <si>
    <t>PED-102786</t>
  </si>
  <si>
    <t>PED-102787</t>
  </si>
  <si>
    <t>PED-102788</t>
  </si>
  <si>
    <t>PED-102789</t>
  </si>
  <si>
    <t>PED-102790</t>
  </si>
  <si>
    <t>PED-102791</t>
  </si>
  <si>
    <t>PED-102792</t>
  </si>
  <si>
    <t>PED-102793</t>
  </si>
  <si>
    <t>PED-102794</t>
  </si>
  <si>
    <t>PED-102795</t>
  </si>
  <si>
    <t>PED-102796</t>
  </si>
  <si>
    <t>PED-102797</t>
  </si>
  <si>
    <t>PED-102798</t>
  </si>
  <si>
    <t>PED-102799</t>
  </si>
  <si>
    <t>PED-102800</t>
  </si>
  <si>
    <t>PED-102801</t>
  </si>
  <si>
    <t>PED-102802</t>
  </si>
  <si>
    <t>PED-102803</t>
  </si>
  <si>
    <t>PED-102804</t>
  </si>
  <si>
    <t>PED-102805</t>
  </si>
  <si>
    <t>PED-102806</t>
  </si>
  <si>
    <t>PED-102807</t>
  </si>
  <si>
    <t>PED-102808</t>
  </si>
  <si>
    <t>PED-102809</t>
  </si>
  <si>
    <t>PED-102810</t>
  </si>
  <si>
    <t>PED-102812</t>
  </si>
  <si>
    <t>PED-102813</t>
  </si>
  <si>
    <t>PED-102814</t>
  </si>
  <si>
    <t>PED-102815</t>
  </si>
  <si>
    <t>PED-102816</t>
  </si>
  <si>
    <t>PED-102817</t>
  </si>
  <si>
    <t>PED-102818</t>
  </si>
  <si>
    <t>PED-102819</t>
  </si>
  <si>
    <t>PED-102820</t>
  </si>
  <si>
    <t>PED-102821</t>
  </si>
  <si>
    <t>PED-102822</t>
  </si>
  <si>
    <t>PED-102823</t>
  </si>
  <si>
    <t>PED-102824</t>
  </si>
  <si>
    <t>PED-102825</t>
  </si>
  <si>
    <t>PED-102826</t>
  </si>
  <si>
    <t>PED-102827</t>
  </si>
  <si>
    <t>PED-102828</t>
  </si>
  <si>
    <t>PED-102829</t>
  </si>
  <si>
    <t>PED-102830</t>
  </si>
  <si>
    <t>PED-102831</t>
  </si>
  <si>
    <t>PED-102832</t>
  </si>
  <si>
    <t>PED-102833</t>
  </si>
  <si>
    <t>PED-102834</t>
  </si>
  <si>
    <t>PED-102835</t>
  </si>
  <si>
    <t>PED-102836</t>
  </si>
  <si>
    <t>PED-102837</t>
  </si>
  <si>
    <t>PED-102838</t>
  </si>
  <si>
    <t>PED-102839</t>
  </si>
  <si>
    <t>PED-102840</t>
  </si>
  <si>
    <t>PED-102841</t>
  </si>
  <si>
    <t>PED-102842</t>
  </si>
  <si>
    <t>PED-102843</t>
  </si>
  <si>
    <t>PED-102844</t>
  </si>
  <si>
    <t>PED-102845</t>
  </si>
  <si>
    <t>PED-102846</t>
  </si>
  <si>
    <t>PED-102847</t>
  </si>
  <si>
    <t>PED-102848</t>
  </si>
  <si>
    <t>PED-102849</t>
  </si>
  <si>
    <t>PED-102850</t>
  </si>
  <si>
    <t>PED-102851</t>
  </si>
  <si>
    <t>PED-102852</t>
  </si>
  <si>
    <t>PED-102853</t>
  </si>
  <si>
    <t>PED-102854</t>
  </si>
  <si>
    <t>PED-102855</t>
  </si>
  <si>
    <t>PED-102856</t>
  </si>
  <si>
    <t>PED-102857</t>
  </si>
  <si>
    <t>PED-102858</t>
  </si>
  <si>
    <t>PED-102859</t>
  </si>
  <si>
    <t>PED-102860</t>
  </si>
  <si>
    <t>PED-102861</t>
  </si>
  <si>
    <t>PED-102862</t>
  </si>
  <si>
    <t>PED-102863</t>
  </si>
  <si>
    <t>PED-102864</t>
  </si>
  <si>
    <t>PED-102865</t>
  </si>
  <si>
    <t>PED-102866</t>
  </si>
  <si>
    <t>PED-102867</t>
  </si>
  <si>
    <t>PED-102868</t>
  </si>
  <si>
    <t>PED-102869</t>
  </si>
  <si>
    <t>PED-102870</t>
  </si>
  <si>
    <t>PED-102871</t>
  </si>
  <si>
    <t>PED-102872</t>
  </si>
  <si>
    <t>PED-102873</t>
  </si>
  <si>
    <t>PED-102874</t>
  </si>
  <si>
    <t>PED-102875</t>
  </si>
  <si>
    <t>PED-102876</t>
  </si>
  <si>
    <t>PED-102877</t>
  </si>
  <si>
    <t>PED-102878</t>
  </si>
  <si>
    <t>PED-102879</t>
  </si>
  <si>
    <t>PED-102880</t>
  </si>
  <si>
    <t>PED-102881</t>
  </si>
  <si>
    <t>PED-102882</t>
  </si>
  <si>
    <t>PED-102883</t>
  </si>
  <si>
    <t>PED-102884</t>
  </si>
  <si>
    <t>PED-102885</t>
  </si>
  <si>
    <t>PED-102886</t>
  </si>
  <si>
    <t>PED-102887</t>
  </si>
  <si>
    <t>PED-102888</t>
  </si>
  <si>
    <t>PED-102889</t>
  </si>
  <si>
    <t>PED-102890</t>
  </si>
  <si>
    <t>PED-102891</t>
  </si>
  <si>
    <t>PED-102892</t>
  </si>
  <si>
    <t>PED-102893</t>
  </si>
  <si>
    <t>PED-102894</t>
  </si>
  <si>
    <t>PED-102895</t>
  </si>
  <si>
    <t>PED-102896</t>
  </si>
  <si>
    <t>PED-102897</t>
  </si>
  <si>
    <t>PED-102898</t>
  </si>
  <si>
    <t>PED-102899</t>
  </si>
  <si>
    <t>PED-102900</t>
  </si>
  <si>
    <t>PED-102901</t>
  </si>
  <si>
    <t>PED-102902</t>
  </si>
  <si>
    <t>PED-102903</t>
  </si>
  <si>
    <t>PED-102904</t>
  </si>
  <si>
    <t>PED-102905</t>
  </si>
  <si>
    <t>PED-102906</t>
  </si>
  <si>
    <t>PED-102907</t>
  </si>
  <si>
    <t>PED-102908</t>
  </si>
  <si>
    <t>PED-102909</t>
  </si>
  <si>
    <t>PED-102910</t>
  </si>
  <si>
    <t>PED-102911</t>
  </si>
  <si>
    <t>PED-102912</t>
  </si>
  <si>
    <t>PED-102913</t>
  </si>
  <si>
    <t>PED-102914</t>
  </si>
  <si>
    <t>PED-102915</t>
  </si>
  <si>
    <t>PED-102916</t>
  </si>
  <si>
    <t>PED-102917</t>
  </si>
  <si>
    <t>PED-102918</t>
  </si>
  <si>
    <t>PED-102919</t>
  </si>
  <si>
    <t>PED-102920</t>
  </si>
  <si>
    <t>PED-102921</t>
  </si>
  <si>
    <t>PED-102922</t>
  </si>
  <si>
    <t>PED-102923</t>
  </si>
  <si>
    <t>PED-102924</t>
  </si>
  <si>
    <t>PED-102925</t>
  </si>
  <si>
    <t>PED-102926</t>
  </si>
  <si>
    <t>PED-102927</t>
  </si>
  <si>
    <t>PED-102928</t>
  </si>
  <si>
    <t>PED-102929</t>
  </si>
  <si>
    <t>PED-102930</t>
  </si>
  <si>
    <t>PED-102931</t>
  </si>
  <si>
    <t>PED-102932</t>
  </si>
  <si>
    <t>PED-102933</t>
  </si>
  <si>
    <t>PED-102934</t>
  </si>
  <si>
    <t>PED-102935</t>
  </si>
  <si>
    <t>PED-102936</t>
  </si>
  <si>
    <t>PED-102937</t>
  </si>
  <si>
    <t>PED-102938</t>
  </si>
  <si>
    <t>PED-102939</t>
  </si>
  <si>
    <t>PED-102940</t>
  </si>
  <si>
    <t>PED-102941</t>
  </si>
  <si>
    <t>PED-102942</t>
  </si>
  <si>
    <t>PED-102943</t>
  </si>
  <si>
    <t>PED-102944</t>
  </si>
  <si>
    <t>PED-102945</t>
  </si>
  <si>
    <t>PED-102946</t>
  </si>
  <si>
    <t>PED-102947</t>
  </si>
  <si>
    <t>PED-102948</t>
  </si>
  <si>
    <t>PED-102949</t>
  </si>
  <si>
    <t>PED-102950</t>
  </si>
  <si>
    <t>PED-102951</t>
  </si>
  <si>
    <t>PED-102952</t>
  </si>
  <si>
    <t>PED-102953</t>
  </si>
  <si>
    <t>PED-102954</t>
  </si>
  <si>
    <t>PED-102955</t>
  </si>
  <si>
    <t>PED-102956</t>
  </si>
  <si>
    <t>PED-102957</t>
  </si>
  <si>
    <t>PED-102958</t>
  </si>
  <si>
    <t>PED-102959</t>
  </si>
  <si>
    <t>PED-102960</t>
  </si>
  <si>
    <t>PED-102961</t>
  </si>
  <si>
    <t>PED-102962</t>
  </si>
  <si>
    <t>PED-102963</t>
  </si>
  <si>
    <t>PED-102964</t>
  </si>
  <si>
    <t>PED-102965</t>
  </si>
  <si>
    <t>PED-102966</t>
  </si>
  <si>
    <t>PED-102968</t>
  </si>
  <si>
    <t>PED-102969</t>
  </si>
  <si>
    <t>PED-102970</t>
  </si>
  <si>
    <t>PED-102971</t>
  </si>
  <si>
    <t>PED-102972</t>
  </si>
  <si>
    <t>PED-102973</t>
  </si>
  <si>
    <t>PED-102974</t>
  </si>
  <si>
    <t>PED-102975</t>
  </si>
  <si>
    <t>PED-102976</t>
  </si>
  <si>
    <t>PED-102977</t>
  </si>
  <si>
    <t>PED-102978</t>
  </si>
  <si>
    <t>PED-102979</t>
  </si>
  <si>
    <t>PED-102980</t>
  </si>
  <si>
    <t>PED-102981</t>
  </si>
  <si>
    <t>PED-102982</t>
  </si>
  <si>
    <t>PED-102983</t>
  </si>
  <si>
    <t>PED-102984</t>
  </si>
  <si>
    <t>PED-102985</t>
  </si>
  <si>
    <t>PED-102986</t>
  </si>
  <si>
    <t>PED-102987</t>
  </si>
  <si>
    <t>PED-102988</t>
  </si>
  <si>
    <t>PED-102989</t>
  </si>
  <si>
    <t>PED-102990</t>
  </si>
  <si>
    <t>PED-102991</t>
  </si>
  <si>
    <t>PED-102992</t>
  </si>
  <si>
    <t>PED-102993</t>
  </si>
  <si>
    <t>PED-102994</t>
  </si>
  <si>
    <t>PED-102995</t>
  </si>
  <si>
    <t>PED-102996</t>
  </si>
  <si>
    <t>PED-102997</t>
  </si>
  <si>
    <t>PED-102998</t>
  </si>
  <si>
    <t>PED-102999</t>
  </si>
  <si>
    <t>PED-103000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</si>
</sst>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R\$\ #,##0.00"/>
    <numFmt numFmtId="166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4">
    <dxf>
      <font>
        <color rgb="FF990000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0920FB-B393-45BC-AE50-4C472B591C87}" name="TabelaVendas" displayName="TabelaVendas" ref="A1:V3001" totalsRowShown="0">
  <autoFilter ref="A1:V3001" xr:uid="{750920FB-B393-45BC-AE50-4C472B591C87}"/>
  <tableColumns count="22">
    <tableColumn id="1" xr3:uid="{C44B74B0-E65C-41EC-AB4A-EC6A2E85FE8D}" name="Data_Pedido"/>
    <tableColumn id="2" xr3:uid="{29A84AE3-2BCB-4EAB-8DE3-15453A80CCBA}" name="Pedido_ID"/>
    <tableColumn id="3" xr3:uid="{2F067823-6122-4725-A700-264C385F7AE4}" name="Cliente"/>
    <tableColumn id="4" xr3:uid="{D3B9F31E-66B5-4A23-A52C-2C7ABCAE0CD7}" name="Estado"/>
    <tableColumn id="5" xr3:uid="{267DD244-89D6-4C76-8C9A-74B6077D1F60}" name="Região"/>
    <tableColumn id="6" xr3:uid="{E2F7D1D1-DE0C-4D16-802F-7B76F4A75359}" name="Canal"/>
    <tableColumn id="7" xr3:uid="{53ED096C-3282-4B7F-8561-10CB0C6B984B}" name="Categoria"/>
    <tableColumn id="8" xr3:uid="{160407C3-CEF5-4C10-82F2-E1744A85FE18}" name="Produto"/>
    <tableColumn id="9" xr3:uid="{49363133-43A5-48FA-A8AD-9FE5C8946022}" name="Vendedor"/>
    <tableColumn id="10" xr3:uid="{81DDA4CD-7D0D-4839-A254-00039EBF7FD8}" name="Quantidade"/>
    <tableColumn id="11" xr3:uid="{91555DC4-44ED-4C0D-8160-482E2725EACE}" name="Preço_Unitário"/>
    <tableColumn id="12" xr3:uid="{7D8002FE-DD7B-4CC6-9348-0C0AE1AEE29B}" name="Custo_Unitário"/>
    <tableColumn id="13" xr3:uid="{F659B4CB-E3AE-471F-A2FD-795635DE3A56}" name="Desconto_%"/>
    <tableColumn id="14" xr3:uid="{550CEE42-E0BE-4A95-81E3-E240DD7ECF18}" name="Receita_Bruta">
      <calculatedColumnFormula>ROUND(J2*K2,2)</calculatedColumnFormula>
    </tableColumn>
    <tableColumn id="15" xr3:uid="{D4D0B503-7A88-4902-A9FB-D8EBEF676F47}" name="Receita_Líquida">
      <calculatedColumnFormula>ROUND(N2*(1-M2),2)</calculatedColumnFormula>
    </tableColumn>
    <tableColumn id="16" xr3:uid="{5925445C-F11E-4E04-B079-3648D8B93346}" name="Custo_Total">
      <calculatedColumnFormula>ROUND(J2*L2,2)</calculatedColumnFormula>
    </tableColumn>
    <tableColumn id="17" xr3:uid="{AD662A0B-9CC6-4A43-99D5-23DCF8A1694E}" name="Margem_R$">
      <calculatedColumnFormula>ROUND(O2-P2,2)</calculatedColumnFormula>
    </tableColumn>
    <tableColumn id="18" xr3:uid="{C8459DA2-9960-42BC-9569-99336E818508}" name="Margem_%">
      <calculatedColumnFormula>IF(O2=0,0,ROUND(Q2/O2,4))</calculatedColumnFormula>
    </tableColumn>
    <tableColumn id="19" xr3:uid="{AF4A1F37-6D17-4764-9E32-C980A4DECEE6}" name="Dias_Entrega"/>
    <tableColumn id="20" xr3:uid="{B4C55362-068D-4015-881C-AEC071D36847}" name="Status"/>
    <tableColumn id="21" xr3:uid="{AAFDB332-AFE1-4B09-BFA1-6109E9564626}" name="Avaliação"/>
    <tableColumn id="22" xr3:uid="{7C27AA41-D28E-401D-8E39-D169BA0CFDF7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9FA1-DA8D-4117-94EE-C66E9FDB7C79}">
  <dimension ref="A1:V3001"/>
  <sheetViews>
    <sheetView tabSelected="1" workbookViewId="0">
      <selection sqref="A1:XFD1048576"/>
    </sheetView>
  </sheetViews>
  <sheetFormatPr defaultRowHeight="15" x14ac:dyDescent="0.25"/>
  <cols>
    <col min="1" max="1" width="14.85546875" customWidth="1"/>
    <col min="2" max="3" width="17.140625" customWidth="1"/>
    <col min="4" max="4" width="10.28515625" customWidth="1"/>
    <col min="5" max="5" width="17.140625" customWidth="1"/>
    <col min="6" max="7" width="16" customWidth="1"/>
    <col min="8" max="8" width="25.140625" customWidth="1"/>
    <col min="9" max="9" width="14.85546875" customWidth="1"/>
    <col min="10" max="10" width="12.5703125" customWidth="1"/>
    <col min="11" max="12" width="17.140625" customWidth="1"/>
    <col min="13" max="13" width="13.7109375" customWidth="1"/>
    <col min="14" max="15" width="18.28515625" customWidth="1"/>
    <col min="16" max="17" width="17.140625" customWidth="1"/>
    <col min="18" max="18" width="13.7109375" customWidth="1"/>
    <col min="19" max="19" width="14.85546875" customWidth="1"/>
    <col min="20" max="20" width="22.85546875" customWidth="1"/>
    <col min="21" max="21" width="12.5703125" customWidth="1"/>
    <col min="22" max="22" width="4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46038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2">
        <v>5</v>
      </c>
      <c r="K2" s="3">
        <v>805.36</v>
      </c>
      <c r="L2" s="3">
        <v>907.43</v>
      </c>
      <c r="M2" s="4">
        <v>0.43280000000000002</v>
      </c>
      <c r="N2" s="3">
        <f t="shared" ref="N2:N65" si="0">ROUND(J2*K2,2)</f>
        <v>4026.8</v>
      </c>
      <c r="O2" s="3">
        <f t="shared" ref="O2:O65" si="1">ROUND(N2*(1-M2),2)</f>
        <v>2284</v>
      </c>
      <c r="P2" s="3">
        <f t="shared" ref="P2:P65" si="2">ROUND(J2*L2,2)</f>
        <v>4537.1499999999996</v>
      </c>
      <c r="Q2" s="3">
        <f t="shared" ref="Q2:Q65" si="3">ROUND(O2-P2,2)</f>
        <v>-2253.15</v>
      </c>
      <c r="R2" s="4">
        <f t="shared" ref="R2:R65" si="4">IF(O2=0,0,ROUND(Q2/O2,4))</f>
        <v>-0.98650000000000004</v>
      </c>
      <c r="S2" s="2">
        <v>25</v>
      </c>
      <c r="T2" t="s">
        <v>30</v>
      </c>
      <c r="U2">
        <v>1</v>
      </c>
      <c r="V2" t="s">
        <v>31</v>
      </c>
    </row>
    <row r="3" spans="1:22" x14ac:dyDescent="0.25">
      <c r="A3" s="1">
        <v>46167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s="2">
        <v>2</v>
      </c>
      <c r="K3" s="3">
        <v>410.07</v>
      </c>
      <c r="L3" s="3">
        <v>185.77</v>
      </c>
      <c r="M3" s="4">
        <v>0.12770000000000001</v>
      </c>
      <c r="N3" s="3">
        <f t="shared" si="0"/>
        <v>820.14</v>
      </c>
      <c r="O3" s="3">
        <f t="shared" si="1"/>
        <v>715.41</v>
      </c>
      <c r="P3" s="3">
        <f t="shared" si="2"/>
        <v>371.54</v>
      </c>
      <c r="Q3" s="3">
        <f t="shared" si="3"/>
        <v>343.87</v>
      </c>
      <c r="R3" s="4">
        <f t="shared" si="4"/>
        <v>0.48070000000000002</v>
      </c>
      <c r="S3" s="2">
        <v>10</v>
      </c>
      <c r="T3" t="s">
        <v>40</v>
      </c>
    </row>
    <row r="4" spans="1:22" x14ac:dyDescent="0.25">
      <c r="A4" s="1">
        <v>46152</v>
      </c>
      <c r="B4" t="s">
        <v>41</v>
      </c>
      <c r="C4" t="s">
        <v>42</v>
      </c>
      <c r="D4" t="s">
        <v>43</v>
      </c>
      <c r="E4" t="s">
        <v>25</v>
      </c>
      <c r="F4" t="s">
        <v>26</v>
      </c>
      <c r="G4" t="s">
        <v>44</v>
      </c>
      <c r="H4" t="s">
        <v>45</v>
      </c>
      <c r="I4" t="s">
        <v>39</v>
      </c>
      <c r="J4" s="2">
        <v>4</v>
      </c>
      <c r="K4" s="3">
        <v>392.41</v>
      </c>
      <c r="L4" s="3">
        <v>223.04</v>
      </c>
      <c r="M4" s="4">
        <v>0.106</v>
      </c>
      <c r="N4" s="3">
        <f t="shared" si="0"/>
        <v>1569.64</v>
      </c>
      <c r="O4" s="3">
        <f t="shared" si="1"/>
        <v>1403.26</v>
      </c>
      <c r="P4" s="3">
        <f t="shared" si="2"/>
        <v>892.16</v>
      </c>
      <c r="Q4" s="3">
        <f t="shared" si="3"/>
        <v>511.1</v>
      </c>
      <c r="R4" s="4">
        <f t="shared" si="4"/>
        <v>0.36420000000000002</v>
      </c>
      <c r="S4" s="2">
        <v>6</v>
      </c>
      <c r="T4" t="s">
        <v>46</v>
      </c>
      <c r="U4">
        <v>4</v>
      </c>
    </row>
    <row r="5" spans="1:22" x14ac:dyDescent="0.25">
      <c r="A5" s="1">
        <v>46106</v>
      </c>
      <c r="B5" t="s">
        <v>47</v>
      </c>
      <c r="C5" t="s">
        <v>48</v>
      </c>
      <c r="D5" t="s">
        <v>49</v>
      </c>
      <c r="E5" t="s">
        <v>50</v>
      </c>
      <c r="F5" t="s">
        <v>26</v>
      </c>
      <c r="G5" t="s">
        <v>51</v>
      </c>
      <c r="H5" t="s">
        <v>52</v>
      </c>
      <c r="I5" t="s">
        <v>53</v>
      </c>
      <c r="J5" s="2">
        <v>1</v>
      </c>
      <c r="K5" s="3">
        <v>245.96</v>
      </c>
      <c r="L5" s="3">
        <v>120.9</v>
      </c>
      <c r="M5" s="4">
        <v>0.1118</v>
      </c>
      <c r="N5" s="3">
        <f t="shared" si="0"/>
        <v>245.96</v>
      </c>
      <c r="O5" s="3">
        <f t="shared" si="1"/>
        <v>218.46</v>
      </c>
      <c r="P5" s="3">
        <f t="shared" si="2"/>
        <v>120.9</v>
      </c>
      <c r="Q5" s="3">
        <f t="shared" si="3"/>
        <v>97.56</v>
      </c>
      <c r="R5" s="4">
        <f t="shared" si="4"/>
        <v>0.4466</v>
      </c>
      <c r="S5" s="2">
        <v>9</v>
      </c>
      <c r="T5" t="s">
        <v>46</v>
      </c>
      <c r="U5">
        <v>3</v>
      </c>
    </row>
    <row r="6" spans="1:22" x14ac:dyDescent="0.25">
      <c r="A6" s="1">
        <v>46063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51</v>
      </c>
      <c r="H6" t="s">
        <v>59</v>
      </c>
      <c r="I6" t="s">
        <v>60</v>
      </c>
      <c r="J6" s="2">
        <v>8</v>
      </c>
      <c r="K6" s="3">
        <v>2159.41</v>
      </c>
      <c r="L6" s="3">
        <v>1354.36</v>
      </c>
      <c r="M6" s="4">
        <v>3.5000000000000003E-2</v>
      </c>
      <c r="N6" s="3">
        <f t="shared" si="0"/>
        <v>17275.28</v>
      </c>
      <c r="O6" s="3">
        <f t="shared" si="1"/>
        <v>16670.650000000001</v>
      </c>
      <c r="P6" s="3">
        <f t="shared" si="2"/>
        <v>10834.88</v>
      </c>
      <c r="Q6" s="3">
        <f t="shared" si="3"/>
        <v>5835.77</v>
      </c>
      <c r="R6" s="4">
        <f t="shared" si="4"/>
        <v>0.35010000000000002</v>
      </c>
      <c r="S6" s="2">
        <v>4</v>
      </c>
      <c r="T6" t="s">
        <v>46</v>
      </c>
      <c r="U6">
        <v>5</v>
      </c>
    </row>
    <row r="7" spans="1:22" x14ac:dyDescent="0.25">
      <c r="A7" s="1">
        <v>46218</v>
      </c>
      <c r="B7" t="s">
        <v>61</v>
      </c>
      <c r="C7" t="s">
        <v>62</v>
      </c>
      <c r="D7" t="s">
        <v>63</v>
      </c>
      <c r="E7" t="s">
        <v>35</v>
      </c>
      <c r="F7" t="s">
        <v>64</v>
      </c>
      <c r="G7" t="s">
        <v>51</v>
      </c>
      <c r="H7" t="s">
        <v>59</v>
      </c>
      <c r="I7" t="s">
        <v>65</v>
      </c>
      <c r="J7" s="2">
        <v>2</v>
      </c>
      <c r="K7" s="3">
        <v>2119.9</v>
      </c>
      <c r="L7" s="3">
        <v>1430.17</v>
      </c>
      <c r="M7" s="4">
        <v>6.8599999999999994E-2</v>
      </c>
      <c r="N7" s="3">
        <f t="shared" si="0"/>
        <v>4239.8</v>
      </c>
      <c r="O7" s="3">
        <f t="shared" si="1"/>
        <v>3948.95</v>
      </c>
      <c r="P7" s="3">
        <f t="shared" si="2"/>
        <v>2860.34</v>
      </c>
      <c r="Q7" s="3">
        <f t="shared" si="3"/>
        <v>1088.6099999999999</v>
      </c>
      <c r="R7" s="4">
        <f t="shared" si="4"/>
        <v>0.2757</v>
      </c>
      <c r="S7" s="2">
        <v>7</v>
      </c>
      <c r="T7" t="s">
        <v>46</v>
      </c>
      <c r="U7">
        <v>3</v>
      </c>
    </row>
    <row r="8" spans="1:22" x14ac:dyDescent="0.25">
      <c r="A8" s="1">
        <v>46026</v>
      </c>
      <c r="B8" t="s">
        <v>66</v>
      </c>
      <c r="C8" t="s">
        <v>67</v>
      </c>
      <c r="D8" t="s">
        <v>34</v>
      </c>
      <c r="E8" t="s">
        <v>35</v>
      </c>
      <c r="F8" t="s">
        <v>58</v>
      </c>
      <c r="G8" t="s">
        <v>27</v>
      </c>
      <c r="H8" t="s">
        <v>68</v>
      </c>
      <c r="I8" t="s">
        <v>29</v>
      </c>
      <c r="J8" s="2">
        <v>8</v>
      </c>
      <c r="K8" s="3">
        <v>1293.8800000000001</v>
      </c>
      <c r="L8" s="3">
        <v>807.3</v>
      </c>
      <c r="M8" s="4">
        <v>0.1212</v>
      </c>
      <c r="N8" s="3">
        <f t="shared" si="0"/>
        <v>10351.040000000001</v>
      </c>
      <c r="O8" s="3">
        <f t="shared" si="1"/>
        <v>9096.49</v>
      </c>
      <c r="P8" s="3">
        <f t="shared" si="2"/>
        <v>6458.4</v>
      </c>
      <c r="Q8" s="3">
        <f t="shared" si="3"/>
        <v>2638.09</v>
      </c>
      <c r="R8" s="4">
        <f t="shared" si="4"/>
        <v>0.28999999999999998</v>
      </c>
      <c r="S8" s="2">
        <v>14</v>
      </c>
      <c r="T8" t="s">
        <v>30</v>
      </c>
      <c r="U8">
        <v>2</v>
      </c>
    </row>
    <row r="9" spans="1:22" x14ac:dyDescent="0.25">
      <c r="A9" s="1">
        <v>46233</v>
      </c>
      <c r="B9" t="s">
        <v>69</v>
      </c>
      <c r="C9" t="s">
        <v>70</v>
      </c>
      <c r="D9" t="s">
        <v>71</v>
      </c>
      <c r="E9" t="s">
        <v>72</v>
      </c>
      <c r="F9" t="s">
        <v>26</v>
      </c>
      <c r="G9" t="s">
        <v>44</v>
      </c>
      <c r="H9" t="s">
        <v>73</v>
      </c>
      <c r="I9" t="s">
        <v>74</v>
      </c>
      <c r="J9" s="2">
        <v>2</v>
      </c>
      <c r="K9" s="3">
        <v>1647.31</v>
      </c>
      <c r="L9" s="3">
        <v>1101.1500000000001</v>
      </c>
      <c r="M9" s="4">
        <v>1.3100000000000001E-2</v>
      </c>
      <c r="N9" s="3">
        <f t="shared" si="0"/>
        <v>3294.62</v>
      </c>
      <c r="O9" s="3">
        <f t="shared" si="1"/>
        <v>3251.46</v>
      </c>
      <c r="P9" s="3">
        <f t="shared" si="2"/>
        <v>2202.3000000000002</v>
      </c>
      <c r="Q9" s="3">
        <f t="shared" si="3"/>
        <v>1049.1600000000001</v>
      </c>
      <c r="R9" s="4">
        <f t="shared" si="4"/>
        <v>0.32269999999999999</v>
      </c>
      <c r="S9" s="2">
        <v>7</v>
      </c>
      <c r="T9" t="s">
        <v>46</v>
      </c>
      <c r="U9">
        <v>2</v>
      </c>
    </row>
    <row r="10" spans="1:22" x14ac:dyDescent="0.25">
      <c r="A10" s="1">
        <v>46075</v>
      </c>
      <c r="B10" t="s">
        <v>75</v>
      </c>
      <c r="C10" t="s">
        <v>76</v>
      </c>
      <c r="D10" t="s">
        <v>63</v>
      </c>
      <c r="E10" t="s">
        <v>35</v>
      </c>
      <c r="F10" t="s">
        <v>26</v>
      </c>
      <c r="G10" t="s">
        <v>44</v>
      </c>
      <c r="H10" t="s">
        <v>45</v>
      </c>
      <c r="I10" t="s">
        <v>77</v>
      </c>
      <c r="J10" s="2">
        <v>2</v>
      </c>
      <c r="K10" s="3">
        <v>395.63</v>
      </c>
      <c r="L10" s="3">
        <v>216.99</v>
      </c>
      <c r="M10" s="4">
        <v>9.0700000000000003E-2</v>
      </c>
      <c r="N10" s="3">
        <f t="shared" si="0"/>
        <v>791.26</v>
      </c>
      <c r="O10" s="3">
        <f t="shared" si="1"/>
        <v>719.49</v>
      </c>
      <c r="P10" s="3">
        <f t="shared" si="2"/>
        <v>433.98</v>
      </c>
      <c r="Q10" s="3">
        <f t="shared" si="3"/>
        <v>285.51</v>
      </c>
      <c r="R10" s="4">
        <f t="shared" si="4"/>
        <v>0.39679999999999999</v>
      </c>
      <c r="S10" s="2">
        <v>3</v>
      </c>
      <c r="T10" t="s">
        <v>46</v>
      </c>
      <c r="U10">
        <v>4</v>
      </c>
    </row>
    <row r="11" spans="1:22" x14ac:dyDescent="0.25">
      <c r="A11" s="1">
        <v>46039</v>
      </c>
      <c r="B11" t="s">
        <v>78</v>
      </c>
      <c r="C11" t="s">
        <v>79</v>
      </c>
      <c r="D11" t="s">
        <v>24</v>
      </c>
      <c r="E11" t="s">
        <v>25</v>
      </c>
      <c r="F11" t="s">
        <v>36</v>
      </c>
      <c r="G11" t="s">
        <v>44</v>
      </c>
      <c r="H11" t="s">
        <v>73</v>
      </c>
      <c r="I11" t="s">
        <v>77</v>
      </c>
      <c r="J11" s="2">
        <v>7</v>
      </c>
      <c r="K11" s="3">
        <v>1674.48</v>
      </c>
      <c r="L11" s="3">
        <v>1133.47</v>
      </c>
      <c r="M11" s="4">
        <v>0.12479999999999999</v>
      </c>
      <c r="N11" s="3">
        <f t="shared" si="0"/>
        <v>11721.36</v>
      </c>
      <c r="O11" s="3">
        <f t="shared" si="1"/>
        <v>10258.530000000001</v>
      </c>
      <c r="P11" s="3">
        <f t="shared" si="2"/>
        <v>7934.29</v>
      </c>
      <c r="Q11" s="3">
        <f t="shared" si="3"/>
        <v>2324.2399999999998</v>
      </c>
      <c r="R11" s="4">
        <f t="shared" si="4"/>
        <v>0.2266</v>
      </c>
      <c r="S11" s="2">
        <v>10</v>
      </c>
      <c r="T11" t="s">
        <v>46</v>
      </c>
      <c r="U11">
        <v>2</v>
      </c>
    </row>
    <row r="12" spans="1:22" x14ac:dyDescent="0.25">
      <c r="A12" s="1">
        <v>46093</v>
      </c>
      <c r="B12" t="s">
        <v>80</v>
      </c>
      <c r="C12" t="s">
        <v>79</v>
      </c>
      <c r="D12" t="s">
        <v>71</v>
      </c>
      <c r="E12" t="s">
        <v>72</v>
      </c>
      <c r="F12" t="s">
        <v>26</v>
      </c>
      <c r="G12" t="s">
        <v>27</v>
      </c>
      <c r="H12" t="s">
        <v>28</v>
      </c>
      <c r="I12" t="s">
        <v>60</v>
      </c>
      <c r="J12" s="2">
        <v>2</v>
      </c>
      <c r="K12" s="3">
        <v>747.2</v>
      </c>
      <c r="L12" s="3">
        <v>487.93</v>
      </c>
      <c r="M12" s="4">
        <v>2.86E-2</v>
      </c>
      <c r="N12" s="3">
        <f t="shared" si="0"/>
        <v>1494.4</v>
      </c>
      <c r="O12" s="3">
        <f t="shared" si="1"/>
        <v>1451.66</v>
      </c>
      <c r="P12" s="3">
        <f t="shared" si="2"/>
        <v>975.86</v>
      </c>
      <c r="Q12" s="3">
        <f t="shared" si="3"/>
        <v>475.8</v>
      </c>
      <c r="R12" s="4">
        <f t="shared" si="4"/>
        <v>0.32779999999999998</v>
      </c>
      <c r="S12" s="2">
        <v>8</v>
      </c>
      <c r="T12" t="s">
        <v>46</v>
      </c>
      <c r="U12">
        <v>5</v>
      </c>
    </row>
    <row r="13" spans="1:22" x14ac:dyDescent="0.25">
      <c r="A13" s="1">
        <v>46028</v>
      </c>
      <c r="B13" t="s">
        <v>81</v>
      </c>
      <c r="C13" t="s">
        <v>82</v>
      </c>
      <c r="D13" t="s">
        <v>34</v>
      </c>
      <c r="E13" t="s">
        <v>35</v>
      </c>
      <c r="F13" t="s">
        <v>36</v>
      </c>
      <c r="G13" t="s">
        <v>51</v>
      </c>
      <c r="H13" t="s">
        <v>59</v>
      </c>
      <c r="I13" t="s">
        <v>74</v>
      </c>
      <c r="J13" s="2">
        <v>4</v>
      </c>
      <c r="K13" s="3">
        <v>2102.5100000000002</v>
      </c>
      <c r="L13" s="3">
        <v>1400.96</v>
      </c>
      <c r="M13" s="4">
        <v>0.1072</v>
      </c>
      <c r="N13" s="3">
        <f t="shared" si="0"/>
        <v>8410.0400000000009</v>
      </c>
      <c r="O13" s="3">
        <f t="shared" si="1"/>
        <v>7508.48</v>
      </c>
      <c r="P13" s="3">
        <f t="shared" si="2"/>
        <v>5603.84</v>
      </c>
      <c r="Q13" s="3">
        <f t="shared" si="3"/>
        <v>1904.64</v>
      </c>
      <c r="R13" s="4">
        <f t="shared" si="4"/>
        <v>0.25369999999999998</v>
      </c>
      <c r="S13" s="2">
        <v>10</v>
      </c>
      <c r="T13" t="s">
        <v>46</v>
      </c>
      <c r="U13">
        <v>5</v>
      </c>
    </row>
    <row r="14" spans="1:22" x14ac:dyDescent="0.25">
      <c r="A14" s="1">
        <v>46168</v>
      </c>
      <c r="B14" t="s">
        <v>83</v>
      </c>
      <c r="C14" t="s">
        <v>84</v>
      </c>
      <c r="D14" t="s">
        <v>85</v>
      </c>
      <c r="E14" t="s">
        <v>50</v>
      </c>
      <c r="F14" t="s">
        <v>26</v>
      </c>
      <c r="G14" t="s">
        <v>27</v>
      </c>
      <c r="H14" t="s">
        <v>86</v>
      </c>
      <c r="I14" t="s">
        <v>87</v>
      </c>
      <c r="J14" s="2">
        <v>6</v>
      </c>
      <c r="K14" s="3">
        <v>1958.49</v>
      </c>
      <c r="L14" s="3">
        <v>1150.76</v>
      </c>
      <c r="M14" s="4">
        <v>0.1217</v>
      </c>
      <c r="N14" s="3">
        <f t="shared" si="0"/>
        <v>11750.94</v>
      </c>
      <c r="O14" s="3">
        <f t="shared" si="1"/>
        <v>10320.85</v>
      </c>
      <c r="P14" s="3">
        <f t="shared" si="2"/>
        <v>6904.56</v>
      </c>
      <c r="Q14" s="3">
        <f t="shared" si="3"/>
        <v>3416.29</v>
      </c>
      <c r="R14" s="4">
        <f t="shared" si="4"/>
        <v>0.33100000000000002</v>
      </c>
      <c r="S14" s="2">
        <v>3</v>
      </c>
      <c r="T14" t="s">
        <v>46</v>
      </c>
      <c r="U14">
        <v>5</v>
      </c>
    </row>
    <row r="15" spans="1:22" x14ac:dyDescent="0.25">
      <c r="A15" s="1">
        <v>46108</v>
      </c>
      <c r="B15" t="s">
        <v>88</v>
      </c>
      <c r="C15" t="s">
        <v>89</v>
      </c>
      <c r="D15" t="s">
        <v>71</v>
      </c>
      <c r="E15" t="s">
        <v>72</v>
      </c>
      <c r="F15" t="s">
        <v>36</v>
      </c>
      <c r="G15" t="s">
        <v>27</v>
      </c>
      <c r="H15" t="s">
        <v>86</v>
      </c>
      <c r="I15" t="s">
        <v>53</v>
      </c>
      <c r="J15" s="2">
        <v>4</v>
      </c>
      <c r="K15" s="3">
        <v>1869.32</v>
      </c>
      <c r="L15" s="3">
        <v>1286.05</v>
      </c>
      <c r="M15" s="4">
        <v>0</v>
      </c>
      <c r="N15" s="3">
        <f t="shared" si="0"/>
        <v>7477.28</v>
      </c>
      <c r="O15" s="3">
        <f t="shared" si="1"/>
        <v>7477.28</v>
      </c>
      <c r="P15" s="3">
        <f t="shared" si="2"/>
        <v>5144.2</v>
      </c>
      <c r="Q15" s="3">
        <f t="shared" si="3"/>
        <v>2333.08</v>
      </c>
      <c r="R15" s="4">
        <f t="shared" si="4"/>
        <v>0.312</v>
      </c>
      <c r="S15" s="2">
        <v>8</v>
      </c>
      <c r="T15" t="s">
        <v>46</v>
      </c>
      <c r="U15">
        <v>5</v>
      </c>
    </row>
    <row r="16" spans="1:22" x14ac:dyDescent="0.25">
      <c r="A16" s="1">
        <v>46027</v>
      </c>
      <c r="B16" t="s">
        <v>90</v>
      </c>
      <c r="C16" t="s">
        <v>91</v>
      </c>
      <c r="D16" t="s">
        <v>71</v>
      </c>
      <c r="E16" t="s">
        <v>72</v>
      </c>
      <c r="F16" t="s">
        <v>36</v>
      </c>
      <c r="G16" t="s">
        <v>51</v>
      </c>
      <c r="H16" t="s">
        <v>52</v>
      </c>
      <c r="I16" t="s">
        <v>92</v>
      </c>
      <c r="J16" s="2">
        <v>5</v>
      </c>
      <c r="K16" s="3">
        <v>244.81</v>
      </c>
      <c r="L16" s="3">
        <v>124.08</v>
      </c>
      <c r="M16" s="4">
        <v>5.3600000000000002E-2</v>
      </c>
      <c r="N16" s="3">
        <f t="shared" si="0"/>
        <v>1224.05</v>
      </c>
      <c r="O16" s="3">
        <f t="shared" si="1"/>
        <v>1158.44</v>
      </c>
      <c r="P16" s="3">
        <f t="shared" si="2"/>
        <v>620.4</v>
      </c>
      <c r="Q16" s="3">
        <f t="shared" si="3"/>
        <v>538.04</v>
      </c>
      <c r="R16" s="4">
        <f t="shared" si="4"/>
        <v>0.46450000000000002</v>
      </c>
      <c r="S16" s="2">
        <v>2</v>
      </c>
      <c r="T16" t="s">
        <v>46</v>
      </c>
      <c r="U16">
        <v>5</v>
      </c>
    </row>
    <row r="17" spans="1:21" x14ac:dyDescent="0.25">
      <c r="A17" s="1">
        <v>46072</v>
      </c>
      <c r="B17" t="s">
        <v>93</v>
      </c>
      <c r="C17" t="s">
        <v>84</v>
      </c>
      <c r="D17" t="s">
        <v>24</v>
      </c>
      <c r="E17" t="s">
        <v>25</v>
      </c>
      <c r="F17" t="s">
        <v>64</v>
      </c>
      <c r="G17" t="s">
        <v>44</v>
      </c>
      <c r="H17" t="s">
        <v>73</v>
      </c>
      <c r="I17" t="s">
        <v>94</v>
      </c>
      <c r="J17" s="2">
        <v>5</v>
      </c>
      <c r="K17" s="3">
        <v>1755.87</v>
      </c>
      <c r="L17" s="3">
        <v>1128.3800000000001</v>
      </c>
      <c r="M17" s="4">
        <v>1.03E-2</v>
      </c>
      <c r="N17" s="3">
        <f t="shared" si="0"/>
        <v>8779.35</v>
      </c>
      <c r="O17" s="3">
        <f t="shared" si="1"/>
        <v>8688.92</v>
      </c>
      <c r="P17" s="3">
        <f t="shared" si="2"/>
        <v>5641.9</v>
      </c>
      <c r="Q17" s="3">
        <f t="shared" si="3"/>
        <v>3047.02</v>
      </c>
      <c r="R17" s="4">
        <f t="shared" si="4"/>
        <v>0.35070000000000001</v>
      </c>
      <c r="S17" s="2">
        <v>13</v>
      </c>
      <c r="T17" t="s">
        <v>30</v>
      </c>
      <c r="U17">
        <v>2</v>
      </c>
    </row>
    <row r="18" spans="1:21" x14ac:dyDescent="0.25">
      <c r="A18" s="1">
        <v>46187</v>
      </c>
      <c r="B18" t="s">
        <v>95</v>
      </c>
      <c r="C18" t="s">
        <v>96</v>
      </c>
      <c r="D18" t="s">
        <v>97</v>
      </c>
      <c r="E18" t="s">
        <v>57</v>
      </c>
      <c r="F18" t="s">
        <v>64</v>
      </c>
      <c r="G18" t="s">
        <v>51</v>
      </c>
      <c r="H18" t="s">
        <v>59</v>
      </c>
      <c r="I18" t="s">
        <v>53</v>
      </c>
      <c r="J18" s="2">
        <v>5</v>
      </c>
      <c r="K18" s="3">
        <v>2173.04</v>
      </c>
      <c r="L18" s="3">
        <v>1466.59</v>
      </c>
      <c r="M18" s="4">
        <v>0</v>
      </c>
      <c r="N18" s="3">
        <f t="shared" si="0"/>
        <v>10865.2</v>
      </c>
      <c r="O18" s="3">
        <f t="shared" si="1"/>
        <v>10865.2</v>
      </c>
      <c r="P18" s="3">
        <f t="shared" si="2"/>
        <v>7332.95</v>
      </c>
      <c r="Q18" s="3">
        <f t="shared" si="3"/>
        <v>3532.25</v>
      </c>
      <c r="R18" s="4">
        <f t="shared" si="4"/>
        <v>0.3251</v>
      </c>
      <c r="S18" s="2">
        <v>11</v>
      </c>
      <c r="T18" t="s">
        <v>30</v>
      </c>
      <c r="U18">
        <v>5</v>
      </c>
    </row>
    <row r="19" spans="1:21" x14ac:dyDescent="0.25">
      <c r="A19" s="1">
        <v>46202</v>
      </c>
      <c r="B19" t="s">
        <v>98</v>
      </c>
      <c r="C19" t="s">
        <v>82</v>
      </c>
      <c r="D19" t="s">
        <v>56</v>
      </c>
      <c r="E19" t="s">
        <v>57</v>
      </c>
      <c r="F19" t="s">
        <v>64</v>
      </c>
      <c r="G19" t="s">
        <v>27</v>
      </c>
      <c r="H19" t="s">
        <v>68</v>
      </c>
      <c r="I19" t="s">
        <v>29</v>
      </c>
      <c r="J19" s="2">
        <v>2</v>
      </c>
      <c r="K19" s="3">
        <v>1271.8399999999999</v>
      </c>
      <c r="L19" s="3">
        <v>797.55</v>
      </c>
      <c r="M19" s="4">
        <v>2.3E-3</v>
      </c>
      <c r="N19" s="3">
        <f t="shared" si="0"/>
        <v>2543.6799999999998</v>
      </c>
      <c r="O19" s="3">
        <f t="shared" si="1"/>
        <v>2537.83</v>
      </c>
      <c r="P19" s="3">
        <f t="shared" si="2"/>
        <v>1595.1</v>
      </c>
      <c r="Q19" s="3">
        <f t="shared" si="3"/>
        <v>942.73</v>
      </c>
      <c r="R19" s="4">
        <f t="shared" si="4"/>
        <v>0.3715</v>
      </c>
      <c r="S19" s="2">
        <v>6</v>
      </c>
      <c r="T19" t="s">
        <v>46</v>
      </c>
      <c r="U19">
        <v>2</v>
      </c>
    </row>
    <row r="20" spans="1:21" x14ac:dyDescent="0.25">
      <c r="A20" s="1">
        <v>46228</v>
      </c>
      <c r="B20" t="s">
        <v>99</v>
      </c>
      <c r="C20" t="s">
        <v>100</v>
      </c>
      <c r="D20" t="s">
        <v>101</v>
      </c>
      <c r="E20" t="s">
        <v>35</v>
      </c>
      <c r="F20" t="s">
        <v>64</v>
      </c>
      <c r="G20" t="s">
        <v>51</v>
      </c>
      <c r="H20" t="s">
        <v>52</v>
      </c>
      <c r="I20" t="s">
        <v>92</v>
      </c>
      <c r="J20" s="2">
        <v>4</v>
      </c>
      <c r="K20" s="3">
        <v>272.02999999999997</v>
      </c>
      <c r="L20" s="3">
        <v>123.35</v>
      </c>
      <c r="M20" s="4">
        <v>0</v>
      </c>
      <c r="N20" s="3">
        <f t="shared" si="0"/>
        <v>1088.1199999999999</v>
      </c>
      <c r="O20" s="3">
        <f t="shared" si="1"/>
        <v>1088.1199999999999</v>
      </c>
      <c r="P20" s="3">
        <f t="shared" si="2"/>
        <v>493.4</v>
      </c>
      <c r="Q20" s="3">
        <f t="shared" si="3"/>
        <v>594.72</v>
      </c>
      <c r="R20" s="4">
        <f t="shared" si="4"/>
        <v>0.54659999999999997</v>
      </c>
      <c r="S20" s="2">
        <v>12</v>
      </c>
      <c r="T20" t="s">
        <v>30</v>
      </c>
      <c r="U20">
        <v>5</v>
      </c>
    </row>
    <row r="21" spans="1:21" x14ac:dyDescent="0.25">
      <c r="A21" s="1">
        <v>46205</v>
      </c>
      <c r="B21" t="s">
        <v>102</v>
      </c>
      <c r="C21" t="s">
        <v>103</v>
      </c>
      <c r="D21" t="s">
        <v>24</v>
      </c>
      <c r="E21" t="s">
        <v>25</v>
      </c>
      <c r="F21" t="s">
        <v>64</v>
      </c>
      <c r="G21" t="s">
        <v>37</v>
      </c>
      <c r="H21" t="s">
        <v>104</v>
      </c>
      <c r="I21" t="s">
        <v>29</v>
      </c>
      <c r="J21" s="2">
        <v>5</v>
      </c>
      <c r="K21" s="3">
        <v>309.8</v>
      </c>
      <c r="L21" s="3">
        <v>137.66</v>
      </c>
      <c r="M21" s="4">
        <v>0</v>
      </c>
      <c r="N21" s="3">
        <f t="shared" si="0"/>
        <v>1549</v>
      </c>
      <c r="O21" s="3">
        <f t="shared" si="1"/>
        <v>1549</v>
      </c>
      <c r="P21" s="3">
        <f t="shared" si="2"/>
        <v>688.3</v>
      </c>
      <c r="Q21" s="3">
        <f t="shared" si="3"/>
        <v>860.7</v>
      </c>
      <c r="R21" s="4">
        <f t="shared" si="4"/>
        <v>0.55559999999999998</v>
      </c>
      <c r="S21" s="2">
        <v>3</v>
      </c>
      <c r="T21" t="s">
        <v>46</v>
      </c>
      <c r="U21">
        <v>5</v>
      </c>
    </row>
    <row r="22" spans="1:21" x14ac:dyDescent="0.25">
      <c r="A22" s="1">
        <v>46034</v>
      </c>
      <c r="B22" t="s">
        <v>105</v>
      </c>
      <c r="C22" t="s">
        <v>106</v>
      </c>
      <c r="D22" t="s">
        <v>101</v>
      </c>
      <c r="E22" t="s">
        <v>35</v>
      </c>
      <c r="F22" t="s">
        <v>36</v>
      </c>
      <c r="G22" t="s">
        <v>44</v>
      </c>
      <c r="H22" t="s">
        <v>73</v>
      </c>
      <c r="I22" t="s">
        <v>65</v>
      </c>
      <c r="J22" s="2">
        <v>4</v>
      </c>
      <c r="K22" s="3">
        <v>1676.04</v>
      </c>
      <c r="L22" s="3">
        <v>1111.77</v>
      </c>
      <c r="M22" s="4">
        <v>9.0200000000000002E-2</v>
      </c>
      <c r="N22" s="3">
        <f t="shared" si="0"/>
        <v>6704.16</v>
      </c>
      <c r="O22" s="3">
        <f t="shared" si="1"/>
        <v>6099.44</v>
      </c>
      <c r="P22" s="3">
        <f t="shared" si="2"/>
        <v>4447.08</v>
      </c>
      <c r="Q22" s="3">
        <f t="shared" si="3"/>
        <v>1652.36</v>
      </c>
      <c r="R22" s="4">
        <f t="shared" si="4"/>
        <v>0.27089999999999997</v>
      </c>
      <c r="S22" s="2">
        <v>3</v>
      </c>
      <c r="T22" t="s">
        <v>46</v>
      </c>
      <c r="U22">
        <v>3</v>
      </c>
    </row>
    <row r="23" spans="1:21" x14ac:dyDescent="0.25">
      <c r="A23" s="1">
        <v>46053</v>
      </c>
      <c r="B23" t="s">
        <v>107</v>
      </c>
      <c r="C23" t="s">
        <v>108</v>
      </c>
      <c r="D23" t="s">
        <v>43</v>
      </c>
      <c r="E23" t="s">
        <v>25</v>
      </c>
      <c r="F23" t="s">
        <v>58</v>
      </c>
      <c r="G23" t="s">
        <v>51</v>
      </c>
      <c r="H23" t="s">
        <v>59</v>
      </c>
      <c r="I23" t="s">
        <v>77</v>
      </c>
      <c r="J23" s="2">
        <v>7</v>
      </c>
      <c r="K23" s="3">
        <v>2093.09</v>
      </c>
      <c r="L23" s="3">
        <v>1496.33</v>
      </c>
      <c r="M23" s="4">
        <v>3.5000000000000003E-2</v>
      </c>
      <c r="N23" s="3">
        <f t="shared" si="0"/>
        <v>14651.63</v>
      </c>
      <c r="O23" s="3">
        <f t="shared" si="1"/>
        <v>14138.82</v>
      </c>
      <c r="P23" s="3">
        <f t="shared" si="2"/>
        <v>10474.31</v>
      </c>
      <c r="Q23" s="3">
        <f t="shared" si="3"/>
        <v>3664.51</v>
      </c>
      <c r="R23" s="4">
        <f t="shared" si="4"/>
        <v>0.25919999999999999</v>
      </c>
      <c r="S23" s="2">
        <v>13</v>
      </c>
      <c r="T23" t="s">
        <v>30</v>
      </c>
      <c r="U23">
        <v>4</v>
      </c>
    </row>
    <row r="24" spans="1:21" x14ac:dyDescent="0.25">
      <c r="A24" s="1">
        <v>46218</v>
      </c>
      <c r="B24" t="s">
        <v>109</v>
      </c>
      <c r="C24" t="s">
        <v>110</v>
      </c>
      <c r="D24" t="s">
        <v>43</v>
      </c>
      <c r="E24" t="s">
        <v>25</v>
      </c>
      <c r="F24" t="s">
        <v>64</v>
      </c>
      <c r="G24" t="s">
        <v>51</v>
      </c>
      <c r="H24" t="s">
        <v>52</v>
      </c>
      <c r="I24" t="s">
        <v>77</v>
      </c>
      <c r="J24" s="2">
        <v>1</v>
      </c>
      <c r="K24" s="3">
        <v>269.93</v>
      </c>
      <c r="L24" s="3">
        <v>121.43</v>
      </c>
      <c r="M24" s="4">
        <v>0</v>
      </c>
      <c r="N24" s="3">
        <f t="shared" si="0"/>
        <v>269.93</v>
      </c>
      <c r="O24" s="3">
        <f t="shared" si="1"/>
        <v>269.93</v>
      </c>
      <c r="P24" s="3">
        <f t="shared" si="2"/>
        <v>121.43</v>
      </c>
      <c r="Q24" s="3">
        <f t="shared" si="3"/>
        <v>148.5</v>
      </c>
      <c r="R24" s="4">
        <f t="shared" si="4"/>
        <v>0.55010000000000003</v>
      </c>
      <c r="S24" s="2">
        <v>12</v>
      </c>
      <c r="T24" t="s">
        <v>30</v>
      </c>
      <c r="U24">
        <v>5</v>
      </c>
    </row>
    <row r="25" spans="1:21" x14ac:dyDescent="0.25">
      <c r="A25" s="1">
        <v>46089</v>
      </c>
      <c r="B25" t="s">
        <v>111</v>
      </c>
      <c r="C25" t="s">
        <v>112</v>
      </c>
      <c r="D25" t="s">
        <v>113</v>
      </c>
      <c r="E25" t="s">
        <v>50</v>
      </c>
      <c r="F25" t="s">
        <v>58</v>
      </c>
      <c r="G25" t="s">
        <v>27</v>
      </c>
      <c r="H25" t="s">
        <v>28</v>
      </c>
      <c r="I25" t="s">
        <v>60</v>
      </c>
      <c r="J25" s="2">
        <v>6</v>
      </c>
      <c r="K25" s="3">
        <v>784.06</v>
      </c>
      <c r="L25" s="3">
        <v>443.75</v>
      </c>
      <c r="M25" s="4">
        <v>3.5000000000000003E-2</v>
      </c>
      <c r="N25" s="3">
        <f t="shared" si="0"/>
        <v>4704.3599999999997</v>
      </c>
      <c r="O25" s="3">
        <f t="shared" si="1"/>
        <v>4539.71</v>
      </c>
      <c r="P25" s="3">
        <f t="shared" si="2"/>
        <v>2662.5</v>
      </c>
      <c r="Q25" s="3">
        <f t="shared" si="3"/>
        <v>1877.21</v>
      </c>
      <c r="R25" s="4">
        <f t="shared" si="4"/>
        <v>0.41349999999999998</v>
      </c>
      <c r="S25" s="2">
        <v>8</v>
      </c>
      <c r="T25" t="s">
        <v>46</v>
      </c>
      <c r="U25">
        <v>3</v>
      </c>
    </row>
    <row r="26" spans="1:21" x14ac:dyDescent="0.25">
      <c r="A26" s="1">
        <v>46033</v>
      </c>
      <c r="B26" t="s">
        <v>114</v>
      </c>
      <c r="C26" t="s">
        <v>115</v>
      </c>
      <c r="D26" t="s">
        <v>85</v>
      </c>
      <c r="E26" t="s">
        <v>50</v>
      </c>
      <c r="F26" t="s">
        <v>64</v>
      </c>
      <c r="G26" t="s">
        <v>51</v>
      </c>
      <c r="H26" t="s">
        <v>116</v>
      </c>
      <c r="I26" t="s">
        <v>60</v>
      </c>
      <c r="J26" s="2">
        <v>7</v>
      </c>
      <c r="K26" s="3">
        <v>2855.47</v>
      </c>
      <c r="L26" s="3">
        <v>1872.74</v>
      </c>
      <c r="M26" s="4">
        <v>5.6000000000000001E-2</v>
      </c>
      <c r="N26" s="3">
        <f t="shared" si="0"/>
        <v>19988.29</v>
      </c>
      <c r="O26" s="3">
        <f t="shared" si="1"/>
        <v>18868.95</v>
      </c>
      <c r="P26" s="3">
        <f t="shared" si="2"/>
        <v>13109.18</v>
      </c>
      <c r="Q26" s="3">
        <f t="shared" si="3"/>
        <v>5759.77</v>
      </c>
      <c r="R26" s="4">
        <f t="shared" si="4"/>
        <v>0.30530000000000002</v>
      </c>
      <c r="S26" s="2">
        <v>10</v>
      </c>
      <c r="T26" t="s">
        <v>46</v>
      </c>
      <c r="U26">
        <v>4</v>
      </c>
    </row>
    <row r="27" spans="1:21" x14ac:dyDescent="0.25">
      <c r="A27" s="1">
        <v>46120</v>
      </c>
      <c r="B27" t="s">
        <v>117</v>
      </c>
      <c r="C27" t="s">
        <v>118</v>
      </c>
      <c r="D27" t="s">
        <v>113</v>
      </c>
      <c r="E27" t="s">
        <v>50</v>
      </c>
      <c r="F27" t="s">
        <v>26</v>
      </c>
      <c r="G27" t="s">
        <v>51</v>
      </c>
      <c r="H27" t="s">
        <v>116</v>
      </c>
      <c r="I27" t="s">
        <v>77</v>
      </c>
      <c r="J27" s="2">
        <v>5</v>
      </c>
      <c r="K27" s="3">
        <v>2809.28</v>
      </c>
      <c r="L27" s="3">
        <v>1743.58</v>
      </c>
      <c r="M27" s="4">
        <v>3.7699999999999997E-2</v>
      </c>
      <c r="N27" s="3">
        <f t="shared" si="0"/>
        <v>14046.4</v>
      </c>
      <c r="O27" s="3">
        <f t="shared" si="1"/>
        <v>13516.85</v>
      </c>
      <c r="P27" s="3">
        <f t="shared" si="2"/>
        <v>8717.9</v>
      </c>
      <c r="Q27" s="3">
        <f t="shared" si="3"/>
        <v>4798.95</v>
      </c>
      <c r="R27" s="4">
        <f t="shared" si="4"/>
        <v>0.35499999999999998</v>
      </c>
      <c r="S27" s="2">
        <v>12</v>
      </c>
      <c r="T27" t="s">
        <v>30</v>
      </c>
      <c r="U27">
        <v>4</v>
      </c>
    </row>
    <row r="28" spans="1:21" x14ac:dyDescent="0.25">
      <c r="A28" s="1">
        <v>46106</v>
      </c>
      <c r="B28" t="s">
        <v>119</v>
      </c>
      <c r="C28" t="s">
        <v>120</v>
      </c>
      <c r="D28" t="s">
        <v>121</v>
      </c>
      <c r="E28" t="s">
        <v>72</v>
      </c>
      <c r="F28" t="s">
        <v>26</v>
      </c>
      <c r="G28" t="s">
        <v>51</v>
      </c>
      <c r="H28" t="s">
        <v>116</v>
      </c>
      <c r="I28" t="s">
        <v>65</v>
      </c>
      <c r="J28" s="2">
        <v>8</v>
      </c>
      <c r="K28" s="3">
        <v>2664.28</v>
      </c>
      <c r="L28" s="3">
        <v>1827.79</v>
      </c>
      <c r="M28" s="4">
        <v>9.5799999999999996E-2</v>
      </c>
      <c r="N28" s="3">
        <f t="shared" si="0"/>
        <v>21314.240000000002</v>
      </c>
      <c r="O28" s="3">
        <f t="shared" si="1"/>
        <v>19272.34</v>
      </c>
      <c r="P28" s="3">
        <f t="shared" si="2"/>
        <v>14622.32</v>
      </c>
      <c r="Q28" s="3">
        <f t="shared" si="3"/>
        <v>4650.0200000000004</v>
      </c>
      <c r="R28" s="4">
        <f t="shared" si="4"/>
        <v>0.24129999999999999</v>
      </c>
      <c r="S28" s="2">
        <v>3</v>
      </c>
      <c r="T28" t="s">
        <v>46</v>
      </c>
      <c r="U28">
        <v>3</v>
      </c>
    </row>
    <row r="29" spans="1:21" x14ac:dyDescent="0.25">
      <c r="A29" s="1">
        <v>46045</v>
      </c>
      <c r="B29" t="s">
        <v>122</v>
      </c>
      <c r="C29" t="s">
        <v>123</v>
      </c>
      <c r="D29" t="s">
        <v>85</v>
      </c>
      <c r="E29" t="s">
        <v>50</v>
      </c>
      <c r="F29" t="s">
        <v>36</v>
      </c>
      <c r="G29" t="s">
        <v>44</v>
      </c>
      <c r="H29" t="s">
        <v>124</v>
      </c>
      <c r="I29" t="s">
        <v>77</v>
      </c>
      <c r="J29" s="2">
        <v>6</v>
      </c>
      <c r="K29" s="3">
        <v>6202.35</v>
      </c>
      <c r="L29" s="3">
        <v>4194.5</v>
      </c>
      <c r="M29" s="4">
        <v>9.7900000000000001E-2</v>
      </c>
      <c r="N29" s="3">
        <f t="shared" si="0"/>
        <v>37214.1</v>
      </c>
      <c r="O29" s="3">
        <f t="shared" si="1"/>
        <v>33570.839999999997</v>
      </c>
      <c r="P29" s="3">
        <f t="shared" si="2"/>
        <v>25167</v>
      </c>
      <c r="Q29" s="3">
        <f t="shared" si="3"/>
        <v>8403.84</v>
      </c>
      <c r="R29" s="4">
        <f t="shared" si="4"/>
        <v>0.25030000000000002</v>
      </c>
      <c r="S29" s="2">
        <v>6</v>
      </c>
      <c r="T29" t="s">
        <v>46</v>
      </c>
      <c r="U29">
        <v>2</v>
      </c>
    </row>
    <row r="30" spans="1:21" x14ac:dyDescent="0.25">
      <c r="A30" s="1">
        <v>46058</v>
      </c>
      <c r="B30" t="s">
        <v>125</v>
      </c>
      <c r="C30" t="s">
        <v>62</v>
      </c>
      <c r="D30" t="s">
        <v>126</v>
      </c>
      <c r="E30" t="s">
        <v>57</v>
      </c>
      <c r="F30" t="s">
        <v>36</v>
      </c>
      <c r="G30" t="s">
        <v>44</v>
      </c>
      <c r="H30" t="s">
        <v>124</v>
      </c>
      <c r="I30" t="s">
        <v>92</v>
      </c>
      <c r="J30" s="2">
        <v>3</v>
      </c>
      <c r="K30" s="3">
        <v>5714.58</v>
      </c>
      <c r="L30" s="3">
        <v>4504.05</v>
      </c>
      <c r="M30" s="4">
        <v>3.9600000000000003E-2</v>
      </c>
      <c r="N30" s="3">
        <f t="shared" si="0"/>
        <v>17143.740000000002</v>
      </c>
      <c r="O30" s="3">
        <f t="shared" si="1"/>
        <v>16464.849999999999</v>
      </c>
      <c r="P30" s="3">
        <f t="shared" si="2"/>
        <v>13512.15</v>
      </c>
      <c r="Q30" s="3">
        <f t="shared" si="3"/>
        <v>2952.7</v>
      </c>
      <c r="R30" s="4">
        <f t="shared" si="4"/>
        <v>0.17929999999999999</v>
      </c>
      <c r="S30" s="2">
        <v>12</v>
      </c>
      <c r="T30" t="s">
        <v>30</v>
      </c>
      <c r="U30">
        <v>5</v>
      </c>
    </row>
    <row r="31" spans="1:21" x14ac:dyDescent="0.25">
      <c r="A31" s="1">
        <v>46198</v>
      </c>
      <c r="B31" t="s">
        <v>127</v>
      </c>
      <c r="C31" t="s">
        <v>106</v>
      </c>
      <c r="D31" t="s">
        <v>121</v>
      </c>
      <c r="E31" t="s">
        <v>72</v>
      </c>
      <c r="F31" t="s">
        <v>26</v>
      </c>
      <c r="G31" t="s">
        <v>27</v>
      </c>
      <c r="H31" t="s">
        <v>28</v>
      </c>
      <c r="I31" t="s">
        <v>74</v>
      </c>
      <c r="J31" s="2">
        <v>4</v>
      </c>
      <c r="K31" s="3">
        <v>832.23</v>
      </c>
      <c r="L31" s="3">
        <v>473.5</v>
      </c>
      <c r="M31" s="4">
        <v>7.22E-2</v>
      </c>
      <c r="N31" s="3">
        <f t="shared" si="0"/>
        <v>3328.92</v>
      </c>
      <c r="O31" s="3">
        <f t="shared" si="1"/>
        <v>3088.57</v>
      </c>
      <c r="P31" s="3">
        <f t="shared" si="2"/>
        <v>1894</v>
      </c>
      <c r="Q31" s="3">
        <f t="shared" si="3"/>
        <v>1194.57</v>
      </c>
      <c r="R31" s="4">
        <f t="shared" si="4"/>
        <v>0.38679999999999998</v>
      </c>
      <c r="S31" s="2">
        <v>10</v>
      </c>
      <c r="T31" t="s">
        <v>46</v>
      </c>
      <c r="U31">
        <v>2</v>
      </c>
    </row>
    <row r="32" spans="1:21" x14ac:dyDescent="0.25">
      <c r="A32" s="1">
        <v>46176</v>
      </c>
      <c r="B32" t="s">
        <v>128</v>
      </c>
      <c r="C32" t="s">
        <v>129</v>
      </c>
      <c r="D32" t="s">
        <v>130</v>
      </c>
      <c r="E32" t="s">
        <v>72</v>
      </c>
      <c r="F32" t="s">
        <v>26</v>
      </c>
      <c r="G32" t="s">
        <v>27</v>
      </c>
      <c r="H32" t="s">
        <v>28</v>
      </c>
      <c r="I32" t="s">
        <v>92</v>
      </c>
      <c r="J32" s="2">
        <v>6</v>
      </c>
      <c r="K32" s="3">
        <v>764.35</v>
      </c>
      <c r="L32" s="3">
        <v>473.22</v>
      </c>
      <c r="M32" s="4">
        <v>0</v>
      </c>
      <c r="N32" s="3">
        <f t="shared" si="0"/>
        <v>4586.1000000000004</v>
      </c>
      <c r="O32" s="3">
        <f t="shared" si="1"/>
        <v>4586.1000000000004</v>
      </c>
      <c r="P32" s="3">
        <f t="shared" si="2"/>
        <v>2839.32</v>
      </c>
      <c r="Q32" s="3">
        <f t="shared" si="3"/>
        <v>1746.78</v>
      </c>
      <c r="R32" s="4">
        <f t="shared" si="4"/>
        <v>0.38090000000000002</v>
      </c>
      <c r="S32" s="2">
        <v>9</v>
      </c>
      <c r="T32" t="s">
        <v>46</v>
      </c>
      <c r="U32">
        <v>2</v>
      </c>
    </row>
    <row r="33" spans="1:21" x14ac:dyDescent="0.25">
      <c r="A33" s="1">
        <v>46098</v>
      </c>
      <c r="B33" t="s">
        <v>131</v>
      </c>
      <c r="C33" t="s">
        <v>132</v>
      </c>
      <c r="D33" t="s">
        <v>56</v>
      </c>
      <c r="E33" t="s">
        <v>57</v>
      </c>
      <c r="F33" t="s">
        <v>36</v>
      </c>
      <c r="G33" t="s">
        <v>44</v>
      </c>
      <c r="H33" t="s">
        <v>73</v>
      </c>
      <c r="I33" t="s">
        <v>53</v>
      </c>
      <c r="J33" s="2">
        <v>2</v>
      </c>
      <c r="K33" s="3">
        <v>1781.2</v>
      </c>
      <c r="L33" s="3">
        <v>1075.03</v>
      </c>
      <c r="M33" s="4">
        <v>7.0000000000000001E-3</v>
      </c>
      <c r="N33" s="3">
        <f t="shared" si="0"/>
        <v>3562.4</v>
      </c>
      <c r="O33" s="3">
        <f t="shared" si="1"/>
        <v>3537.46</v>
      </c>
      <c r="P33" s="3">
        <f t="shared" si="2"/>
        <v>2150.06</v>
      </c>
      <c r="Q33" s="3">
        <f t="shared" si="3"/>
        <v>1387.4</v>
      </c>
      <c r="R33" s="4">
        <f t="shared" si="4"/>
        <v>0.39219999999999999</v>
      </c>
      <c r="S33" s="2">
        <v>6</v>
      </c>
      <c r="T33" t="s">
        <v>46</v>
      </c>
      <c r="U33">
        <v>4</v>
      </c>
    </row>
    <row r="34" spans="1:21" x14ac:dyDescent="0.25">
      <c r="A34" s="1">
        <v>46127</v>
      </c>
      <c r="B34" t="s">
        <v>133</v>
      </c>
      <c r="C34" t="s">
        <v>134</v>
      </c>
      <c r="D34" t="s">
        <v>101</v>
      </c>
      <c r="E34" t="s">
        <v>35</v>
      </c>
      <c r="F34" t="s">
        <v>58</v>
      </c>
      <c r="G34" t="s">
        <v>27</v>
      </c>
      <c r="H34" t="s">
        <v>28</v>
      </c>
      <c r="I34" t="s">
        <v>77</v>
      </c>
      <c r="J34" s="2">
        <v>6</v>
      </c>
      <c r="K34" s="3">
        <v>803.74</v>
      </c>
      <c r="L34" s="3">
        <v>462.46</v>
      </c>
      <c r="M34" s="4">
        <v>0.13220000000000001</v>
      </c>
      <c r="N34" s="3">
        <f t="shared" si="0"/>
        <v>4822.4399999999996</v>
      </c>
      <c r="O34" s="3">
        <f t="shared" si="1"/>
        <v>4184.91</v>
      </c>
      <c r="P34" s="3">
        <f t="shared" si="2"/>
        <v>2774.76</v>
      </c>
      <c r="Q34" s="3">
        <f t="shared" si="3"/>
        <v>1410.15</v>
      </c>
      <c r="R34" s="4">
        <f t="shared" si="4"/>
        <v>0.33700000000000002</v>
      </c>
      <c r="S34" s="2">
        <v>5</v>
      </c>
      <c r="T34" t="s">
        <v>46</v>
      </c>
      <c r="U34">
        <v>2</v>
      </c>
    </row>
    <row r="35" spans="1:21" x14ac:dyDescent="0.25">
      <c r="A35" s="1">
        <v>46049</v>
      </c>
      <c r="B35" t="s">
        <v>135</v>
      </c>
      <c r="C35" t="s">
        <v>136</v>
      </c>
      <c r="D35" t="s">
        <v>126</v>
      </c>
      <c r="E35" t="s">
        <v>57</v>
      </c>
      <c r="F35" t="s">
        <v>58</v>
      </c>
      <c r="G35" t="s">
        <v>51</v>
      </c>
      <c r="H35" t="s">
        <v>59</v>
      </c>
      <c r="I35" t="s">
        <v>29</v>
      </c>
      <c r="J35" s="2">
        <v>5</v>
      </c>
      <c r="K35" s="3">
        <v>2149.5500000000002</v>
      </c>
      <c r="L35" s="3">
        <v>1471.74</v>
      </c>
      <c r="M35" s="4">
        <v>3.5000000000000003E-2</v>
      </c>
      <c r="N35" s="3">
        <f t="shared" si="0"/>
        <v>10747.75</v>
      </c>
      <c r="O35" s="3">
        <f t="shared" si="1"/>
        <v>10371.58</v>
      </c>
      <c r="P35" s="3">
        <f t="shared" si="2"/>
        <v>7358.7</v>
      </c>
      <c r="Q35" s="3">
        <f t="shared" si="3"/>
        <v>3012.88</v>
      </c>
      <c r="R35" s="4">
        <f t="shared" si="4"/>
        <v>0.29049999999999998</v>
      </c>
      <c r="S35" s="2">
        <v>3</v>
      </c>
      <c r="T35" t="s">
        <v>46</v>
      </c>
      <c r="U35">
        <v>4</v>
      </c>
    </row>
    <row r="36" spans="1:21" x14ac:dyDescent="0.25">
      <c r="A36" s="1">
        <v>46141</v>
      </c>
      <c r="B36" t="s">
        <v>137</v>
      </c>
      <c r="C36" t="s">
        <v>138</v>
      </c>
      <c r="D36" t="s">
        <v>139</v>
      </c>
      <c r="E36" t="s">
        <v>72</v>
      </c>
      <c r="F36" t="s">
        <v>26</v>
      </c>
      <c r="G36" t="s">
        <v>44</v>
      </c>
      <c r="H36" t="s">
        <v>73</v>
      </c>
      <c r="I36" t="s">
        <v>60</v>
      </c>
      <c r="J36" s="2">
        <v>2</v>
      </c>
      <c r="K36" s="3">
        <v>1785.54</v>
      </c>
      <c r="L36" s="3">
        <v>1075.1600000000001</v>
      </c>
      <c r="M36" s="4">
        <v>0</v>
      </c>
      <c r="N36" s="3">
        <f t="shared" si="0"/>
        <v>3571.08</v>
      </c>
      <c r="O36" s="3">
        <f t="shared" si="1"/>
        <v>3571.08</v>
      </c>
      <c r="P36" s="3">
        <f t="shared" si="2"/>
        <v>2150.3200000000002</v>
      </c>
      <c r="Q36" s="3">
        <f t="shared" si="3"/>
        <v>1420.76</v>
      </c>
      <c r="R36" s="4">
        <f t="shared" si="4"/>
        <v>0.39789999999999998</v>
      </c>
      <c r="S36" s="2">
        <v>6</v>
      </c>
      <c r="T36" t="s">
        <v>46</v>
      </c>
      <c r="U36">
        <v>3</v>
      </c>
    </row>
    <row r="37" spans="1:21" x14ac:dyDescent="0.25">
      <c r="A37" s="1">
        <v>46206</v>
      </c>
      <c r="B37" t="s">
        <v>140</v>
      </c>
      <c r="C37" t="s">
        <v>110</v>
      </c>
      <c r="D37" t="s">
        <v>63</v>
      </c>
      <c r="E37" t="s">
        <v>35</v>
      </c>
      <c r="F37" t="s">
        <v>58</v>
      </c>
      <c r="G37" t="s">
        <v>37</v>
      </c>
      <c r="H37" t="s">
        <v>38</v>
      </c>
      <c r="I37" t="s">
        <v>74</v>
      </c>
      <c r="J37" s="2">
        <v>8</v>
      </c>
      <c r="K37" s="3">
        <v>422.89</v>
      </c>
      <c r="L37" s="3">
        <v>194.35</v>
      </c>
      <c r="M37" s="4">
        <v>3.5000000000000003E-2</v>
      </c>
      <c r="N37" s="3">
        <f t="shared" si="0"/>
        <v>3383.12</v>
      </c>
      <c r="O37" s="3">
        <f t="shared" si="1"/>
        <v>3264.71</v>
      </c>
      <c r="P37" s="3">
        <f t="shared" si="2"/>
        <v>1554.8</v>
      </c>
      <c r="Q37" s="3">
        <f t="shared" si="3"/>
        <v>1709.91</v>
      </c>
      <c r="R37" s="4">
        <f t="shared" si="4"/>
        <v>0.52380000000000004</v>
      </c>
      <c r="S37" s="2">
        <v>9</v>
      </c>
      <c r="T37" t="s">
        <v>46</v>
      </c>
      <c r="U37">
        <v>3</v>
      </c>
    </row>
    <row r="38" spans="1:21" x14ac:dyDescent="0.25">
      <c r="A38" s="1">
        <v>46069</v>
      </c>
      <c r="B38" t="s">
        <v>141</v>
      </c>
      <c r="C38" t="s">
        <v>142</v>
      </c>
      <c r="D38" t="s">
        <v>130</v>
      </c>
      <c r="E38" t="s">
        <v>72</v>
      </c>
      <c r="F38" t="s">
        <v>58</v>
      </c>
      <c r="G38" t="s">
        <v>27</v>
      </c>
      <c r="H38" t="s">
        <v>28</v>
      </c>
      <c r="I38" t="s">
        <v>92</v>
      </c>
      <c r="J38" s="2">
        <v>4</v>
      </c>
      <c r="K38" s="3">
        <v>824.84</v>
      </c>
      <c r="L38" s="3">
        <v>472.38</v>
      </c>
      <c r="M38" s="4">
        <v>5.3900000000000003E-2</v>
      </c>
      <c r="N38" s="3">
        <f t="shared" si="0"/>
        <v>3299.36</v>
      </c>
      <c r="O38" s="3">
        <f t="shared" si="1"/>
        <v>3121.52</v>
      </c>
      <c r="P38" s="3">
        <f t="shared" si="2"/>
        <v>1889.52</v>
      </c>
      <c r="Q38" s="3">
        <f t="shared" si="3"/>
        <v>1232</v>
      </c>
      <c r="R38" s="4">
        <f t="shared" si="4"/>
        <v>0.3947</v>
      </c>
      <c r="S38" s="2">
        <v>7</v>
      </c>
      <c r="T38" t="s">
        <v>46</v>
      </c>
      <c r="U38">
        <v>5</v>
      </c>
    </row>
    <row r="39" spans="1:21" x14ac:dyDescent="0.25">
      <c r="A39" s="1">
        <v>46098</v>
      </c>
      <c r="B39" t="s">
        <v>143</v>
      </c>
      <c r="C39" t="s">
        <v>144</v>
      </c>
      <c r="D39" t="s">
        <v>121</v>
      </c>
      <c r="E39" t="s">
        <v>72</v>
      </c>
      <c r="F39" t="s">
        <v>36</v>
      </c>
      <c r="G39" t="s">
        <v>51</v>
      </c>
      <c r="H39" t="s">
        <v>52</v>
      </c>
      <c r="I39" t="s">
        <v>29</v>
      </c>
      <c r="J39" s="2">
        <v>6</v>
      </c>
      <c r="K39" s="3">
        <v>270.29000000000002</v>
      </c>
      <c r="L39" s="3">
        <v>117.98</v>
      </c>
      <c r="M39" s="4">
        <v>8.9399999999999993E-2</v>
      </c>
      <c r="N39" s="3">
        <f t="shared" si="0"/>
        <v>1621.74</v>
      </c>
      <c r="O39" s="3">
        <f t="shared" si="1"/>
        <v>1476.76</v>
      </c>
      <c r="P39" s="3">
        <f t="shared" si="2"/>
        <v>707.88</v>
      </c>
      <c r="Q39" s="3">
        <f t="shared" si="3"/>
        <v>768.88</v>
      </c>
      <c r="R39" s="4">
        <f t="shared" si="4"/>
        <v>0.52070000000000005</v>
      </c>
      <c r="S39" s="2">
        <v>14</v>
      </c>
      <c r="T39" t="s">
        <v>30</v>
      </c>
      <c r="U39">
        <v>2</v>
      </c>
    </row>
    <row r="40" spans="1:21" x14ac:dyDescent="0.25">
      <c r="A40" s="1">
        <v>46156</v>
      </c>
      <c r="B40" t="s">
        <v>145</v>
      </c>
      <c r="C40" t="s">
        <v>146</v>
      </c>
      <c r="D40" t="s">
        <v>63</v>
      </c>
      <c r="E40" t="s">
        <v>35</v>
      </c>
      <c r="F40" t="s">
        <v>58</v>
      </c>
      <c r="G40" t="s">
        <v>51</v>
      </c>
      <c r="H40" t="s">
        <v>59</v>
      </c>
      <c r="I40" t="s">
        <v>65</v>
      </c>
      <c r="J40" s="2">
        <v>3</v>
      </c>
      <c r="K40" s="3">
        <v>2215.65</v>
      </c>
      <c r="L40" s="3">
        <v>1363.08</v>
      </c>
      <c r="M40" s="4">
        <v>0.16170000000000001</v>
      </c>
      <c r="N40" s="3">
        <f t="shared" si="0"/>
        <v>6646.95</v>
      </c>
      <c r="O40" s="3">
        <f t="shared" si="1"/>
        <v>5572.14</v>
      </c>
      <c r="P40" s="3">
        <f t="shared" si="2"/>
        <v>4089.24</v>
      </c>
      <c r="Q40" s="3">
        <f t="shared" si="3"/>
        <v>1482.9</v>
      </c>
      <c r="R40" s="4">
        <f t="shared" si="4"/>
        <v>0.2661</v>
      </c>
      <c r="S40" s="2">
        <v>9</v>
      </c>
      <c r="T40" t="s">
        <v>46</v>
      </c>
      <c r="U40">
        <v>2</v>
      </c>
    </row>
    <row r="41" spans="1:21" x14ac:dyDescent="0.25">
      <c r="A41" s="1">
        <v>46193</v>
      </c>
      <c r="B41" t="s">
        <v>147</v>
      </c>
      <c r="C41" t="s">
        <v>148</v>
      </c>
      <c r="D41" t="s">
        <v>56</v>
      </c>
      <c r="E41" t="s">
        <v>57</v>
      </c>
      <c r="F41" t="s">
        <v>36</v>
      </c>
      <c r="G41" t="s">
        <v>51</v>
      </c>
      <c r="H41" t="s">
        <v>52</v>
      </c>
      <c r="I41" t="s">
        <v>53</v>
      </c>
      <c r="J41" s="2">
        <v>8</v>
      </c>
      <c r="K41" s="3">
        <v>248.37</v>
      </c>
      <c r="L41" s="3">
        <v>121.43</v>
      </c>
      <c r="M41" s="4">
        <v>6.4699999999999994E-2</v>
      </c>
      <c r="N41" s="3">
        <f t="shared" si="0"/>
        <v>1986.96</v>
      </c>
      <c r="O41" s="3">
        <f t="shared" si="1"/>
        <v>1858.4</v>
      </c>
      <c r="P41" s="3">
        <f t="shared" si="2"/>
        <v>971.44</v>
      </c>
      <c r="Q41" s="3">
        <f t="shared" si="3"/>
        <v>886.96</v>
      </c>
      <c r="R41" s="4">
        <f t="shared" si="4"/>
        <v>0.4773</v>
      </c>
      <c r="S41" s="2">
        <v>4</v>
      </c>
      <c r="T41" t="s">
        <v>46</v>
      </c>
      <c r="U41">
        <v>2</v>
      </c>
    </row>
    <row r="42" spans="1:21" x14ac:dyDescent="0.25">
      <c r="A42" s="1">
        <v>46024</v>
      </c>
      <c r="B42" t="s">
        <v>149</v>
      </c>
      <c r="C42" t="s">
        <v>150</v>
      </c>
      <c r="D42" t="s">
        <v>121</v>
      </c>
      <c r="E42" t="s">
        <v>72</v>
      </c>
      <c r="F42" t="s">
        <v>36</v>
      </c>
      <c r="G42" t="s">
        <v>44</v>
      </c>
      <c r="H42" t="s">
        <v>45</v>
      </c>
      <c r="I42" t="s">
        <v>92</v>
      </c>
      <c r="J42" s="2">
        <v>8</v>
      </c>
      <c r="K42" s="3">
        <v>371.98</v>
      </c>
      <c r="L42" s="3">
        <v>226.54</v>
      </c>
      <c r="M42" s="4">
        <v>0</v>
      </c>
      <c r="N42" s="3">
        <f t="shared" si="0"/>
        <v>2975.84</v>
      </c>
      <c r="O42" s="3">
        <f t="shared" si="1"/>
        <v>2975.84</v>
      </c>
      <c r="P42" s="3">
        <f t="shared" si="2"/>
        <v>1812.32</v>
      </c>
      <c r="Q42" s="3">
        <f t="shared" si="3"/>
        <v>1163.52</v>
      </c>
      <c r="R42" s="4">
        <f t="shared" si="4"/>
        <v>0.39100000000000001</v>
      </c>
      <c r="S42" s="2">
        <v>10</v>
      </c>
      <c r="T42" t="s">
        <v>46</v>
      </c>
      <c r="U42">
        <v>5</v>
      </c>
    </row>
    <row r="43" spans="1:21" x14ac:dyDescent="0.25">
      <c r="A43" s="1">
        <v>46145</v>
      </c>
      <c r="B43" t="s">
        <v>151</v>
      </c>
      <c r="C43" t="s">
        <v>129</v>
      </c>
      <c r="D43" t="s">
        <v>63</v>
      </c>
      <c r="E43" t="s">
        <v>35</v>
      </c>
      <c r="F43" t="s">
        <v>58</v>
      </c>
      <c r="G43" t="s">
        <v>44</v>
      </c>
      <c r="H43" t="s">
        <v>124</v>
      </c>
      <c r="I43" t="s">
        <v>92</v>
      </c>
      <c r="J43" s="2">
        <v>4</v>
      </c>
      <c r="K43" s="3">
        <v>5713.67</v>
      </c>
      <c r="L43" s="3">
        <v>4525.22</v>
      </c>
      <c r="M43" s="4">
        <v>9.8599999999999993E-2</v>
      </c>
      <c r="N43" s="3">
        <f t="shared" si="0"/>
        <v>22854.68</v>
      </c>
      <c r="O43" s="3">
        <f t="shared" si="1"/>
        <v>20601.21</v>
      </c>
      <c r="P43" s="3">
        <f t="shared" si="2"/>
        <v>18100.88</v>
      </c>
      <c r="Q43" s="3">
        <f t="shared" si="3"/>
        <v>2500.33</v>
      </c>
      <c r="R43" s="4">
        <f t="shared" si="4"/>
        <v>0.12139999999999999</v>
      </c>
      <c r="S43" s="2">
        <v>7</v>
      </c>
      <c r="T43" t="s">
        <v>46</v>
      </c>
      <c r="U43">
        <v>5</v>
      </c>
    </row>
    <row r="44" spans="1:21" x14ac:dyDescent="0.25">
      <c r="A44" s="1">
        <v>46075</v>
      </c>
      <c r="B44" t="s">
        <v>152</v>
      </c>
      <c r="C44" t="s">
        <v>153</v>
      </c>
      <c r="D44" t="s">
        <v>130</v>
      </c>
      <c r="E44" t="s">
        <v>72</v>
      </c>
      <c r="F44" t="s">
        <v>64</v>
      </c>
      <c r="G44" t="s">
        <v>37</v>
      </c>
      <c r="H44" t="s">
        <v>104</v>
      </c>
      <c r="I44" t="s">
        <v>65</v>
      </c>
      <c r="J44" s="2">
        <v>6</v>
      </c>
      <c r="K44" s="3">
        <v>311.93</v>
      </c>
      <c r="L44" s="3">
        <v>142.34</v>
      </c>
      <c r="M44" s="4">
        <v>7.1400000000000005E-2</v>
      </c>
      <c r="N44" s="3">
        <f t="shared" si="0"/>
        <v>1871.58</v>
      </c>
      <c r="O44" s="3">
        <f t="shared" si="1"/>
        <v>1737.95</v>
      </c>
      <c r="P44" s="3">
        <f t="shared" si="2"/>
        <v>854.04</v>
      </c>
      <c r="Q44" s="3">
        <f t="shared" si="3"/>
        <v>883.91</v>
      </c>
      <c r="R44" s="4">
        <f t="shared" si="4"/>
        <v>0.50860000000000005</v>
      </c>
      <c r="S44" s="2">
        <v>4</v>
      </c>
      <c r="T44" t="s">
        <v>46</v>
      </c>
      <c r="U44">
        <v>5</v>
      </c>
    </row>
    <row r="45" spans="1:21" x14ac:dyDescent="0.25">
      <c r="A45" s="1">
        <v>46117</v>
      </c>
      <c r="B45" t="s">
        <v>154</v>
      </c>
      <c r="C45" t="s">
        <v>155</v>
      </c>
      <c r="D45" t="s">
        <v>63</v>
      </c>
      <c r="E45" t="s">
        <v>35</v>
      </c>
      <c r="F45" t="s">
        <v>64</v>
      </c>
      <c r="G45" t="s">
        <v>51</v>
      </c>
      <c r="H45" t="s">
        <v>116</v>
      </c>
      <c r="I45" t="s">
        <v>60</v>
      </c>
      <c r="J45" s="2">
        <v>8</v>
      </c>
      <c r="K45" s="3">
        <v>2830.4</v>
      </c>
      <c r="L45" s="3">
        <v>1764.89</v>
      </c>
      <c r="M45" s="4">
        <v>9.7000000000000003E-2</v>
      </c>
      <c r="N45" s="3">
        <f t="shared" si="0"/>
        <v>22643.200000000001</v>
      </c>
      <c r="O45" s="3">
        <f t="shared" si="1"/>
        <v>20446.810000000001</v>
      </c>
      <c r="P45" s="3">
        <f t="shared" si="2"/>
        <v>14119.12</v>
      </c>
      <c r="Q45" s="3">
        <f t="shared" si="3"/>
        <v>6327.69</v>
      </c>
      <c r="R45" s="4">
        <f t="shared" si="4"/>
        <v>0.3095</v>
      </c>
      <c r="S45" s="2">
        <v>4</v>
      </c>
      <c r="T45" t="s">
        <v>46</v>
      </c>
      <c r="U45">
        <v>3</v>
      </c>
    </row>
    <row r="46" spans="1:21" x14ac:dyDescent="0.25">
      <c r="A46" s="1">
        <v>46061</v>
      </c>
      <c r="B46" t="s">
        <v>156</v>
      </c>
      <c r="C46" t="s">
        <v>157</v>
      </c>
      <c r="D46" t="s">
        <v>43</v>
      </c>
      <c r="E46" t="s">
        <v>25</v>
      </c>
      <c r="F46" t="s">
        <v>58</v>
      </c>
      <c r="G46" t="s">
        <v>37</v>
      </c>
      <c r="H46" t="s">
        <v>38</v>
      </c>
      <c r="I46" t="s">
        <v>87</v>
      </c>
      <c r="J46" s="2">
        <v>2</v>
      </c>
      <c r="K46" s="3">
        <v>407.64</v>
      </c>
      <c r="L46" s="3">
        <v>204.74</v>
      </c>
      <c r="M46" s="4">
        <v>0.1152</v>
      </c>
      <c r="N46" s="3">
        <f t="shared" si="0"/>
        <v>815.28</v>
      </c>
      <c r="O46" s="3">
        <f t="shared" si="1"/>
        <v>721.36</v>
      </c>
      <c r="P46" s="3">
        <f t="shared" si="2"/>
        <v>409.48</v>
      </c>
      <c r="Q46" s="3">
        <f t="shared" si="3"/>
        <v>311.88</v>
      </c>
      <c r="R46" s="4">
        <f t="shared" si="4"/>
        <v>0.43240000000000001</v>
      </c>
      <c r="S46" s="2">
        <v>5</v>
      </c>
      <c r="T46" t="s">
        <v>46</v>
      </c>
      <c r="U46">
        <v>3</v>
      </c>
    </row>
    <row r="47" spans="1:21" x14ac:dyDescent="0.25">
      <c r="A47" s="1">
        <v>46042</v>
      </c>
      <c r="B47" t="s">
        <v>158</v>
      </c>
      <c r="C47" t="s">
        <v>159</v>
      </c>
      <c r="D47" t="s">
        <v>49</v>
      </c>
      <c r="E47" t="s">
        <v>50</v>
      </c>
      <c r="F47" t="s">
        <v>58</v>
      </c>
      <c r="G47" t="s">
        <v>37</v>
      </c>
      <c r="H47" t="s">
        <v>104</v>
      </c>
      <c r="I47" t="s">
        <v>29</v>
      </c>
      <c r="J47" s="2">
        <v>2</v>
      </c>
      <c r="K47" s="3">
        <v>323.86</v>
      </c>
      <c r="L47" s="3">
        <v>140.25</v>
      </c>
      <c r="M47" s="4">
        <v>0.14099999999999999</v>
      </c>
      <c r="N47" s="3">
        <f t="shared" si="0"/>
        <v>647.72</v>
      </c>
      <c r="O47" s="3">
        <f t="shared" si="1"/>
        <v>556.39</v>
      </c>
      <c r="P47" s="3">
        <f t="shared" si="2"/>
        <v>280.5</v>
      </c>
      <c r="Q47" s="3">
        <f t="shared" si="3"/>
        <v>275.89</v>
      </c>
      <c r="R47" s="4">
        <f t="shared" si="4"/>
        <v>0.49590000000000001</v>
      </c>
      <c r="S47" s="2">
        <v>13</v>
      </c>
      <c r="T47" t="s">
        <v>40</v>
      </c>
    </row>
    <row r="48" spans="1:21" x14ac:dyDescent="0.25">
      <c r="A48" s="1">
        <v>46075</v>
      </c>
      <c r="B48" t="s">
        <v>160</v>
      </c>
      <c r="C48" t="s">
        <v>155</v>
      </c>
      <c r="D48" t="s">
        <v>113</v>
      </c>
      <c r="E48" t="s">
        <v>50</v>
      </c>
      <c r="F48" t="s">
        <v>64</v>
      </c>
      <c r="G48" t="s">
        <v>37</v>
      </c>
      <c r="H48" t="s">
        <v>38</v>
      </c>
      <c r="I48" t="s">
        <v>60</v>
      </c>
      <c r="J48" s="2">
        <v>6</v>
      </c>
      <c r="K48" s="3">
        <v>449.19</v>
      </c>
      <c r="L48" s="3">
        <v>197.73</v>
      </c>
      <c r="M48" s="4">
        <v>9.2200000000000004E-2</v>
      </c>
      <c r="N48" s="3">
        <f t="shared" si="0"/>
        <v>2695.14</v>
      </c>
      <c r="O48" s="3">
        <f t="shared" si="1"/>
        <v>2446.65</v>
      </c>
      <c r="P48" s="3">
        <f t="shared" si="2"/>
        <v>1186.3800000000001</v>
      </c>
      <c r="Q48" s="3">
        <f t="shared" si="3"/>
        <v>1260.27</v>
      </c>
      <c r="R48" s="4">
        <f t="shared" si="4"/>
        <v>0.5151</v>
      </c>
      <c r="S48" s="2">
        <v>5</v>
      </c>
      <c r="T48" t="s">
        <v>46</v>
      </c>
      <c r="U48">
        <v>4</v>
      </c>
    </row>
    <row r="49" spans="1:21" x14ac:dyDescent="0.25">
      <c r="A49" s="1">
        <v>46187</v>
      </c>
      <c r="B49" t="s">
        <v>161</v>
      </c>
      <c r="C49" t="s">
        <v>162</v>
      </c>
      <c r="D49" t="s">
        <v>101</v>
      </c>
      <c r="E49" t="s">
        <v>35</v>
      </c>
      <c r="F49" t="s">
        <v>64</v>
      </c>
      <c r="G49" t="s">
        <v>37</v>
      </c>
      <c r="H49" t="s">
        <v>104</v>
      </c>
      <c r="I49" t="s">
        <v>39</v>
      </c>
      <c r="J49" s="2">
        <v>7</v>
      </c>
      <c r="K49" s="3">
        <v>331.71</v>
      </c>
      <c r="L49" s="3">
        <v>140.86000000000001</v>
      </c>
      <c r="M49" s="4">
        <v>0</v>
      </c>
      <c r="N49" s="3">
        <f t="shared" si="0"/>
        <v>2321.9699999999998</v>
      </c>
      <c r="O49" s="3">
        <f t="shared" si="1"/>
        <v>2321.9699999999998</v>
      </c>
      <c r="P49" s="3">
        <f t="shared" si="2"/>
        <v>986.02</v>
      </c>
      <c r="Q49" s="3">
        <f t="shared" si="3"/>
        <v>1335.95</v>
      </c>
      <c r="R49" s="4">
        <f t="shared" si="4"/>
        <v>0.57540000000000002</v>
      </c>
      <c r="S49" s="2">
        <v>11</v>
      </c>
      <c r="T49" t="s">
        <v>30</v>
      </c>
      <c r="U49">
        <v>5</v>
      </c>
    </row>
    <row r="50" spans="1:21" x14ac:dyDescent="0.25">
      <c r="A50" s="1">
        <v>46198</v>
      </c>
      <c r="B50" t="s">
        <v>163</v>
      </c>
      <c r="C50" t="s">
        <v>164</v>
      </c>
      <c r="D50" t="s">
        <v>130</v>
      </c>
      <c r="E50" t="s">
        <v>72</v>
      </c>
      <c r="F50" t="s">
        <v>58</v>
      </c>
      <c r="G50" t="s">
        <v>44</v>
      </c>
      <c r="H50" t="s">
        <v>73</v>
      </c>
      <c r="I50" t="s">
        <v>92</v>
      </c>
      <c r="J50" s="2">
        <v>4</v>
      </c>
      <c r="K50" s="3">
        <v>1747.68</v>
      </c>
      <c r="L50" s="3">
        <v>1093.55</v>
      </c>
      <c r="M50" s="4">
        <v>0.1452</v>
      </c>
      <c r="N50" s="3">
        <f t="shared" si="0"/>
        <v>6990.72</v>
      </c>
      <c r="O50" s="3">
        <f t="shared" si="1"/>
        <v>5975.67</v>
      </c>
      <c r="P50" s="3">
        <f t="shared" si="2"/>
        <v>4374.2</v>
      </c>
      <c r="Q50" s="3">
        <f t="shared" si="3"/>
        <v>1601.47</v>
      </c>
      <c r="R50" s="4">
        <f t="shared" si="4"/>
        <v>0.26800000000000002</v>
      </c>
      <c r="S50" s="2">
        <v>8</v>
      </c>
      <c r="T50" t="s">
        <v>46</v>
      </c>
      <c r="U50">
        <v>4</v>
      </c>
    </row>
    <row r="51" spans="1:21" x14ac:dyDescent="0.25">
      <c r="A51" s="1">
        <v>46027</v>
      </c>
      <c r="B51" t="s">
        <v>165</v>
      </c>
      <c r="C51" t="s">
        <v>166</v>
      </c>
      <c r="D51" t="s">
        <v>97</v>
      </c>
      <c r="E51" t="s">
        <v>57</v>
      </c>
      <c r="F51" t="s">
        <v>58</v>
      </c>
      <c r="G51" t="s">
        <v>51</v>
      </c>
      <c r="H51" t="s">
        <v>116</v>
      </c>
      <c r="I51" t="s">
        <v>65</v>
      </c>
      <c r="J51" s="2">
        <v>3</v>
      </c>
      <c r="K51" s="3">
        <v>2756.83</v>
      </c>
      <c r="L51" s="3">
        <v>1764.84</v>
      </c>
      <c r="M51" s="4">
        <v>3.56E-2</v>
      </c>
      <c r="N51" s="3">
        <f t="shared" si="0"/>
        <v>8270.49</v>
      </c>
      <c r="O51" s="3">
        <f t="shared" si="1"/>
        <v>7976.06</v>
      </c>
      <c r="P51" s="3">
        <f t="shared" si="2"/>
        <v>5294.52</v>
      </c>
      <c r="Q51" s="3">
        <f t="shared" si="3"/>
        <v>2681.54</v>
      </c>
      <c r="R51" s="4">
        <f t="shared" si="4"/>
        <v>0.3362</v>
      </c>
      <c r="S51" s="2">
        <v>6</v>
      </c>
      <c r="T51" t="s">
        <v>46</v>
      </c>
      <c r="U51">
        <v>4</v>
      </c>
    </row>
    <row r="52" spans="1:21" x14ac:dyDescent="0.25">
      <c r="A52" s="1">
        <v>46211</v>
      </c>
      <c r="B52" t="s">
        <v>167</v>
      </c>
      <c r="C52" t="s">
        <v>168</v>
      </c>
      <c r="D52" t="s">
        <v>113</v>
      </c>
      <c r="E52" t="s">
        <v>50</v>
      </c>
      <c r="F52" t="s">
        <v>64</v>
      </c>
      <c r="G52" t="s">
        <v>51</v>
      </c>
      <c r="H52" t="s">
        <v>59</v>
      </c>
      <c r="I52" t="s">
        <v>65</v>
      </c>
      <c r="J52" s="2">
        <v>3</v>
      </c>
      <c r="K52" s="3">
        <v>2232.98</v>
      </c>
      <c r="L52" s="3">
        <v>1427.37</v>
      </c>
      <c r="M52" s="4">
        <v>8.3500000000000005E-2</v>
      </c>
      <c r="N52" s="3">
        <f t="shared" si="0"/>
        <v>6698.94</v>
      </c>
      <c r="O52" s="3">
        <f t="shared" si="1"/>
        <v>6139.58</v>
      </c>
      <c r="P52" s="3">
        <f t="shared" si="2"/>
        <v>4282.1099999999997</v>
      </c>
      <c r="Q52" s="3">
        <f t="shared" si="3"/>
        <v>1857.47</v>
      </c>
      <c r="R52" s="4">
        <f t="shared" si="4"/>
        <v>0.30249999999999999</v>
      </c>
      <c r="S52" s="2">
        <v>10</v>
      </c>
      <c r="T52" t="s">
        <v>46</v>
      </c>
      <c r="U52">
        <v>2</v>
      </c>
    </row>
    <row r="53" spans="1:21" x14ac:dyDescent="0.25">
      <c r="A53" s="1">
        <v>46207</v>
      </c>
      <c r="B53" t="s">
        <v>169</v>
      </c>
      <c r="C53" t="s">
        <v>170</v>
      </c>
      <c r="D53" t="s">
        <v>49</v>
      </c>
      <c r="E53" t="s">
        <v>50</v>
      </c>
      <c r="F53" t="s">
        <v>36</v>
      </c>
      <c r="G53" t="s">
        <v>51</v>
      </c>
      <c r="H53" t="s">
        <v>116</v>
      </c>
      <c r="I53" t="s">
        <v>77</v>
      </c>
      <c r="J53" s="2">
        <v>3</v>
      </c>
      <c r="K53" s="3">
        <v>2882.92</v>
      </c>
      <c r="L53" s="3">
        <v>1831.12</v>
      </c>
      <c r="M53" s="4">
        <v>0</v>
      </c>
      <c r="N53" s="3">
        <f t="shared" si="0"/>
        <v>8648.76</v>
      </c>
      <c r="O53" s="3">
        <f t="shared" si="1"/>
        <v>8648.76</v>
      </c>
      <c r="P53" s="3">
        <f t="shared" si="2"/>
        <v>5493.36</v>
      </c>
      <c r="Q53" s="3">
        <f t="shared" si="3"/>
        <v>3155.4</v>
      </c>
      <c r="R53" s="4">
        <f t="shared" si="4"/>
        <v>0.36480000000000001</v>
      </c>
      <c r="S53" s="2">
        <v>10</v>
      </c>
      <c r="T53" t="s">
        <v>46</v>
      </c>
      <c r="U53">
        <v>3</v>
      </c>
    </row>
    <row r="54" spans="1:21" x14ac:dyDescent="0.25">
      <c r="A54" s="1">
        <v>46197</v>
      </c>
      <c r="B54" t="s">
        <v>171</v>
      </c>
      <c r="C54" t="s">
        <v>172</v>
      </c>
      <c r="D54" t="s">
        <v>121</v>
      </c>
      <c r="E54" t="s">
        <v>72</v>
      </c>
      <c r="F54" t="s">
        <v>26</v>
      </c>
      <c r="G54" t="s">
        <v>37</v>
      </c>
      <c r="H54" t="s">
        <v>104</v>
      </c>
      <c r="I54" t="s">
        <v>92</v>
      </c>
      <c r="J54" s="2">
        <v>6</v>
      </c>
      <c r="K54" s="3">
        <v>315.51</v>
      </c>
      <c r="L54" s="3">
        <v>143.28</v>
      </c>
      <c r="M54" s="4">
        <v>0</v>
      </c>
      <c r="N54" s="3">
        <f t="shared" si="0"/>
        <v>1893.06</v>
      </c>
      <c r="O54" s="3">
        <f t="shared" si="1"/>
        <v>1893.06</v>
      </c>
      <c r="P54" s="3">
        <f t="shared" si="2"/>
        <v>859.68</v>
      </c>
      <c r="Q54" s="3">
        <f t="shared" si="3"/>
        <v>1033.3800000000001</v>
      </c>
      <c r="R54" s="4">
        <f t="shared" si="4"/>
        <v>0.54590000000000005</v>
      </c>
      <c r="S54" s="2">
        <v>14</v>
      </c>
      <c r="T54" t="s">
        <v>30</v>
      </c>
      <c r="U54">
        <v>3</v>
      </c>
    </row>
    <row r="55" spans="1:21" x14ac:dyDescent="0.25">
      <c r="A55" s="1">
        <v>46091</v>
      </c>
      <c r="B55" t="s">
        <v>173</v>
      </c>
      <c r="C55" t="s">
        <v>174</v>
      </c>
      <c r="D55" t="s">
        <v>130</v>
      </c>
      <c r="E55" t="s">
        <v>72</v>
      </c>
      <c r="F55" t="s">
        <v>64</v>
      </c>
      <c r="G55" t="s">
        <v>44</v>
      </c>
      <c r="H55" t="s">
        <v>73</v>
      </c>
      <c r="I55" t="s">
        <v>74</v>
      </c>
      <c r="J55" s="2">
        <v>5</v>
      </c>
      <c r="K55" s="3">
        <v>1720.18</v>
      </c>
      <c r="L55" s="3">
        <v>1138</v>
      </c>
      <c r="M55" s="4">
        <v>0</v>
      </c>
      <c r="N55" s="3">
        <f t="shared" si="0"/>
        <v>8600.9</v>
      </c>
      <c r="O55" s="3">
        <f t="shared" si="1"/>
        <v>8600.9</v>
      </c>
      <c r="P55" s="3">
        <f t="shared" si="2"/>
        <v>5690</v>
      </c>
      <c r="Q55" s="3">
        <f t="shared" si="3"/>
        <v>2910.9</v>
      </c>
      <c r="R55" s="4">
        <f t="shared" si="4"/>
        <v>0.33839999999999998</v>
      </c>
      <c r="S55" s="2">
        <v>5</v>
      </c>
      <c r="T55" t="s">
        <v>46</v>
      </c>
      <c r="U55">
        <v>5</v>
      </c>
    </row>
    <row r="56" spans="1:21" x14ac:dyDescent="0.25">
      <c r="A56" s="1">
        <v>46192</v>
      </c>
      <c r="B56" t="s">
        <v>175</v>
      </c>
      <c r="C56" t="s">
        <v>176</v>
      </c>
      <c r="D56" t="s">
        <v>97</v>
      </c>
      <c r="E56" t="s">
        <v>57</v>
      </c>
      <c r="F56" t="s">
        <v>26</v>
      </c>
      <c r="G56" t="s">
        <v>27</v>
      </c>
      <c r="H56" t="s">
        <v>86</v>
      </c>
      <c r="I56" t="s">
        <v>87</v>
      </c>
      <c r="J56" s="2">
        <v>7</v>
      </c>
      <c r="K56" s="3">
        <v>1844.26</v>
      </c>
      <c r="L56" s="3">
        <v>1186.5</v>
      </c>
      <c r="M56" s="4">
        <v>8.7900000000000006E-2</v>
      </c>
      <c r="N56" s="3">
        <f t="shared" si="0"/>
        <v>12909.82</v>
      </c>
      <c r="O56" s="3">
        <f t="shared" si="1"/>
        <v>11775.05</v>
      </c>
      <c r="P56" s="3">
        <f t="shared" si="2"/>
        <v>8305.5</v>
      </c>
      <c r="Q56" s="3">
        <f t="shared" si="3"/>
        <v>3469.55</v>
      </c>
      <c r="R56" s="4">
        <f t="shared" si="4"/>
        <v>0.29470000000000002</v>
      </c>
      <c r="S56" s="2">
        <v>11</v>
      </c>
      <c r="T56" t="s">
        <v>30</v>
      </c>
      <c r="U56">
        <v>2</v>
      </c>
    </row>
    <row r="57" spans="1:21" x14ac:dyDescent="0.25">
      <c r="A57" s="1">
        <v>46201</v>
      </c>
      <c r="B57" t="s">
        <v>177</v>
      </c>
      <c r="C57" t="s">
        <v>108</v>
      </c>
      <c r="D57" t="s">
        <v>71</v>
      </c>
      <c r="E57" t="s">
        <v>72</v>
      </c>
      <c r="F57" t="s">
        <v>36</v>
      </c>
      <c r="G57" t="s">
        <v>37</v>
      </c>
      <c r="H57" t="s">
        <v>178</v>
      </c>
      <c r="I57" t="s">
        <v>29</v>
      </c>
      <c r="J57" s="2">
        <v>5</v>
      </c>
      <c r="K57" s="3">
        <v>519.97</v>
      </c>
      <c r="L57" s="3">
        <v>258.95999999999998</v>
      </c>
      <c r="M57" s="4">
        <v>0</v>
      </c>
      <c r="N57" s="3">
        <f t="shared" si="0"/>
        <v>2599.85</v>
      </c>
      <c r="O57" s="3">
        <f t="shared" si="1"/>
        <v>2599.85</v>
      </c>
      <c r="P57" s="3">
        <f t="shared" si="2"/>
        <v>1294.8</v>
      </c>
      <c r="Q57" s="3">
        <f t="shared" si="3"/>
        <v>1305.05</v>
      </c>
      <c r="R57" s="4">
        <f t="shared" si="4"/>
        <v>0.502</v>
      </c>
      <c r="S57" s="2">
        <v>9</v>
      </c>
      <c r="T57" t="s">
        <v>46</v>
      </c>
      <c r="U57">
        <v>4</v>
      </c>
    </row>
    <row r="58" spans="1:21" x14ac:dyDescent="0.25">
      <c r="A58" s="1">
        <v>46212</v>
      </c>
      <c r="B58" t="s">
        <v>179</v>
      </c>
      <c r="C58" t="s">
        <v>180</v>
      </c>
      <c r="D58" t="s">
        <v>71</v>
      </c>
      <c r="E58" t="s">
        <v>72</v>
      </c>
      <c r="F58" t="s">
        <v>36</v>
      </c>
      <c r="G58" t="s">
        <v>44</v>
      </c>
      <c r="H58" t="s">
        <v>45</v>
      </c>
      <c r="I58" t="s">
        <v>94</v>
      </c>
      <c r="J58" s="2">
        <v>5</v>
      </c>
      <c r="K58" s="3">
        <v>375.18</v>
      </c>
      <c r="L58" s="3">
        <v>226.18</v>
      </c>
      <c r="M58" s="4">
        <v>0.1045</v>
      </c>
      <c r="N58" s="3">
        <f t="shared" si="0"/>
        <v>1875.9</v>
      </c>
      <c r="O58" s="3">
        <f t="shared" si="1"/>
        <v>1679.87</v>
      </c>
      <c r="P58" s="3">
        <f t="shared" si="2"/>
        <v>1130.9000000000001</v>
      </c>
      <c r="Q58" s="3">
        <f t="shared" si="3"/>
        <v>548.97</v>
      </c>
      <c r="R58" s="4">
        <f t="shared" si="4"/>
        <v>0.32679999999999998</v>
      </c>
      <c r="S58" s="2">
        <v>7</v>
      </c>
      <c r="T58" t="s">
        <v>46</v>
      </c>
      <c r="U58">
        <v>3</v>
      </c>
    </row>
    <row r="59" spans="1:21" x14ac:dyDescent="0.25">
      <c r="A59" s="1">
        <v>46119</v>
      </c>
      <c r="B59" t="s">
        <v>181</v>
      </c>
      <c r="C59" t="s">
        <v>182</v>
      </c>
      <c r="D59" t="s">
        <v>85</v>
      </c>
      <c r="E59" t="s">
        <v>50</v>
      </c>
      <c r="F59" t="s">
        <v>36</v>
      </c>
      <c r="G59" t="s">
        <v>27</v>
      </c>
      <c r="H59" t="s">
        <v>28</v>
      </c>
      <c r="I59" t="s">
        <v>77</v>
      </c>
      <c r="J59" s="2">
        <v>1</v>
      </c>
      <c r="K59" s="3">
        <v>786.98</v>
      </c>
      <c r="L59" s="3">
        <v>449.25</v>
      </c>
      <c r="M59" s="4">
        <v>2.3800000000000002E-2</v>
      </c>
      <c r="N59" s="3">
        <f t="shared" si="0"/>
        <v>786.98</v>
      </c>
      <c r="O59" s="3">
        <f t="shared" si="1"/>
        <v>768.25</v>
      </c>
      <c r="P59" s="3">
        <f t="shared" si="2"/>
        <v>449.25</v>
      </c>
      <c r="Q59" s="3">
        <f t="shared" si="3"/>
        <v>319</v>
      </c>
      <c r="R59" s="4">
        <f t="shared" si="4"/>
        <v>0.41520000000000001</v>
      </c>
      <c r="S59" s="2">
        <v>2</v>
      </c>
      <c r="T59" t="s">
        <v>46</v>
      </c>
      <c r="U59">
        <v>5</v>
      </c>
    </row>
    <row r="60" spans="1:21" x14ac:dyDescent="0.25">
      <c r="A60" s="1">
        <v>46122</v>
      </c>
      <c r="B60" t="s">
        <v>183</v>
      </c>
      <c r="C60" t="s">
        <v>184</v>
      </c>
      <c r="D60" t="s">
        <v>49</v>
      </c>
      <c r="E60" t="s">
        <v>50</v>
      </c>
      <c r="F60" t="s">
        <v>26</v>
      </c>
      <c r="G60" t="s">
        <v>27</v>
      </c>
      <c r="H60" t="s">
        <v>86</v>
      </c>
      <c r="I60" t="s">
        <v>94</v>
      </c>
      <c r="J60" s="2">
        <v>7</v>
      </c>
      <c r="K60" s="3">
        <v>1836.73</v>
      </c>
      <c r="L60" s="3">
        <v>1148.49</v>
      </c>
      <c r="M60" s="4">
        <v>0</v>
      </c>
      <c r="N60" s="3">
        <f t="shared" si="0"/>
        <v>12857.11</v>
      </c>
      <c r="O60" s="3">
        <f t="shared" si="1"/>
        <v>12857.11</v>
      </c>
      <c r="P60" s="3">
        <f t="shared" si="2"/>
        <v>8039.43</v>
      </c>
      <c r="Q60" s="3">
        <f t="shared" si="3"/>
        <v>4817.68</v>
      </c>
      <c r="R60" s="4">
        <f t="shared" si="4"/>
        <v>0.37469999999999998</v>
      </c>
      <c r="S60" s="2">
        <v>11</v>
      </c>
      <c r="T60" t="s">
        <v>30</v>
      </c>
      <c r="U60">
        <v>4</v>
      </c>
    </row>
    <row r="61" spans="1:21" x14ac:dyDescent="0.25">
      <c r="A61" s="1">
        <v>46167</v>
      </c>
      <c r="B61" t="s">
        <v>185</v>
      </c>
      <c r="C61" t="s">
        <v>118</v>
      </c>
      <c r="D61" t="s">
        <v>43</v>
      </c>
      <c r="E61" t="s">
        <v>25</v>
      </c>
      <c r="F61" t="s">
        <v>64</v>
      </c>
      <c r="G61" t="s">
        <v>27</v>
      </c>
      <c r="H61" t="s">
        <v>86</v>
      </c>
      <c r="I61" t="s">
        <v>65</v>
      </c>
      <c r="J61" s="2">
        <v>1</v>
      </c>
      <c r="K61" s="3">
        <v>1999.48</v>
      </c>
      <c r="L61" s="3">
        <v>1200.3599999999999</v>
      </c>
      <c r="M61" s="4">
        <v>7.1599999999999997E-2</v>
      </c>
      <c r="N61" s="3">
        <f t="shared" si="0"/>
        <v>1999.48</v>
      </c>
      <c r="O61" s="3">
        <f t="shared" si="1"/>
        <v>1856.32</v>
      </c>
      <c r="P61" s="3">
        <f t="shared" si="2"/>
        <v>1200.3599999999999</v>
      </c>
      <c r="Q61" s="3">
        <f t="shared" si="3"/>
        <v>655.96</v>
      </c>
      <c r="R61" s="4">
        <f t="shared" si="4"/>
        <v>0.35339999999999999</v>
      </c>
      <c r="S61" s="2">
        <v>8</v>
      </c>
      <c r="T61" t="s">
        <v>46</v>
      </c>
      <c r="U61">
        <v>4</v>
      </c>
    </row>
    <row r="62" spans="1:21" x14ac:dyDescent="0.25">
      <c r="A62" s="1">
        <v>46234</v>
      </c>
      <c r="B62" t="s">
        <v>186</v>
      </c>
      <c r="C62" t="s">
        <v>187</v>
      </c>
      <c r="D62" t="s">
        <v>49</v>
      </c>
      <c r="E62" t="s">
        <v>50</v>
      </c>
      <c r="F62" t="s">
        <v>36</v>
      </c>
      <c r="G62" t="s">
        <v>37</v>
      </c>
      <c r="H62" t="s">
        <v>38</v>
      </c>
      <c r="I62" t="s">
        <v>29</v>
      </c>
      <c r="J62" s="2">
        <v>7</v>
      </c>
      <c r="K62" s="3">
        <v>442.41</v>
      </c>
      <c r="L62" s="3">
        <v>193.96</v>
      </c>
      <c r="M62" s="4">
        <v>0</v>
      </c>
      <c r="N62" s="3">
        <f t="shared" si="0"/>
        <v>3096.87</v>
      </c>
      <c r="O62" s="3">
        <f t="shared" si="1"/>
        <v>3096.87</v>
      </c>
      <c r="P62" s="3">
        <f t="shared" si="2"/>
        <v>1357.72</v>
      </c>
      <c r="Q62" s="3">
        <f t="shared" si="3"/>
        <v>1739.15</v>
      </c>
      <c r="R62" s="4">
        <f t="shared" si="4"/>
        <v>0.56159999999999999</v>
      </c>
      <c r="S62" s="2">
        <v>8</v>
      </c>
      <c r="T62" t="s">
        <v>46</v>
      </c>
      <c r="U62">
        <v>3</v>
      </c>
    </row>
    <row r="63" spans="1:21" x14ac:dyDescent="0.25">
      <c r="A63" s="1">
        <v>46191</v>
      </c>
      <c r="B63" t="s">
        <v>188</v>
      </c>
      <c r="C63" t="s">
        <v>146</v>
      </c>
      <c r="D63" t="s">
        <v>130</v>
      </c>
      <c r="E63" t="s">
        <v>72</v>
      </c>
      <c r="F63" t="s">
        <v>64</v>
      </c>
      <c r="G63" t="s">
        <v>37</v>
      </c>
      <c r="H63" t="s">
        <v>178</v>
      </c>
      <c r="I63" t="s">
        <v>29</v>
      </c>
      <c r="J63" s="2">
        <v>7</v>
      </c>
      <c r="K63" s="3">
        <v>516.08000000000004</v>
      </c>
      <c r="L63" s="3">
        <v>238.46</v>
      </c>
      <c r="M63" s="4">
        <v>5.11E-2</v>
      </c>
      <c r="N63" s="3">
        <f t="shared" si="0"/>
        <v>3612.56</v>
      </c>
      <c r="O63" s="3">
        <f t="shared" si="1"/>
        <v>3427.96</v>
      </c>
      <c r="P63" s="3">
        <f t="shared" si="2"/>
        <v>1669.22</v>
      </c>
      <c r="Q63" s="3">
        <f t="shared" si="3"/>
        <v>1758.74</v>
      </c>
      <c r="R63" s="4">
        <f t="shared" si="4"/>
        <v>0.5131</v>
      </c>
      <c r="S63" s="2">
        <v>3</v>
      </c>
      <c r="T63" t="s">
        <v>46</v>
      </c>
      <c r="U63">
        <v>5</v>
      </c>
    </row>
    <row r="64" spans="1:21" x14ac:dyDescent="0.25">
      <c r="A64" s="1">
        <v>46038</v>
      </c>
      <c r="B64" t="s">
        <v>189</v>
      </c>
      <c r="C64" t="s">
        <v>190</v>
      </c>
      <c r="D64" t="s">
        <v>121</v>
      </c>
      <c r="E64" t="s">
        <v>72</v>
      </c>
      <c r="F64" t="s">
        <v>58</v>
      </c>
      <c r="G64" t="s">
        <v>27</v>
      </c>
      <c r="H64" t="s">
        <v>28</v>
      </c>
      <c r="I64" t="s">
        <v>74</v>
      </c>
      <c r="J64" s="2">
        <v>8</v>
      </c>
      <c r="K64" s="3">
        <v>810.94</v>
      </c>
      <c r="L64" s="3">
        <v>467.37</v>
      </c>
      <c r="M64" s="4">
        <v>7.2599999999999998E-2</v>
      </c>
      <c r="N64" s="3">
        <f t="shared" si="0"/>
        <v>6487.52</v>
      </c>
      <c r="O64" s="3">
        <f t="shared" si="1"/>
        <v>6016.53</v>
      </c>
      <c r="P64" s="3">
        <f t="shared" si="2"/>
        <v>3738.96</v>
      </c>
      <c r="Q64" s="3">
        <f t="shared" si="3"/>
        <v>2277.5700000000002</v>
      </c>
      <c r="R64" s="4">
        <f t="shared" si="4"/>
        <v>0.37859999999999999</v>
      </c>
      <c r="S64" s="2">
        <v>9</v>
      </c>
      <c r="T64" t="s">
        <v>46</v>
      </c>
      <c r="U64">
        <v>4</v>
      </c>
    </row>
    <row r="65" spans="1:22" x14ac:dyDescent="0.25">
      <c r="A65" s="1">
        <v>46070</v>
      </c>
      <c r="B65" t="s">
        <v>191</v>
      </c>
      <c r="C65" t="s">
        <v>110</v>
      </c>
      <c r="D65" t="s">
        <v>97</v>
      </c>
      <c r="E65" t="s">
        <v>57</v>
      </c>
      <c r="F65" t="s">
        <v>64</v>
      </c>
      <c r="G65" t="s">
        <v>51</v>
      </c>
      <c r="H65" t="s">
        <v>59</v>
      </c>
      <c r="I65" t="s">
        <v>94</v>
      </c>
      <c r="J65" s="2">
        <v>1</v>
      </c>
      <c r="K65" s="3">
        <v>2264.85</v>
      </c>
      <c r="L65" s="3">
        <v>1446.07</v>
      </c>
      <c r="M65" s="4">
        <v>0</v>
      </c>
      <c r="N65" s="3">
        <f t="shared" si="0"/>
        <v>2264.85</v>
      </c>
      <c r="O65" s="3">
        <f t="shared" si="1"/>
        <v>2264.85</v>
      </c>
      <c r="P65" s="3">
        <f t="shared" si="2"/>
        <v>1446.07</v>
      </c>
      <c r="Q65" s="3">
        <f t="shared" si="3"/>
        <v>818.78</v>
      </c>
      <c r="R65" s="4">
        <f t="shared" si="4"/>
        <v>0.36149999999999999</v>
      </c>
      <c r="S65" s="2">
        <v>8</v>
      </c>
      <c r="T65" t="s">
        <v>46</v>
      </c>
      <c r="U65">
        <v>5</v>
      </c>
    </row>
    <row r="66" spans="1:22" x14ac:dyDescent="0.25">
      <c r="A66" s="1">
        <v>46087</v>
      </c>
      <c r="B66" t="s">
        <v>192</v>
      </c>
      <c r="C66" t="s">
        <v>134</v>
      </c>
      <c r="D66" t="s">
        <v>71</v>
      </c>
      <c r="E66" t="s">
        <v>72</v>
      </c>
      <c r="F66" t="s">
        <v>64</v>
      </c>
      <c r="G66" t="s">
        <v>27</v>
      </c>
      <c r="H66" t="s">
        <v>68</v>
      </c>
      <c r="I66" t="s">
        <v>53</v>
      </c>
      <c r="J66" s="2">
        <v>4</v>
      </c>
      <c r="K66" s="3">
        <v>1225.3499999999999</v>
      </c>
      <c r="L66" s="3">
        <v>798.81</v>
      </c>
      <c r="M66" s="4">
        <v>0</v>
      </c>
      <c r="N66" s="3">
        <f t="shared" ref="N66:N129" si="5">ROUND(J66*K66,2)</f>
        <v>4901.3999999999996</v>
      </c>
      <c r="O66" s="3">
        <f t="shared" ref="O66:O129" si="6">ROUND(N66*(1-M66),2)</f>
        <v>4901.3999999999996</v>
      </c>
      <c r="P66" s="3">
        <f t="shared" ref="P66:P129" si="7">ROUND(J66*L66,2)</f>
        <v>3195.24</v>
      </c>
      <c r="Q66" s="3">
        <f t="shared" ref="Q66:Q129" si="8">ROUND(O66-P66,2)</f>
        <v>1706.16</v>
      </c>
      <c r="R66" s="4">
        <f t="shared" ref="R66:R129" si="9">IF(O66=0,0,ROUND(Q66/O66,4))</f>
        <v>0.34810000000000002</v>
      </c>
      <c r="S66" s="2">
        <v>8</v>
      </c>
      <c r="T66" t="s">
        <v>46</v>
      </c>
      <c r="U66">
        <v>5</v>
      </c>
    </row>
    <row r="67" spans="1:22" x14ac:dyDescent="0.25">
      <c r="A67" s="1">
        <v>46185</v>
      </c>
      <c r="B67" t="s">
        <v>193</v>
      </c>
      <c r="C67" t="s">
        <v>48</v>
      </c>
      <c r="D67" t="s">
        <v>97</v>
      </c>
      <c r="E67" t="s">
        <v>57</v>
      </c>
      <c r="F67" t="s">
        <v>64</v>
      </c>
      <c r="G67" t="s">
        <v>51</v>
      </c>
      <c r="H67" t="s">
        <v>116</v>
      </c>
      <c r="I67" t="s">
        <v>94</v>
      </c>
      <c r="J67" s="2">
        <v>4</v>
      </c>
      <c r="K67" s="3">
        <v>2672.59</v>
      </c>
      <c r="L67" s="3">
        <v>1754.93</v>
      </c>
      <c r="M67" s="4">
        <v>1.8E-3</v>
      </c>
      <c r="N67" s="3">
        <f t="shared" si="5"/>
        <v>10690.36</v>
      </c>
      <c r="O67" s="3">
        <f t="shared" si="6"/>
        <v>10671.12</v>
      </c>
      <c r="P67" s="3">
        <f t="shared" si="7"/>
        <v>7019.72</v>
      </c>
      <c r="Q67" s="3">
        <f t="shared" si="8"/>
        <v>3651.4</v>
      </c>
      <c r="R67" s="4">
        <f t="shared" si="9"/>
        <v>0.3422</v>
      </c>
      <c r="S67" s="2">
        <v>11</v>
      </c>
      <c r="T67" t="s">
        <v>30</v>
      </c>
      <c r="U67">
        <v>3</v>
      </c>
    </row>
    <row r="68" spans="1:22" x14ac:dyDescent="0.25">
      <c r="A68" s="1">
        <v>46137</v>
      </c>
      <c r="B68" t="s">
        <v>194</v>
      </c>
      <c r="C68" t="s">
        <v>195</v>
      </c>
      <c r="D68" t="s">
        <v>49</v>
      </c>
      <c r="E68" t="s">
        <v>50</v>
      </c>
      <c r="F68" t="s">
        <v>58</v>
      </c>
      <c r="G68" t="s">
        <v>44</v>
      </c>
      <c r="H68" t="s">
        <v>124</v>
      </c>
      <c r="I68" t="s">
        <v>94</v>
      </c>
      <c r="J68" s="2">
        <v>7</v>
      </c>
      <c r="K68" s="3">
        <v>5919.07</v>
      </c>
      <c r="L68" s="3">
        <v>4200.2700000000004</v>
      </c>
      <c r="M68" s="4">
        <v>3.5000000000000003E-2</v>
      </c>
      <c r="N68" s="3">
        <f t="shared" si="5"/>
        <v>41433.49</v>
      </c>
      <c r="O68" s="3">
        <f t="shared" si="6"/>
        <v>39983.32</v>
      </c>
      <c r="P68" s="3">
        <f t="shared" si="7"/>
        <v>29401.89</v>
      </c>
      <c r="Q68" s="3">
        <f t="shared" si="8"/>
        <v>10581.43</v>
      </c>
      <c r="R68" s="4">
        <f t="shared" si="9"/>
        <v>0.2646</v>
      </c>
      <c r="S68" s="2">
        <v>4</v>
      </c>
      <c r="T68" t="s">
        <v>46</v>
      </c>
      <c r="U68">
        <v>2</v>
      </c>
    </row>
    <row r="69" spans="1:22" x14ac:dyDescent="0.25">
      <c r="A69" s="1">
        <v>46225</v>
      </c>
      <c r="B69" t="s">
        <v>196</v>
      </c>
      <c r="C69" t="s">
        <v>100</v>
      </c>
      <c r="D69" t="s">
        <v>101</v>
      </c>
      <c r="E69" t="s">
        <v>35</v>
      </c>
      <c r="F69" t="s">
        <v>58</v>
      </c>
      <c r="G69" t="s">
        <v>27</v>
      </c>
      <c r="H69" t="s">
        <v>68</v>
      </c>
      <c r="I69" t="s">
        <v>94</v>
      </c>
      <c r="J69" s="2">
        <v>5</v>
      </c>
      <c r="K69" s="3">
        <v>1265.4000000000001</v>
      </c>
      <c r="L69" s="3">
        <v>751.36</v>
      </c>
      <c r="M69" s="4">
        <v>0.12479999999999999</v>
      </c>
      <c r="N69" s="3">
        <f t="shared" si="5"/>
        <v>6327</v>
      </c>
      <c r="O69" s="3">
        <f t="shared" si="6"/>
        <v>5537.39</v>
      </c>
      <c r="P69" s="3">
        <f t="shared" si="7"/>
        <v>3756.8</v>
      </c>
      <c r="Q69" s="3">
        <f t="shared" si="8"/>
        <v>1780.59</v>
      </c>
      <c r="R69" s="4">
        <f t="shared" si="9"/>
        <v>0.3216</v>
      </c>
      <c r="S69" s="2">
        <v>6</v>
      </c>
      <c r="T69" t="s">
        <v>46</v>
      </c>
      <c r="U69">
        <v>4</v>
      </c>
    </row>
    <row r="70" spans="1:22" x14ac:dyDescent="0.25">
      <c r="A70" s="1">
        <v>46051</v>
      </c>
      <c r="B70" t="s">
        <v>197</v>
      </c>
      <c r="C70" t="s">
        <v>198</v>
      </c>
      <c r="D70" t="s">
        <v>101</v>
      </c>
      <c r="E70" t="s">
        <v>35</v>
      </c>
      <c r="F70" t="s">
        <v>64</v>
      </c>
      <c r="G70" t="s">
        <v>44</v>
      </c>
      <c r="H70" t="s">
        <v>45</v>
      </c>
      <c r="I70" t="s">
        <v>53</v>
      </c>
      <c r="J70" s="2">
        <v>5</v>
      </c>
      <c r="K70" s="3">
        <v>404.18</v>
      </c>
      <c r="L70" s="3">
        <v>204.69</v>
      </c>
      <c r="M70" s="4">
        <v>0.12659999999999999</v>
      </c>
      <c r="N70" s="3">
        <f t="shared" si="5"/>
        <v>2020.9</v>
      </c>
      <c r="O70" s="3">
        <f t="shared" si="6"/>
        <v>1765.05</v>
      </c>
      <c r="P70" s="3">
        <f t="shared" si="7"/>
        <v>1023.45</v>
      </c>
      <c r="Q70" s="3">
        <f t="shared" si="8"/>
        <v>741.6</v>
      </c>
      <c r="R70" s="4">
        <f t="shared" si="9"/>
        <v>0.42020000000000002</v>
      </c>
      <c r="S70" s="2">
        <v>8</v>
      </c>
      <c r="T70" t="s">
        <v>46</v>
      </c>
      <c r="U70">
        <v>5</v>
      </c>
    </row>
    <row r="71" spans="1:22" x14ac:dyDescent="0.25">
      <c r="A71" s="1">
        <v>46210</v>
      </c>
      <c r="B71" t="s">
        <v>199</v>
      </c>
      <c r="C71" t="s">
        <v>198</v>
      </c>
      <c r="D71" t="s">
        <v>97</v>
      </c>
      <c r="E71" t="s">
        <v>57</v>
      </c>
      <c r="F71" t="s">
        <v>64</v>
      </c>
      <c r="G71" t="s">
        <v>37</v>
      </c>
      <c r="H71" t="s">
        <v>178</v>
      </c>
      <c r="I71" t="s">
        <v>94</v>
      </c>
      <c r="J71" s="2">
        <v>8</v>
      </c>
      <c r="K71" s="3">
        <v>525.01</v>
      </c>
      <c r="L71" s="3">
        <v>240.57</v>
      </c>
      <c r="M71" s="4">
        <v>2.41E-2</v>
      </c>
      <c r="N71" s="3">
        <f t="shared" si="5"/>
        <v>4200.08</v>
      </c>
      <c r="O71" s="3">
        <f t="shared" si="6"/>
        <v>4098.8599999999997</v>
      </c>
      <c r="P71" s="3">
        <f t="shared" si="7"/>
        <v>1924.56</v>
      </c>
      <c r="Q71" s="3">
        <f t="shared" si="8"/>
        <v>2174.3000000000002</v>
      </c>
      <c r="R71" s="4">
        <f t="shared" si="9"/>
        <v>0.53049999999999997</v>
      </c>
      <c r="S71" s="2">
        <v>14</v>
      </c>
      <c r="T71" t="s">
        <v>30</v>
      </c>
      <c r="U71">
        <v>2</v>
      </c>
    </row>
    <row r="72" spans="1:22" x14ac:dyDescent="0.25">
      <c r="A72" s="1">
        <v>46141</v>
      </c>
      <c r="B72" t="s">
        <v>200</v>
      </c>
      <c r="C72" t="s">
        <v>201</v>
      </c>
      <c r="D72" t="s">
        <v>97</v>
      </c>
      <c r="E72" t="s">
        <v>57</v>
      </c>
      <c r="F72" t="s">
        <v>64</v>
      </c>
      <c r="G72" t="s">
        <v>51</v>
      </c>
      <c r="H72" t="s">
        <v>59</v>
      </c>
      <c r="I72" t="s">
        <v>65</v>
      </c>
      <c r="J72" s="2">
        <v>5</v>
      </c>
      <c r="K72" s="3">
        <v>2085.6</v>
      </c>
      <c r="L72" s="3">
        <v>1439.78</v>
      </c>
      <c r="M72" s="4">
        <v>0</v>
      </c>
      <c r="N72" s="3">
        <f t="shared" si="5"/>
        <v>10428</v>
      </c>
      <c r="O72" s="3">
        <f t="shared" si="6"/>
        <v>10428</v>
      </c>
      <c r="P72" s="3">
        <f t="shared" si="7"/>
        <v>7198.9</v>
      </c>
      <c r="Q72" s="3">
        <f t="shared" si="8"/>
        <v>3229.1</v>
      </c>
      <c r="R72" s="4">
        <f t="shared" si="9"/>
        <v>0.30969999999999998</v>
      </c>
      <c r="S72" s="2">
        <v>14</v>
      </c>
      <c r="T72" t="s">
        <v>30</v>
      </c>
      <c r="U72">
        <v>4</v>
      </c>
    </row>
    <row r="73" spans="1:22" x14ac:dyDescent="0.25">
      <c r="A73" s="1">
        <v>46203</v>
      </c>
      <c r="B73" t="s">
        <v>202</v>
      </c>
      <c r="C73" t="s">
        <v>76</v>
      </c>
      <c r="D73" t="s">
        <v>121</v>
      </c>
      <c r="E73" t="s">
        <v>72</v>
      </c>
      <c r="F73" t="s">
        <v>26</v>
      </c>
      <c r="G73" t="s">
        <v>44</v>
      </c>
      <c r="H73" t="s">
        <v>45</v>
      </c>
      <c r="I73" t="s">
        <v>87</v>
      </c>
      <c r="J73" s="2">
        <v>7</v>
      </c>
      <c r="K73" s="3">
        <v>369.8</v>
      </c>
      <c r="L73" s="3">
        <v>217.11</v>
      </c>
      <c r="M73" s="4">
        <v>9.5999999999999992E-3</v>
      </c>
      <c r="N73" s="3">
        <f t="shared" si="5"/>
        <v>2588.6</v>
      </c>
      <c r="O73" s="3">
        <f t="shared" si="6"/>
        <v>2563.75</v>
      </c>
      <c r="P73" s="3">
        <f t="shared" si="7"/>
        <v>1519.77</v>
      </c>
      <c r="Q73" s="3">
        <f t="shared" si="8"/>
        <v>1043.98</v>
      </c>
      <c r="R73" s="4">
        <f t="shared" si="9"/>
        <v>0.40720000000000001</v>
      </c>
      <c r="S73" s="2">
        <v>2</v>
      </c>
      <c r="T73" t="s">
        <v>46</v>
      </c>
      <c r="U73">
        <v>3</v>
      </c>
    </row>
    <row r="74" spans="1:22" x14ac:dyDescent="0.25">
      <c r="A74" s="1">
        <v>46098</v>
      </c>
      <c r="B74" t="s">
        <v>203</v>
      </c>
      <c r="C74" t="s">
        <v>204</v>
      </c>
      <c r="D74" t="s">
        <v>24</v>
      </c>
      <c r="E74" t="s">
        <v>25</v>
      </c>
      <c r="F74" t="s">
        <v>64</v>
      </c>
      <c r="G74" t="s">
        <v>37</v>
      </c>
      <c r="H74" t="s">
        <v>178</v>
      </c>
      <c r="I74" t="s">
        <v>65</v>
      </c>
      <c r="J74" s="2">
        <v>6</v>
      </c>
      <c r="K74" s="3">
        <v>487.97</v>
      </c>
      <c r="L74" s="3">
        <v>251.66</v>
      </c>
      <c r="M74" s="4">
        <v>9.2899999999999996E-2</v>
      </c>
      <c r="N74" s="3">
        <f t="shared" si="5"/>
        <v>2927.82</v>
      </c>
      <c r="O74" s="3">
        <f t="shared" si="6"/>
        <v>2655.83</v>
      </c>
      <c r="P74" s="3">
        <f t="shared" si="7"/>
        <v>1509.96</v>
      </c>
      <c r="Q74" s="3">
        <f t="shared" si="8"/>
        <v>1145.8699999999999</v>
      </c>
      <c r="R74" s="4">
        <f t="shared" si="9"/>
        <v>0.43149999999999999</v>
      </c>
      <c r="S74" s="2">
        <v>10</v>
      </c>
      <c r="T74" t="s">
        <v>46</v>
      </c>
      <c r="U74">
        <v>5</v>
      </c>
    </row>
    <row r="75" spans="1:22" x14ac:dyDescent="0.25">
      <c r="A75" s="1">
        <v>46039</v>
      </c>
      <c r="B75" t="s">
        <v>205</v>
      </c>
      <c r="C75" t="s">
        <v>206</v>
      </c>
      <c r="D75" t="s">
        <v>207</v>
      </c>
      <c r="E75" t="s">
        <v>35</v>
      </c>
      <c r="F75" t="s">
        <v>26</v>
      </c>
      <c r="G75" t="s">
        <v>27</v>
      </c>
      <c r="H75" t="s">
        <v>86</v>
      </c>
      <c r="I75" t="s">
        <v>92</v>
      </c>
      <c r="J75" s="2">
        <v>2</v>
      </c>
      <c r="K75" s="3">
        <v>1934.42</v>
      </c>
      <c r="L75" s="3">
        <v>1223.21</v>
      </c>
      <c r="M75" s="4">
        <v>0</v>
      </c>
      <c r="N75" s="3">
        <f t="shared" si="5"/>
        <v>3868.84</v>
      </c>
      <c r="O75" s="3">
        <f t="shared" si="6"/>
        <v>3868.84</v>
      </c>
      <c r="P75" s="3">
        <f t="shared" si="7"/>
        <v>2446.42</v>
      </c>
      <c r="Q75" s="3">
        <f t="shared" si="8"/>
        <v>1422.42</v>
      </c>
      <c r="R75" s="4">
        <f t="shared" si="9"/>
        <v>0.36770000000000003</v>
      </c>
      <c r="S75" s="2">
        <v>20</v>
      </c>
      <c r="T75" t="s">
        <v>30</v>
      </c>
      <c r="U75">
        <v>1</v>
      </c>
      <c r="V75" t="s">
        <v>208</v>
      </c>
    </row>
    <row r="76" spans="1:22" x14ac:dyDescent="0.25">
      <c r="A76" s="1">
        <v>46142</v>
      </c>
      <c r="B76" t="s">
        <v>209</v>
      </c>
      <c r="C76" t="s">
        <v>142</v>
      </c>
      <c r="D76" t="s">
        <v>101</v>
      </c>
      <c r="E76" t="s">
        <v>35</v>
      </c>
      <c r="F76" t="s">
        <v>58</v>
      </c>
      <c r="G76" t="s">
        <v>37</v>
      </c>
      <c r="H76" t="s">
        <v>38</v>
      </c>
      <c r="I76" t="s">
        <v>92</v>
      </c>
      <c r="J76" s="2">
        <v>1</v>
      </c>
      <c r="K76" s="3">
        <v>413.48</v>
      </c>
      <c r="L76" s="3">
        <v>198.17</v>
      </c>
      <c r="M76" s="4">
        <v>3.5000000000000003E-2</v>
      </c>
      <c r="N76" s="3">
        <f t="shared" si="5"/>
        <v>413.48</v>
      </c>
      <c r="O76" s="3">
        <f t="shared" si="6"/>
        <v>399.01</v>
      </c>
      <c r="P76" s="3">
        <f t="shared" si="7"/>
        <v>198.17</v>
      </c>
      <c r="Q76" s="3">
        <f t="shared" si="8"/>
        <v>200.84</v>
      </c>
      <c r="R76" s="4">
        <f t="shared" si="9"/>
        <v>0.50329999999999997</v>
      </c>
      <c r="S76" s="2">
        <v>11</v>
      </c>
      <c r="T76" t="s">
        <v>30</v>
      </c>
      <c r="U76">
        <v>5</v>
      </c>
    </row>
    <row r="77" spans="1:22" x14ac:dyDescent="0.25">
      <c r="A77" s="1">
        <v>46087</v>
      </c>
      <c r="B77" t="s">
        <v>210</v>
      </c>
      <c r="C77" t="s">
        <v>211</v>
      </c>
      <c r="D77" t="s">
        <v>97</v>
      </c>
      <c r="E77" t="s">
        <v>57</v>
      </c>
      <c r="F77" t="s">
        <v>58</v>
      </c>
      <c r="G77" t="s">
        <v>27</v>
      </c>
      <c r="H77" t="s">
        <v>68</v>
      </c>
      <c r="I77" t="s">
        <v>53</v>
      </c>
      <c r="J77" s="2">
        <v>4</v>
      </c>
      <c r="K77" s="3">
        <v>1350.08</v>
      </c>
      <c r="L77" s="3">
        <v>783.46</v>
      </c>
      <c r="M77" s="4">
        <v>5.6800000000000003E-2</v>
      </c>
      <c r="N77" s="3">
        <f t="shared" si="5"/>
        <v>5400.32</v>
      </c>
      <c r="O77" s="3">
        <f t="shared" si="6"/>
        <v>5093.58</v>
      </c>
      <c r="P77" s="3">
        <f t="shared" si="7"/>
        <v>3133.84</v>
      </c>
      <c r="Q77" s="3">
        <f t="shared" si="8"/>
        <v>1959.74</v>
      </c>
      <c r="R77" s="4">
        <f t="shared" si="9"/>
        <v>0.38469999999999999</v>
      </c>
      <c r="S77" s="2">
        <v>11</v>
      </c>
      <c r="T77" t="s">
        <v>30</v>
      </c>
      <c r="U77">
        <v>5</v>
      </c>
    </row>
    <row r="78" spans="1:22" x14ac:dyDescent="0.25">
      <c r="A78" s="1">
        <v>46040</v>
      </c>
      <c r="B78" t="s">
        <v>212</v>
      </c>
      <c r="C78" t="s">
        <v>103</v>
      </c>
      <c r="D78" t="s">
        <v>113</v>
      </c>
      <c r="E78" t="s">
        <v>50</v>
      </c>
      <c r="F78" t="s">
        <v>64</v>
      </c>
      <c r="G78" t="s">
        <v>51</v>
      </c>
      <c r="H78" t="s">
        <v>52</v>
      </c>
      <c r="I78" t="s">
        <v>94</v>
      </c>
      <c r="J78" s="2">
        <v>2</v>
      </c>
      <c r="K78" s="3">
        <v>251.94</v>
      </c>
      <c r="L78" s="3">
        <v>115.55</v>
      </c>
      <c r="M78" s="4">
        <v>2.6100000000000002E-2</v>
      </c>
      <c r="N78" s="3">
        <f t="shared" si="5"/>
        <v>503.88</v>
      </c>
      <c r="O78" s="3">
        <f t="shared" si="6"/>
        <v>490.73</v>
      </c>
      <c r="P78" s="3">
        <f t="shared" si="7"/>
        <v>231.1</v>
      </c>
      <c r="Q78" s="3">
        <f t="shared" si="8"/>
        <v>259.63</v>
      </c>
      <c r="R78" s="4">
        <f t="shared" si="9"/>
        <v>0.52910000000000001</v>
      </c>
      <c r="S78" s="2">
        <v>6</v>
      </c>
      <c r="T78" t="s">
        <v>46</v>
      </c>
      <c r="U78">
        <v>5</v>
      </c>
    </row>
    <row r="79" spans="1:22" x14ac:dyDescent="0.25">
      <c r="A79" s="1">
        <v>46040</v>
      </c>
      <c r="B79" t="s">
        <v>213</v>
      </c>
      <c r="C79" t="s">
        <v>214</v>
      </c>
      <c r="D79" t="s">
        <v>207</v>
      </c>
      <c r="E79" t="s">
        <v>35</v>
      </c>
      <c r="F79" t="s">
        <v>58</v>
      </c>
      <c r="G79" t="s">
        <v>51</v>
      </c>
      <c r="H79" t="s">
        <v>59</v>
      </c>
      <c r="I79" t="s">
        <v>77</v>
      </c>
      <c r="J79" s="2">
        <v>8</v>
      </c>
      <c r="K79" s="3">
        <v>2070.83</v>
      </c>
      <c r="L79" s="3">
        <v>1390.14</v>
      </c>
      <c r="M79" s="4">
        <v>0.13669999999999999</v>
      </c>
      <c r="N79" s="3">
        <f t="shared" si="5"/>
        <v>16566.64</v>
      </c>
      <c r="O79" s="3">
        <f t="shared" si="6"/>
        <v>14301.98</v>
      </c>
      <c r="P79" s="3">
        <f t="shared" si="7"/>
        <v>11121.12</v>
      </c>
      <c r="Q79" s="3">
        <f t="shared" si="8"/>
        <v>3180.86</v>
      </c>
      <c r="R79" s="4">
        <f t="shared" si="9"/>
        <v>0.22239999999999999</v>
      </c>
      <c r="S79" s="2">
        <v>2</v>
      </c>
      <c r="T79" t="s">
        <v>46</v>
      </c>
      <c r="U79">
        <v>2</v>
      </c>
    </row>
    <row r="80" spans="1:22" x14ac:dyDescent="0.25">
      <c r="A80" s="1">
        <v>46228</v>
      </c>
      <c r="B80" t="s">
        <v>215</v>
      </c>
      <c r="C80" t="s">
        <v>216</v>
      </c>
      <c r="D80" t="s">
        <v>97</v>
      </c>
      <c r="E80" t="s">
        <v>57</v>
      </c>
      <c r="F80" t="s">
        <v>36</v>
      </c>
      <c r="G80" t="s">
        <v>44</v>
      </c>
      <c r="H80" t="s">
        <v>73</v>
      </c>
      <c r="I80" t="s">
        <v>29</v>
      </c>
      <c r="J80" s="2">
        <v>5</v>
      </c>
      <c r="K80" s="3">
        <v>1752.9</v>
      </c>
      <c r="L80" s="3">
        <v>1064.1500000000001</v>
      </c>
      <c r="M80" s="4">
        <v>0</v>
      </c>
      <c r="N80" s="3">
        <f t="shared" si="5"/>
        <v>8764.5</v>
      </c>
      <c r="O80" s="3">
        <f t="shared" si="6"/>
        <v>8764.5</v>
      </c>
      <c r="P80" s="3">
        <f t="shared" si="7"/>
        <v>5320.75</v>
      </c>
      <c r="Q80" s="3">
        <f t="shared" si="8"/>
        <v>3443.75</v>
      </c>
      <c r="R80" s="4">
        <f t="shared" si="9"/>
        <v>0.39290000000000003</v>
      </c>
      <c r="S80" s="2">
        <v>9</v>
      </c>
      <c r="T80" t="s">
        <v>46</v>
      </c>
      <c r="U80">
        <v>3</v>
      </c>
    </row>
    <row r="81" spans="1:21" x14ac:dyDescent="0.25">
      <c r="A81" s="1">
        <v>46217</v>
      </c>
      <c r="B81" t="s">
        <v>217</v>
      </c>
      <c r="C81" t="s">
        <v>218</v>
      </c>
      <c r="D81" t="s">
        <v>49</v>
      </c>
      <c r="E81" t="s">
        <v>50</v>
      </c>
      <c r="F81" t="s">
        <v>64</v>
      </c>
      <c r="G81" t="s">
        <v>27</v>
      </c>
      <c r="H81" t="s">
        <v>86</v>
      </c>
      <c r="I81" t="s">
        <v>39</v>
      </c>
      <c r="J81" s="2">
        <v>4</v>
      </c>
      <c r="K81" s="3">
        <v>1804.95</v>
      </c>
      <c r="L81" s="3">
        <v>1242.71</v>
      </c>
      <c r="M81" s="4">
        <v>0</v>
      </c>
      <c r="N81" s="3">
        <f t="shared" si="5"/>
        <v>7219.8</v>
      </c>
      <c r="O81" s="3">
        <f t="shared" si="6"/>
        <v>7219.8</v>
      </c>
      <c r="P81" s="3">
        <f t="shared" si="7"/>
        <v>4970.84</v>
      </c>
      <c r="Q81" s="3">
        <f t="shared" si="8"/>
        <v>2248.96</v>
      </c>
      <c r="R81" s="4">
        <f t="shared" si="9"/>
        <v>0.3115</v>
      </c>
      <c r="S81" s="2">
        <v>12</v>
      </c>
      <c r="T81" t="s">
        <v>30</v>
      </c>
      <c r="U81">
        <v>4</v>
      </c>
    </row>
    <row r="82" spans="1:21" x14ac:dyDescent="0.25">
      <c r="A82" s="1">
        <v>46226</v>
      </c>
      <c r="B82" t="s">
        <v>219</v>
      </c>
      <c r="C82" t="s">
        <v>220</v>
      </c>
      <c r="D82" t="s">
        <v>101</v>
      </c>
      <c r="E82" t="s">
        <v>35</v>
      </c>
      <c r="F82" t="s">
        <v>36</v>
      </c>
      <c r="G82" t="s">
        <v>27</v>
      </c>
      <c r="H82" t="s">
        <v>86</v>
      </c>
      <c r="I82" t="s">
        <v>65</v>
      </c>
      <c r="J82" s="2">
        <v>8</v>
      </c>
      <c r="K82" s="3">
        <v>1935.16</v>
      </c>
      <c r="L82" s="3">
        <v>1231.72</v>
      </c>
      <c r="M82" s="4">
        <v>0</v>
      </c>
      <c r="N82" s="3">
        <f t="shared" si="5"/>
        <v>15481.28</v>
      </c>
      <c r="O82" s="3">
        <f t="shared" si="6"/>
        <v>15481.28</v>
      </c>
      <c r="P82" s="3">
        <f t="shared" si="7"/>
        <v>9853.76</v>
      </c>
      <c r="Q82" s="3">
        <f t="shared" si="8"/>
        <v>5627.52</v>
      </c>
      <c r="R82" s="4">
        <f t="shared" si="9"/>
        <v>0.36349999999999999</v>
      </c>
      <c r="S82" s="2">
        <v>9</v>
      </c>
      <c r="T82" t="s">
        <v>46</v>
      </c>
      <c r="U82">
        <v>5</v>
      </c>
    </row>
    <row r="83" spans="1:21" x14ac:dyDescent="0.25">
      <c r="A83" s="1">
        <v>46168</v>
      </c>
      <c r="B83" t="s">
        <v>221</v>
      </c>
      <c r="C83" t="s">
        <v>89</v>
      </c>
      <c r="D83" t="s">
        <v>113</v>
      </c>
      <c r="E83" t="s">
        <v>50</v>
      </c>
      <c r="F83" t="s">
        <v>58</v>
      </c>
      <c r="G83" t="s">
        <v>27</v>
      </c>
      <c r="H83" t="s">
        <v>68</v>
      </c>
      <c r="I83" t="s">
        <v>29</v>
      </c>
      <c r="J83" s="2">
        <v>6</v>
      </c>
      <c r="K83" s="3">
        <v>1337.9</v>
      </c>
      <c r="L83" s="3">
        <v>759.64</v>
      </c>
      <c r="M83" s="4">
        <v>9.98E-2</v>
      </c>
      <c r="N83" s="3">
        <f t="shared" si="5"/>
        <v>8027.4</v>
      </c>
      <c r="O83" s="3">
        <f t="shared" si="6"/>
        <v>7226.27</v>
      </c>
      <c r="P83" s="3">
        <f t="shared" si="7"/>
        <v>4557.84</v>
      </c>
      <c r="Q83" s="3">
        <f t="shared" si="8"/>
        <v>2668.43</v>
      </c>
      <c r="R83" s="4">
        <f t="shared" si="9"/>
        <v>0.36930000000000002</v>
      </c>
      <c r="S83" s="2">
        <v>9</v>
      </c>
      <c r="T83" t="s">
        <v>46</v>
      </c>
      <c r="U83">
        <v>2</v>
      </c>
    </row>
    <row r="84" spans="1:21" x14ac:dyDescent="0.25">
      <c r="A84" s="1">
        <v>46141</v>
      </c>
      <c r="B84" t="s">
        <v>222</v>
      </c>
      <c r="C84" t="s">
        <v>91</v>
      </c>
      <c r="D84" t="s">
        <v>24</v>
      </c>
      <c r="E84" t="s">
        <v>25</v>
      </c>
      <c r="F84" t="s">
        <v>64</v>
      </c>
      <c r="G84" t="s">
        <v>27</v>
      </c>
      <c r="H84" t="s">
        <v>86</v>
      </c>
      <c r="I84" t="s">
        <v>87</v>
      </c>
      <c r="J84" s="2">
        <v>4</v>
      </c>
      <c r="K84" s="3">
        <v>1905.87</v>
      </c>
      <c r="L84" s="3">
        <v>1241.44</v>
      </c>
      <c r="M84" s="4">
        <v>0.11559999999999999</v>
      </c>
      <c r="N84" s="3">
        <f t="shared" si="5"/>
        <v>7623.48</v>
      </c>
      <c r="O84" s="3">
        <f t="shared" si="6"/>
        <v>6742.21</v>
      </c>
      <c r="P84" s="3">
        <f t="shared" si="7"/>
        <v>4965.76</v>
      </c>
      <c r="Q84" s="3">
        <f t="shared" si="8"/>
        <v>1776.45</v>
      </c>
      <c r="R84" s="4">
        <f t="shared" si="9"/>
        <v>0.26350000000000001</v>
      </c>
      <c r="S84" s="2">
        <v>11</v>
      </c>
      <c r="T84" t="s">
        <v>30</v>
      </c>
      <c r="U84">
        <v>5</v>
      </c>
    </row>
    <row r="85" spans="1:21" x14ac:dyDescent="0.25">
      <c r="A85" s="1">
        <v>46218</v>
      </c>
      <c r="B85" t="s">
        <v>223</v>
      </c>
      <c r="C85" t="s">
        <v>224</v>
      </c>
      <c r="D85" t="s">
        <v>139</v>
      </c>
      <c r="E85" t="s">
        <v>72</v>
      </c>
      <c r="F85" t="s">
        <v>26</v>
      </c>
      <c r="G85" t="s">
        <v>37</v>
      </c>
      <c r="H85" t="s">
        <v>104</v>
      </c>
      <c r="I85" t="s">
        <v>77</v>
      </c>
      <c r="J85" s="2">
        <v>4</v>
      </c>
      <c r="K85" s="3">
        <v>338.17</v>
      </c>
      <c r="L85" s="3">
        <v>135.85</v>
      </c>
      <c r="M85" s="4">
        <v>0</v>
      </c>
      <c r="N85" s="3">
        <f t="shared" si="5"/>
        <v>1352.68</v>
      </c>
      <c r="O85" s="3">
        <f t="shared" si="6"/>
        <v>1352.68</v>
      </c>
      <c r="P85" s="3">
        <f t="shared" si="7"/>
        <v>543.4</v>
      </c>
      <c r="Q85" s="3">
        <f t="shared" si="8"/>
        <v>809.28</v>
      </c>
      <c r="R85" s="4">
        <f t="shared" si="9"/>
        <v>0.59830000000000005</v>
      </c>
      <c r="S85" s="2">
        <v>10</v>
      </c>
      <c r="T85" t="s">
        <v>46</v>
      </c>
      <c r="U85">
        <v>5</v>
      </c>
    </row>
    <row r="86" spans="1:21" x14ac:dyDescent="0.25">
      <c r="A86" s="1">
        <v>46038</v>
      </c>
      <c r="B86" t="s">
        <v>225</v>
      </c>
      <c r="C86" t="s">
        <v>226</v>
      </c>
      <c r="D86" t="s">
        <v>130</v>
      </c>
      <c r="E86" t="s">
        <v>72</v>
      </c>
      <c r="F86" t="s">
        <v>58</v>
      </c>
      <c r="G86" t="s">
        <v>37</v>
      </c>
      <c r="H86" t="s">
        <v>38</v>
      </c>
      <c r="I86" t="s">
        <v>87</v>
      </c>
      <c r="J86" s="2">
        <v>7</v>
      </c>
      <c r="K86" s="3">
        <v>420.86</v>
      </c>
      <c r="L86" s="3">
        <v>204.03</v>
      </c>
      <c r="M86" s="4">
        <v>3.7999999999999999E-2</v>
      </c>
      <c r="N86" s="3">
        <f t="shared" si="5"/>
        <v>2946.02</v>
      </c>
      <c r="O86" s="3">
        <f t="shared" si="6"/>
        <v>2834.07</v>
      </c>
      <c r="P86" s="3">
        <f t="shared" si="7"/>
        <v>1428.21</v>
      </c>
      <c r="Q86" s="3">
        <f t="shared" si="8"/>
        <v>1405.86</v>
      </c>
      <c r="R86" s="4">
        <f t="shared" si="9"/>
        <v>0.49609999999999999</v>
      </c>
      <c r="S86" s="2">
        <v>7</v>
      </c>
      <c r="T86" t="s">
        <v>46</v>
      </c>
      <c r="U86">
        <v>2</v>
      </c>
    </row>
    <row r="87" spans="1:21" x14ac:dyDescent="0.25">
      <c r="A87" s="1">
        <v>46109</v>
      </c>
      <c r="B87" t="s">
        <v>227</v>
      </c>
      <c r="C87" t="s">
        <v>214</v>
      </c>
      <c r="D87" t="s">
        <v>34</v>
      </c>
      <c r="E87" t="s">
        <v>35</v>
      </c>
      <c r="F87" t="s">
        <v>36</v>
      </c>
      <c r="G87" t="s">
        <v>37</v>
      </c>
      <c r="H87" t="s">
        <v>38</v>
      </c>
      <c r="I87" t="s">
        <v>74</v>
      </c>
      <c r="J87" s="2">
        <v>2</v>
      </c>
      <c r="K87" s="3">
        <v>423.49</v>
      </c>
      <c r="L87" s="3">
        <v>187.3</v>
      </c>
      <c r="M87" s="4">
        <v>0</v>
      </c>
      <c r="N87" s="3">
        <f t="shared" si="5"/>
        <v>846.98</v>
      </c>
      <c r="O87" s="3">
        <f t="shared" si="6"/>
        <v>846.98</v>
      </c>
      <c r="P87" s="3">
        <f t="shared" si="7"/>
        <v>374.6</v>
      </c>
      <c r="Q87" s="3">
        <f t="shared" si="8"/>
        <v>472.38</v>
      </c>
      <c r="R87" s="4">
        <f t="shared" si="9"/>
        <v>0.55769999999999997</v>
      </c>
      <c r="S87" s="2">
        <v>2</v>
      </c>
      <c r="T87" t="s">
        <v>46</v>
      </c>
      <c r="U87">
        <v>2</v>
      </c>
    </row>
    <row r="88" spans="1:21" x14ac:dyDescent="0.25">
      <c r="A88" s="1">
        <v>46143</v>
      </c>
      <c r="B88" t="s">
        <v>228</v>
      </c>
      <c r="C88" t="s">
        <v>201</v>
      </c>
      <c r="D88" t="s">
        <v>207</v>
      </c>
      <c r="E88" t="s">
        <v>35</v>
      </c>
      <c r="F88" t="s">
        <v>58</v>
      </c>
      <c r="G88" t="s">
        <v>44</v>
      </c>
      <c r="H88" t="s">
        <v>73</v>
      </c>
      <c r="I88" t="s">
        <v>65</v>
      </c>
      <c r="J88" s="2">
        <v>7</v>
      </c>
      <c r="K88" s="3">
        <v>1635.28</v>
      </c>
      <c r="L88" s="3">
        <v>1108.44</v>
      </c>
      <c r="M88" s="4">
        <v>0.16109999999999999</v>
      </c>
      <c r="N88" s="3">
        <f t="shared" si="5"/>
        <v>11446.96</v>
      </c>
      <c r="O88" s="3">
        <f t="shared" si="6"/>
        <v>9602.85</v>
      </c>
      <c r="P88" s="3">
        <f t="shared" si="7"/>
        <v>7759.08</v>
      </c>
      <c r="Q88" s="3">
        <f t="shared" si="8"/>
        <v>1843.77</v>
      </c>
      <c r="R88" s="4">
        <f t="shared" si="9"/>
        <v>0.192</v>
      </c>
      <c r="S88" s="2">
        <v>12</v>
      </c>
      <c r="T88" t="s">
        <v>30</v>
      </c>
      <c r="U88">
        <v>2</v>
      </c>
    </row>
    <row r="89" spans="1:21" x14ac:dyDescent="0.25">
      <c r="A89" s="1">
        <v>46136</v>
      </c>
      <c r="B89" t="s">
        <v>229</v>
      </c>
      <c r="C89" t="s">
        <v>184</v>
      </c>
      <c r="D89" t="s">
        <v>97</v>
      </c>
      <c r="E89" t="s">
        <v>57</v>
      </c>
      <c r="F89" t="s">
        <v>26</v>
      </c>
      <c r="G89" t="s">
        <v>37</v>
      </c>
      <c r="H89" t="s">
        <v>38</v>
      </c>
      <c r="I89" t="s">
        <v>94</v>
      </c>
      <c r="J89" s="2">
        <v>2</v>
      </c>
      <c r="K89" s="3">
        <v>434.64</v>
      </c>
      <c r="L89" s="3">
        <v>184.13</v>
      </c>
      <c r="M89" s="4">
        <v>3.1899999999999998E-2</v>
      </c>
      <c r="N89" s="3">
        <f t="shared" si="5"/>
        <v>869.28</v>
      </c>
      <c r="O89" s="3">
        <f t="shared" si="6"/>
        <v>841.55</v>
      </c>
      <c r="P89" s="3">
        <f t="shared" si="7"/>
        <v>368.26</v>
      </c>
      <c r="Q89" s="3">
        <f t="shared" si="8"/>
        <v>473.29</v>
      </c>
      <c r="R89" s="4">
        <f t="shared" si="9"/>
        <v>0.56240000000000001</v>
      </c>
      <c r="S89" s="2">
        <v>8</v>
      </c>
      <c r="T89" t="s">
        <v>46</v>
      </c>
      <c r="U89">
        <v>3</v>
      </c>
    </row>
    <row r="90" spans="1:21" x14ac:dyDescent="0.25">
      <c r="A90" s="1">
        <v>46199</v>
      </c>
      <c r="B90" t="s">
        <v>230</v>
      </c>
      <c r="C90" t="s">
        <v>231</v>
      </c>
      <c r="D90" t="s">
        <v>126</v>
      </c>
      <c r="E90" t="s">
        <v>57</v>
      </c>
      <c r="F90" t="s">
        <v>64</v>
      </c>
      <c r="G90" t="s">
        <v>44</v>
      </c>
      <c r="H90" t="s">
        <v>124</v>
      </c>
      <c r="I90" t="s">
        <v>87</v>
      </c>
      <c r="J90" s="2">
        <v>5</v>
      </c>
      <c r="K90" s="3">
        <v>5948.09</v>
      </c>
      <c r="L90" s="3">
        <v>4159</v>
      </c>
      <c r="M90" s="4">
        <v>0</v>
      </c>
      <c r="N90" s="3">
        <f t="shared" si="5"/>
        <v>29740.45</v>
      </c>
      <c r="O90" s="3">
        <f t="shared" si="6"/>
        <v>29740.45</v>
      </c>
      <c r="P90" s="3">
        <f t="shared" si="7"/>
        <v>20795</v>
      </c>
      <c r="Q90" s="3">
        <f t="shared" si="8"/>
        <v>8945.4500000000007</v>
      </c>
      <c r="R90" s="4">
        <f t="shared" si="9"/>
        <v>0.30080000000000001</v>
      </c>
      <c r="S90" s="2">
        <v>10</v>
      </c>
      <c r="T90" t="s">
        <v>46</v>
      </c>
      <c r="U90">
        <v>4</v>
      </c>
    </row>
    <row r="91" spans="1:21" x14ac:dyDescent="0.25">
      <c r="A91" s="1">
        <v>46156</v>
      </c>
      <c r="B91" t="s">
        <v>232</v>
      </c>
      <c r="C91" t="s">
        <v>233</v>
      </c>
      <c r="D91" t="s">
        <v>139</v>
      </c>
      <c r="E91" t="s">
        <v>72</v>
      </c>
      <c r="F91" t="s">
        <v>58</v>
      </c>
      <c r="G91" t="s">
        <v>51</v>
      </c>
      <c r="H91" t="s">
        <v>52</v>
      </c>
      <c r="I91" t="s">
        <v>65</v>
      </c>
      <c r="J91" s="2">
        <v>8</v>
      </c>
      <c r="K91" s="3">
        <v>272.05</v>
      </c>
      <c r="L91" s="3">
        <v>121.46</v>
      </c>
      <c r="M91" s="4">
        <v>5.8400000000000001E-2</v>
      </c>
      <c r="N91" s="3">
        <f t="shared" si="5"/>
        <v>2176.4</v>
      </c>
      <c r="O91" s="3">
        <f t="shared" si="6"/>
        <v>2049.3000000000002</v>
      </c>
      <c r="P91" s="3">
        <f t="shared" si="7"/>
        <v>971.68</v>
      </c>
      <c r="Q91" s="3">
        <f t="shared" si="8"/>
        <v>1077.6199999999999</v>
      </c>
      <c r="R91" s="4">
        <f t="shared" si="9"/>
        <v>0.52580000000000005</v>
      </c>
      <c r="S91" s="2">
        <v>10</v>
      </c>
      <c r="T91" t="s">
        <v>46</v>
      </c>
      <c r="U91">
        <v>5</v>
      </c>
    </row>
    <row r="92" spans="1:21" x14ac:dyDescent="0.25">
      <c r="A92" s="1">
        <v>46150</v>
      </c>
      <c r="B92" t="s">
        <v>234</v>
      </c>
      <c r="C92" t="s">
        <v>235</v>
      </c>
      <c r="D92" t="s">
        <v>130</v>
      </c>
      <c r="E92" t="s">
        <v>72</v>
      </c>
      <c r="F92" t="s">
        <v>64</v>
      </c>
      <c r="G92" t="s">
        <v>44</v>
      </c>
      <c r="H92" t="s">
        <v>73</v>
      </c>
      <c r="I92" t="s">
        <v>74</v>
      </c>
      <c r="J92" s="2">
        <v>8</v>
      </c>
      <c r="K92" s="3">
        <v>1724.14</v>
      </c>
      <c r="L92" s="3">
        <v>1077.0899999999999</v>
      </c>
      <c r="M92" s="4">
        <v>0</v>
      </c>
      <c r="N92" s="3">
        <f t="shared" si="5"/>
        <v>13793.12</v>
      </c>
      <c r="O92" s="3">
        <f t="shared" si="6"/>
        <v>13793.12</v>
      </c>
      <c r="P92" s="3">
        <f t="shared" si="7"/>
        <v>8616.7199999999993</v>
      </c>
      <c r="Q92" s="3">
        <f t="shared" si="8"/>
        <v>5176.3999999999996</v>
      </c>
      <c r="R92" s="4">
        <f t="shared" si="9"/>
        <v>0.37530000000000002</v>
      </c>
      <c r="S92" s="2">
        <v>14</v>
      </c>
      <c r="T92" t="s">
        <v>30</v>
      </c>
      <c r="U92">
        <v>2</v>
      </c>
    </row>
    <row r="93" spans="1:21" x14ac:dyDescent="0.25">
      <c r="A93" s="1">
        <v>46203</v>
      </c>
      <c r="B93" t="s">
        <v>236</v>
      </c>
      <c r="C93" t="s">
        <v>84</v>
      </c>
      <c r="D93" t="s">
        <v>24</v>
      </c>
      <c r="E93" t="s">
        <v>25</v>
      </c>
      <c r="F93" t="s">
        <v>36</v>
      </c>
      <c r="G93" t="s">
        <v>44</v>
      </c>
      <c r="H93" t="s">
        <v>45</v>
      </c>
      <c r="I93" t="s">
        <v>87</v>
      </c>
      <c r="J93" s="2">
        <v>3</v>
      </c>
      <c r="K93" s="3">
        <v>378.05</v>
      </c>
      <c r="L93" s="3">
        <v>227.08</v>
      </c>
      <c r="M93" s="4">
        <v>7.2300000000000003E-2</v>
      </c>
      <c r="N93" s="3">
        <f t="shared" si="5"/>
        <v>1134.1500000000001</v>
      </c>
      <c r="O93" s="3">
        <f t="shared" si="6"/>
        <v>1052.1500000000001</v>
      </c>
      <c r="P93" s="3">
        <f t="shared" si="7"/>
        <v>681.24</v>
      </c>
      <c r="Q93" s="3">
        <f t="shared" si="8"/>
        <v>370.91</v>
      </c>
      <c r="R93" s="4">
        <f t="shared" si="9"/>
        <v>0.35249999999999998</v>
      </c>
      <c r="S93" s="2">
        <v>4</v>
      </c>
      <c r="T93" t="s">
        <v>46</v>
      </c>
      <c r="U93">
        <v>3</v>
      </c>
    </row>
    <row r="94" spans="1:21" x14ac:dyDescent="0.25">
      <c r="A94" s="1">
        <v>46193</v>
      </c>
      <c r="B94" t="s">
        <v>237</v>
      </c>
      <c r="C94" t="s">
        <v>129</v>
      </c>
      <c r="D94" t="s">
        <v>97</v>
      </c>
      <c r="E94" t="s">
        <v>57</v>
      </c>
      <c r="F94" t="s">
        <v>26</v>
      </c>
      <c r="G94" t="s">
        <v>37</v>
      </c>
      <c r="H94" t="s">
        <v>178</v>
      </c>
      <c r="I94" t="s">
        <v>53</v>
      </c>
      <c r="J94" s="2">
        <v>1</v>
      </c>
      <c r="K94" s="3">
        <v>482.01</v>
      </c>
      <c r="L94" s="3">
        <v>242.31</v>
      </c>
      <c r="M94" s="4">
        <v>2.1499999999999998E-2</v>
      </c>
      <c r="N94" s="3">
        <f t="shared" si="5"/>
        <v>482.01</v>
      </c>
      <c r="O94" s="3">
        <f t="shared" si="6"/>
        <v>471.65</v>
      </c>
      <c r="P94" s="3">
        <f t="shared" si="7"/>
        <v>242.31</v>
      </c>
      <c r="Q94" s="3">
        <f t="shared" si="8"/>
        <v>229.34</v>
      </c>
      <c r="R94" s="4">
        <f t="shared" si="9"/>
        <v>0.48630000000000001</v>
      </c>
      <c r="S94" s="2">
        <v>14</v>
      </c>
      <c r="T94" t="s">
        <v>30</v>
      </c>
      <c r="U94">
        <v>3</v>
      </c>
    </row>
    <row r="95" spans="1:21" x14ac:dyDescent="0.25">
      <c r="A95" s="1">
        <v>46169</v>
      </c>
      <c r="B95" t="s">
        <v>238</v>
      </c>
      <c r="C95" t="s">
        <v>198</v>
      </c>
      <c r="D95" t="s">
        <v>85</v>
      </c>
      <c r="E95" t="s">
        <v>50</v>
      </c>
      <c r="F95" t="s">
        <v>36</v>
      </c>
      <c r="G95" t="s">
        <v>44</v>
      </c>
      <c r="H95" t="s">
        <v>45</v>
      </c>
      <c r="I95" t="s">
        <v>65</v>
      </c>
      <c r="J95" s="2">
        <v>1</v>
      </c>
      <c r="K95" s="3">
        <v>404.13</v>
      </c>
      <c r="L95" s="3">
        <v>209.41</v>
      </c>
      <c r="M95" s="4">
        <v>0.1047</v>
      </c>
      <c r="N95" s="3">
        <f t="shared" si="5"/>
        <v>404.13</v>
      </c>
      <c r="O95" s="3">
        <f t="shared" si="6"/>
        <v>361.82</v>
      </c>
      <c r="P95" s="3">
        <f t="shared" si="7"/>
        <v>209.41</v>
      </c>
      <c r="Q95" s="3">
        <f t="shared" si="8"/>
        <v>152.41</v>
      </c>
      <c r="R95" s="4">
        <f t="shared" si="9"/>
        <v>0.42120000000000002</v>
      </c>
      <c r="S95" s="2">
        <v>10</v>
      </c>
      <c r="T95" t="s">
        <v>46</v>
      </c>
      <c r="U95">
        <v>5</v>
      </c>
    </row>
    <row r="96" spans="1:21" x14ac:dyDescent="0.25">
      <c r="A96" s="1">
        <v>46059</v>
      </c>
      <c r="B96" t="s">
        <v>239</v>
      </c>
      <c r="C96" t="s">
        <v>240</v>
      </c>
      <c r="D96" t="s">
        <v>121</v>
      </c>
      <c r="E96" t="s">
        <v>72</v>
      </c>
      <c r="F96" t="s">
        <v>58</v>
      </c>
      <c r="G96" t="s">
        <v>27</v>
      </c>
      <c r="H96" t="s">
        <v>86</v>
      </c>
      <c r="I96" t="s">
        <v>77</v>
      </c>
      <c r="J96" s="2">
        <v>8</v>
      </c>
      <c r="K96" s="3">
        <v>1857.78</v>
      </c>
      <c r="L96" s="3">
        <v>1183.23</v>
      </c>
      <c r="M96" s="4">
        <v>3.5000000000000003E-2</v>
      </c>
      <c r="N96" s="3">
        <f t="shared" si="5"/>
        <v>14862.24</v>
      </c>
      <c r="O96" s="3">
        <f t="shared" si="6"/>
        <v>14342.06</v>
      </c>
      <c r="P96" s="3">
        <f t="shared" si="7"/>
        <v>9465.84</v>
      </c>
      <c r="Q96" s="3">
        <f t="shared" si="8"/>
        <v>4876.22</v>
      </c>
      <c r="R96" s="4">
        <f t="shared" si="9"/>
        <v>0.34</v>
      </c>
      <c r="S96" s="2">
        <v>4</v>
      </c>
      <c r="T96" t="s">
        <v>46</v>
      </c>
      <c r="U96">
        <v>2</v>
      </c>
    </row>
    <row r="97" spans="1:21" x14ac:dyDescent="0.25">
      <c r="A97" s="1">
        <v>46227</v>
      </c>
      <c r="B97" t="s">
        <v>241</v>
      </c>
      <c r="C97" t="s">
        <v>195</v>
      </c>
      <c r="D97" t="s">
        <v>71</v>
      </c>
      <c r="E97" t="s">
        <v>72</v>
      </c>
      <c r="F97" t="s">
        <v>58</v>
      </c>
      <c r="G97" t="s">
        <v>37</v>
      </c>
      <c r="H97" t="s">
        <v>104</v>
      </c>
      <c r="I97" t="s">
        <v>65</v>
      </c>
      <c r="J97" s="2">
        <v>6</v>
      </c>
      <c r="K97" s="3">
        <v>311.74</v>
      </c>
      <c r="L97" s="3">
        <v>145.91999999999999</v>
      </c>
      <c r="M97" s="4">
        <v>4.8099999999999997E-2</v>
      </c>
      <c r="N97" s="3">
        <f t="shared" si="5"/>
        <v>1870.44</v>
      </c>
      <c r="O97" s="3">
        <f t="shared" si="6"/>
        <v>1780.47</v>
      </c>
      <c r="P97" s="3">
        <f t="shared" si="7"/>
        <v>875.52</v>
      </c>
      <c r="Q97" s="3">
        <f t="shared" si="8"/>
        <v>904.95</v>
      </c>
      <c r="R97" s="4">
        <f t="shared" si="9"/>
        <v>0.50829999999999997</v>
      </c>
      <c r="S97" s="2">
        <v>6</v>
      </c>
      <c r="T97" t="s">
        <v>46</v>
      </c>
      <c r="U97">
        <v>3</v>
      </c>
    </row>
    <row r="98" spans="1:21" x14ac:dyDescent="0.25">
      <c r="A98" s="1">
        <v>46232</v>
      </c>
      <c r="B98" t="s">
        <v>242</v>
      </c>
      <c r="C98" t="s">
        <v>243</v>
      </c>
      <c r="D98" t="s">
        <v>130</v>
      </c>
      <c r="E98" t="s">
        <v>72</v>
      </c>
      <c r="F98" t="s">
        <v>58</v>
      </c>
      <c r="G98" t="s">
        <v>37</v>
      </c>
      <c r="H98" t="s">
        <v>38</v>
      </c>
      <c r="I98" t="s">
        <v>87</v>
      </c>
      <c r="J98" s="2">
        <v>7</v>
      </c>
      <c r="K98" s="3">
        <v>424.23</v>
      </c>
      <c r="L98" s="3">
        <v>206.11</v>
      </c>
      <c r="M98" s="4">
        <v>3.5000000000000003E-2</v>
      </c>
      <c r="N98" s="3">
        <f t="shared" si="5"/>
        <v>2969.61</v>
      </c>
      <c r="O98" s="3">
        <f t="shared" si="6"/>
        <v>2865.67</v>
      </c>
      <c r="P98" s="3">
        <f t="shared" si="7"/>
        <v>1442.77</v>
      </c>
      <c r="Q98" s="3">
        <f t="shared" si="8"/>
        <v>1422.9</v>
      </c>
      <c r="R98" s="4">
        <f t="shared" si="9"/>
        <v>0.4965</v>
      </c>
      <c r="S98" s="2">
        <v>5</v>
      </c>
      <c r="T98" t="s">
        <v>46</v>
      </c>
      <c r="U98">
        <v>2</v>
      </c>
    </row>
    <row r="99" spans="1:21" x14ac:dyDescent="0.25">
      <c r="A99" s="1">
        <v>46155</v>
      </c>
      <c r="B99" t="s">
        <v>244</v>
      </c>
      <c r="C99" t="s">
        <v>48</v>
      </c>
      <c r="D99" t="s">
        <v>207</v>
      </c>
      <c r="E99" t="s">
        <v>35</v>
      </c>
      <c r="F99" t="s">
        <v>64</v>
      </c>
      <c r="G99" t="s">
        <v>44</v>
      </c>
      <c r="H99" t="s">
        <v>124</v>
      </c>
      <c r="I99" t="s">
        <v>65</v>
      </c>
      <c r="J99" s="2">
        <v>7</v>
      </c>
      <c r="K99" s="3">
        <v>6055.04</v>
      </c>
      <c r="L99" s="3">
        <v>4153.6000000000004</v>
      </c>
      <c r="M99" s="4">
        <v>0</v>
      </c>
      <c r="N99" s="3">
        <f t="shared" si="5"/>
        <v>42385.279999999999</v>
      </c>
      <c r="O99" s="3">
        <f t="shared" si="6"/>
        <v>42385.279999999999</v>
      </c>
      <c r="P99" s="3">
        <f t="shared" si="7"/>
        <v>29075.200000000001</v>
      </c>
      <c r="Q99" s="3">
        <f t="shared" si="8"/>
        <v>13310.08</v>
      </c>
      <c r="R99" s="4">
        <f t="shared" si="9"/>
        <v>0.314</v>
      </c>
      <c r="S99" s="2">
        <v>6</v>
      </c>
      <c r="T99" t="s">
        <v>46</v>
      </c>
      <c r="U99">
        <v>2</v>
      </c>
    </row>
    <row r="100" spans="1:21" x14ac:dyDescent="0.25">
      <c r="A100" s="1">
        <v>46209</v>
      </c>
      <c r="B100" t="s">
        <v>245</v>
      </c>
      <c r="C100" t="s">
        <v>182</v>
      </c>
      <c r="D100" t="s">
        <v>85</v>
      </c>
      <c r="E100" t="s">
        <v>50</v>
      </c>
      <c r="F100" t="s">
        <v>36</v>
      </c>
      <c r="G100" t="s">
        <v>37</v>
      </c>
      <c r="H100" t="s">
        <v>104</v>
      </c>
      <c r="I100" t="s">
        <v>87</v>
      </c>
      <c r="J100" s="2">
        <v>3</v>
      </c>
      <c r="K100" s="3">
        <v>336.82</v>
      </c>
      <c r="L100" s="3">
        <v>129.81</v>
      </c>
      <c r="M100" s="4">
        <v>0.1203</v>
      </c>
      <c r="N100" s="3">
        <f t="shared" si="5"/>
        <v>1010.46</v>
      </c>
      <c r="O100" s="3">
        <f t="shared" si="6"/>
        <v>888.9</v>
      </c>
      <c r="P100" s="3">
        <f t="shared" si="7"/>
        <v>389.43</v>
      </c>
      <c r="Q100" s="3">
        <f t="shared" si="8"/>
        <v>499.47</v>
      </c>
      <c r="R100" s="4">
        <f t="shared" si="9"/>
        <v>0.56189999999999996</v>
      </c>
      <c r="S100" s="2">
        <v>7</v>
      </c>
      <c r="T100" t="s">
        <v>46</v>
      </c>
      <c r="U100">
        <v>3</v>
      </c>
    </row>
    <row r="101" spans="1:21" x14ac:dyDescent="0.25">
      <c r="A101" s="1">
        <v>46145</v>
      </c>
      <c r="B101" t="s">
        <v>246</v>
      </c>
      <c r="C101" t="s">
        <v>247</v>
      </c>
      <c r="D101" t="s">
        <v>101</v>
      </c>
      <c r="E101" t="s">
        <v>35</v>
      </c>
      <c r="F101" t="s">
        <v>58</v>
      </c>
      <c r="G101" t="s">
        <v>27</v>
      </c>
      <c r="H101" t="s">
        <v>28</v>
      </c>
      <c r="I101" t="s">
        <v>74</v>
      </c>
      <c r="J101" s="2">
        <v>1</v>
      </c>
      <c r="K101" s="3">
        <v>814.36</v>
      </c>
      <c r="L101" s="3">
        <v>447.47</v>
      </c>
      <c r="M101" s="4">
        <v>3.5000000000000003E-2</v>
      </c>
      <c r="N101" s="3">
        <f t="shared" si="5"/>
        <v>814.36</v>
      </c>
      <c r="O101" s="3">
        <f t="shared" si="6"/>
        <v>785.86</v>
      </c>
      <c r="P101" s="3">
        <f t="shared" si="7"/>
        <v>447.47</v>
      </c>
      <c r="Q101" s="3">
        <f t="shared" si="8"/>
        <v>338.39</v>
      </c>
      <c r="R101" s="4">
        <f t="shared" si="9"/>
        <v>0.43059999999999998</v>
      </c>
      <c r="S101" s="2">
        <v>9</v>
      </c>
      <c r="T101" t="s">
        <v>46</v>
      </c>
      <c r="U101">
        <v>3</v>
      </c>
    </row>
    <row r="102" spans="1:21" x14ac:dyDescent="0.25">
      <c r="A102" s="1">
        <v>46185</v>
      </c>
      <c r="B102" t="s">
        <v>248</v>
      </c>
      <c r="C102" t="s">
        <v>155</v>
      </c>
      <c r="D102" t="s">
        <v>34</v>
      </c>
      <c r="E102" t="s">
        <v>35</v>
      </c>
      <c r="F102" t="s">
        <v>26</v>
      </c>
      <c r="G102" t="s">
        <v>37</v>
      </c>
      <c r="H102" t="s">
        <v>38</v>
      </c>
      <c r="I102" t="s">
        <v>87</v>
      </c>
      <c r="J102" s="2">
        <v>4</v>
      </c>
      <c r="K102" s="3">
        <v>421.89</v>
      </c>
      <c r="L102" s="3">
        <v>182.66</v>
      </c>
      <c r="M102" s="4">
        <v>0.12180000000000001</v>
      </c>
      <c r="N102" s="3">
        <f t="shared" si="5"/>
        <v>1687.56</v>
      </c>
      <c r="O102" s="3">
        <f t="shared" si="6"/>
        <v>1482.02</v>
      </c>
      <c r="P102" s="3">
        <f t="shared" si="7"/>
        <v>730.64</v>
      </c>
      <c r="Q102" s="3">
        <f t="shared" si="8"/>
        <v>751.38</v>
      </c>
      <c r="R102" s="4">
        <f t="shared" si="9"/>
        <v>0.50700000000000001</v>
      </c>
      <c r="S102" s="2">
        <v>4</v>
      </c>
      <c r="T102" t="s">
        <v>46</v>
      </c>
      <c r="U102">
        <v>5</v>
      </c>
    </row>
    <row r="103" spans="1:21" x14ac:dyDescent="0.25">
      <c r="A103" s="1">
        <v>46074</v>
      </c>
      <c r="B103" t="s">
        <v>249</v>
      </c>
      <c r="C103" t="s">
        <v>187</v>
      </c>
      <c r="D103" t="s">
        <v>85</v>
      </c>
      <c r="E103" t="s">
        <v>50</v>
      </c>
      <c r="F103" t="s">
        <v>64</v>
      </c>
      <c r="G103" t="s">
        <v>44</v>
      </c>
      <c r="H103" t="s">
        <v>124</v>
      </c>
      <c r="I103" t="s">
        <v>87</v>
      </c>
      <c r="J103" s="2">
        <v>6</v>
      </c>
      <c r="K103" s="3">
        <v>5700.75</v>
      </c>
      <c r="L103" s="3">
        <v>4243.43</v>
      </c>
      <c r="M103" s="4">
        <v>3.78E-2</v>
      </c>
      <c r="N103" s="3">
        <f t="shared" si="5"/>
        <v>34204.5</v>
      </c>
      <c r="O103" s="3">
        <f t="shared" si="6"/>
        <v>32911.57</v>
      </c>
      <c r="P103" s="3">
        <f t="shared" si="7"/>
        <v>25460.58</v>
      </c>
      <c r="Q103" s="3">
        <f t="shared" si="8"/>
        <v>7450.99</v>
      </c>
      <c r="R103" s="4">
        <f t="shared" si="9"/>
        <v>0.22639999999999999</v>
      </c>
      <c r="S103" s="2">
        <v>8</v>
      </c>
      <c r="T103" t="s">
        <v>46</v>
      </c>
      <c r="U103">
        <v>4</v>
      </c>
    </row>
    <row r="104" spans="1:21" x14ac:dyDescent="0.25">
      <c r="A104" s="1">
        <v>46050</v>
      </c>
      <c r="B104" t="s">
        <v>250</v>
      </c>
      <c r="C104" t="s">
        <v>251</v>
      </c>
      <c r="D104" t="s">
        <v>97</v>
      </c>
      <c r="E104" t="s">
        <v>57</v>
      </c>
      <c r="F104" t="s">
        <v>36</v>
      </c>
      <c r="G104" t="s">
        <v>51</v>
      </c>
      <c r="H104" t="s">
        <v>116</v>
      </c>
      <c r="I104" t="s">
        <v>60</v>
      </c>
      <c r="J104" s="2">
        <v>1</v>
      </c>
      <c r="K104" s="3">
        <v>2833</v>
      </c>
      <c r="L104" s="3">
        <v>1805.95</v>
      </c>
      <c r="M104" s="4">
        <v>6.5100000000000005E-2</v>
      </c>
      <c r="N104" s="3">
        <f t="shared" si="5"/>
        <v>2833</v>
      </c>
      <c r="O104" s="3">
        <f t="shared" si="6"/>
        <v>2648.57</v>
      </c>
      <c r="P104" s="3">
        <f t="shared" si="7"/>
        <v>1805.95</v>
      </c>
      <c r="Q104" s="3">
        <f t="shared" si="8"/>
        <v>842.62</v>
      </c>
      <c r="R104" s="4">
        <f t="shared" si="9"/>
        <v>0.31809999999999999</v>
      </c>
      <c r="S104" s="2">
        <v>3</v>
      </c>
      <c r="T104" t="s">
        <v>46</v>
      </c>
      <c r="U104">
        <v>5</v>
      </c>
    </row>
    <row r="105" spans="1:21" x14ac:dyDescent="0.25">
      <c r="A105" s="1">
        <v>46189</v>
      </c>
      <c r="B105" t="s">
        <v>252</v>
      </c>
      <c r="C105" t="s">
        <v>253</v>
      </c>
      <c r="D105" t="s">
        <v>56</v>
      </c>
      <c r="E105" t="s">
        <v>57</v>
      </c>
      <c r="F105" t="s">
        <v>64</v>
      </c>
      <c r="G105" t="s">
        <v>44</v>
      </c>
      <c r="H105" t="s">
        <v>124</v>
      </c>
      <c r="I105" t="s">
        <v>53</v>
      </c>
      <c r="J105" s="2">
        <v>1</v>
      </c>
      <c r="K105" s="3">
        <v>5825.19</v>
      </c>
      <c r="L105" s="3">
        <v>4314.07</v>
      </c>
      <c r="M105" s="4">
        <v>0</v>
      </c>
      <c r="N105" s="3">
        <f t="shared" si="5"/>
        <v>5825.19</v>
      </c>
      <c r="O105" s="3">
        <f t="shared" si="6"/>
        <v>5825.19</v>
      </c>
      <c r="P105" s="3">
        <f t="shared" si="7"/>
        <v>4314.07</v>
      </c>
      <c r="Q105" s="3">
        <f t="shared" si="8"/>
        <v>1511.12</v>
      </c>
      <c r="R105" s="4">
        <f t="shared" si="9"/>
        <v>0.25940000000000002</v>
      </c>
      <c r="S105" s="2">
        <v>6</v>
      </c>
      <c r="T105" t="s">
        <v>46</v>
      </c>
      <c r="U105">
        <v>3</v>
      </c>
    </row>
    <row r="106" spans="1:21" x14ac:dyDescent="0.25">
      <c r="A106" s="1">
        <v>46024</v>
      </c>
      <c r="B106" t="s">
        <v>254</v>
      </c>
      <c r="C106" t="s">
        <v>190</v>
      </c>
      <c r="D106" t="s">
        <v>43</v>
      </c>
      <c r="E106" t="s">
        <v>25</v>
      </c>
      <c r="F106" t="s">
        <v>36</v>
      </c>
      <c r="G106" t="s">
        <v>44</v>
      </c>
      <c r="H106" t="s">
        <v>124</v>
      </c>
      <c r="I106" t="s">
        <v>94</v>
      </c>
      <c r="J106" s="2">
        <v>8</v>
      </c>
      <c r="K106" s="3">
        <v>5950.37</v>
      </c>
      <c r="L106" s="3">
        <v>4529</v>
      </c>
      <c r="M106" s="4">
        <v>0.1022</v>
      </c>
      <c r="N106" s="3">
        <f t="shared" si="5"/>
        <v>47602.96</v>
      </c>
      <c r="O106" s="3">
        <f t="shared" si="6"/>
        <v>42737.94</v>
      </c>
      <c r="P106" s="3">
        <f t="shared" si="7"/>
        <v>36232</v>
      </c>
      <c r="Q106" s="3">
        <f t="shared" si="8"/>
        <v>6505.94</v>
      </c>
      <c r="R106" s="4">
        <f t="shared" si="9"/>
        <v>0.1522</v>
      </c>
      <c r="S106" s="2">
        <v>2</v>
      </c>
      <c r="T106" t="s">
        <v>46</v>
      </c>
      <c r="U106">
        <v>2</v>
      </c>
    </row>
    <row r="107" spans="1:21" x14ac:dyDescent="0.25">
      <c r="A107" s="1">
        <v>46140</v>
      </c>
      <c r="B107" t="s">
        <v>255</v>
      </c>
      <c r="C107" t="s">
        <v>48</v>
      </c>
      <c r="D107" t="s">
        <v>130</v>
      </c>
      <c r="E107" t="s">
        <v>72</v>
      </c>
      <c r="F107" t="s">
        <v>64</v>
      </c>
      <c r="G107" t="s">
        <v>44</v>
      </c>
      <c r="H107" t="s">
        <v>124</v>
      </c>
      <c r="I107" t="s">
        <v>29</v>
      </c>
      <c r="J107" s="2">
        <v>1</v>
      </c>
      <c r="K107" s="3">
        <v>6111.37</v>
      </c>
      <c r="L107" s="3">
        <v>4611.16</v>
      </c>
      <c r="M107" s="4">
        <v>9.01E-2</v>
      </c>
      <c r="N107" s="3">
        <f t="shared" si="5"/>
        <v>6111.37</v>
      </c>
      <c r="O107" s="3">
        <f t="shared" si="6"/>
        <v>5560.74</v>
      </c>
      <c r="P107" s="3">
        <f t="shared" si="7"/>
        <v>4611.16</v>
      </c>
      <c r="Q107" s="3">
        <f t="shared" si="8"/>
        <v>949.58</v>
      </c>
      <c r="R107" s="4">
        <f t="shared" si="9"/>
        <v>0.17080000000000001</v>
      </c>
      <c r="S107" s="2">
        <v>12</v>
      </c>
      <c r="T107" t="s">
        <v>30</v>
      </c>
      <c r="U107">
        <v>2</v>
      </c>
    </row>
    <row r="108" spans="1:21" x14ac:dyDescent="0.25">
      <c r="A108" s="1">
        <v>46155</v>
      </c>
      <c r="B108" t="s">
        <v>256</v>
      </c>
      <c r="C108" t="s">
        <v>253</v>
      </c>
      <c r="D108" t="s">
        <v>97</v>
      </c>
      <c r="E108" t="s">
        <v>57</v>
      </c>
      <c r="F108" t="s">
        <v>58</v>
      </c>
      <c r="G108" t="s">
        <v>51</v>
      </c>
      <c r="H108" t="s">
        <v>116</v>
      </c>
      <c r="I108" t="s">
        <v>65</v>
      </c>
      <c r="J108" s="2">
        <v>7</v>
      </c>
      <c r="K108" s="3">
        <v>2818.07</v>
      </c>
      <c r="L108" s="3">
        <v>1865.83</v>
      </c>
      <c r="M108" s="4">
        <v>0.12970000000000001</v>
      </c>
      <c r="N108" s="3">
        <f t="shared" si="5"/>
        <v>19726.490000000002</v>
      </c>
      <c r="O108" s="3">
        <f t="shared" si="6"/>
        <v>17167.96</v>
      </c>
      <c r="P108" s="3">
        <f t="shared" si="7"/>
        <v>13060.81</v>
      </c>
      <c r="Q108" s="3">
        <f t="shared" si="8"/>
        <v>4107.1499999999996</v>
      </c>
      <c r="R108" s="4">
        <f t="shared" si="9"/>
        <v>0.2392</v>
      </c>
      <c r="S108" s="2">
        <v>10</v>
      </c>
      <c r="T108" t="s">
        <v>46</v>
      </c>
      <c r="U108">
        <v>2</v>
      </c>
    </row>
    <row r="109" spans="1:21" x14ac:dyDescent="0.25">
      <c r="A109" s="1">
        <v>46191</v>
      </c>
      <c r="B109" t="s">
        <v>257</v>
      </c>
      <c r="C109" t="s">
        <v>76</v>
      </c>
      <c r="D109" t="s">
        <v>126</v>
      </c>
      <c r="E109" t="s">
        <v>57</v>
      </c>
      <c r="F109" t="s">
        <v>36</v>
      </c>
      <c r="G109" t="s">
        <v>44</v>
      </c>
      <c r="H109" t="s">
        <v>73</v>
      </c>
      <c r="I109" t="s">
        <v>94</v>
      </c>
      <c r="J109" s="2">
        <v>6</v>
      </c>
      <c r="K109" s="3">
        <v>1739.89</v>
      </c>
      <c r="L109" s="3">
        <v>1113.0899999999999</v>
      </c>
      <c r="M109" s="4">
        <v>0</v>
      </c>
      <c r="N109" s="3">
        <f t="shared" si="5"/>
        <v>10439.34</v>
      </c>
      <c r="O109" s="3">
        <f t="shared" si="6"/>
        <v>10439.34</v>
      </c>
      <c r="P109" s="3">
        <f t="shared" si="7"/>
        <v>6678.54</v>
      </c>
      <c r="Q109" s="3">
        <f t="shared" si="8"/>
        <v>3760.8</v>
      </c>
      <c r="R109" s="4">
        <f t="shared" si="9"/>
        <v>0.36030000000000001</v>
      </c>
      <c r="S109" s="2">
        <v>8</v>
      </c>
      <c r="T109" t="s">
        <v>46</v>
      </c>
      <c r="U109">
        <v>5</v>
      </c>
    </row>
    <row r="110" spans="1:21" x14ac:dyDescent="0.25">
      <c r="A110" s="1">
        <v>46046</v>
      </c>
      <c r="B110" t="s">
        <v>258</v>
      </c>
      <c r="C110" t="s">
        <v>91</v>
      </c>
      <c r="D110" t="s">
        <v>71</v>
      </c>
      <c r="E110" t="s">
        <v>72</v>
      </c>
      <c r="F110" t="s">
        <v>26</v>
      </c>
      <c r="G110" t="s">
        <v>44</v>
      </c>
      <c r="H110" t="s">
        <v>124</v>
      </c>
      <c r="I110" t="s">
        <v>60</v>
      </c>
      <c r="J110" s="2">
        <v>8</v>
      </c>
      <c r="K110" s="3">
        <v>5846.76</v>
      </c>
      <c r="L110" s="3">
        <v>4686.5200000000004</v>
      </c>
      <c r="M110" s="4">
        <v>0</v>
      </c>
      <c r="N110" s="3">
        <f t="shared" si="5"/>
        <v>46774.080000000002</v>
      </c>
      <c r="O110" s="3">
        <f t="shared" si="6"/>
        <v>46774.080000000002</v>
      </c>
      <c r="P110" s="3">
        <f t="shared" si="7"/>
        <v>37492.160000000003</v>
      </c>
      <c r="Q110" s="3">
        <f t="shared" si="8"/>
        <v>9281.92</v>
      </c>
      <c r="R110" s="4">
        <f t="shared" si="9"/>
        <v>0.19839999999999999</v>
      </c>
      <c r="S110" s="2">
        <v>2</v>
      </c>
      <c r="T110" t="s">
        <v>46</v>
      </c>
      <c r="U110">
        <v>2</v>
      </c>
    </row>
    <row r="111" spans="1:21" x14ac:dyDescent="0.25">
      <c r="A111" s="1">
        <v>46077</v>
      </c>
      <c r="B111" t="s">
        <v>259</v>
      </c>
      <c r="C111" t="s">
        <v>260</v>
      </c>
      <c r="D111" t="s">
        <v>56</v>
      </c>
      <c r="E111" t="s">
        <v>57</v>
      </c>
      <c r="F111" t="s">
        <v>26</v>
      </c>
      <c r="G111" t="s">
        <v>27</v>
      </c>
      <c r="H111" t="s">
        <v>68</v>
      </c>
      <c r="I111" t="s">
        <v>74</v>
      </c>
      <c r="J111" s="2">
        <v>4</v>
      </c>
      <c r="K111" s="3">
        <v>1225.07</v>
      </c>
      <c r="L111" s="3">
        <v>755.34</v>
      </c>
      <c r="M111" s="4">
        <v>1.4E-3</v>
      </c>
      <c r="N111" s="3">
        <f t="shared" si="5"/>
        <v>4900.28</v>
      </c>
      <c r="O111" s="3">
        <f t="shared" si="6"/>
        <v>4893.42</v>
      </c>
      <c r="P111" s="3">
        <f t="shared" si="7"/>
        <v>3021.36</v>
      </c>
      <c r="Q111" s="3">
        <f t="shared" si="8"/>
        <v>1872.06</v>
      </c>
      <c r="R111" s="4">
        <f t="shared" si="9"/>
        <v>0.3826</v>
      </c>
      <c r="S111" s="2">
        <v>9</v>
      </c>
      <c r="T111" t="s">
        <v>46</v>
      </c>
      <c r="U111">
        <v>3</v>
      </c>
    </row>
    <row r="112" spans="1:21" x14ac:dyDescent="0.25">
      <c r="A112" s="1">
        <v>46176</v>
      </c>
      <c r="B112" t="s">
        <v>261</v>
      </c>
      <c r="C112" t="s">
        <v>136</v>
      </c>
      <c r="D112" t="s">
        <v>130</v>
      </c>
      <c r="E112" t="s">
        <v>72</v>
      </c>
      <c r="F112" t="s">
        <v>36</v>
      </c>
      <c r="G112" t="s">
        <v>51</v>
      </c>
      <c r="H112" t="s">
        <v>52</v>
      </c>
      <c r="I112" t="s">
        <v>92</v>
      </c>
      <c r="J112" s="2">
        <v>1</v>
      </c>
      <c r="K112" s="3">
        <v>274.56</v>
      </c>
      <c r="L112" s="3">
        <v>125.58</v>
      </c>
      <c r="M112" s="4">
        <v>0</v>
      </c>
      <c r="N112" s="3">
        <f t="shared" si="5"/>
        <v>274.56</v>
      </c>
      <c r="O112" s="3">
        <f t="shared" si="6"/>
        <v>274.56</v>
      </c>
      <c r="P112" s="3">
        <f t="shared" si="7"/>
        <v>125.58</v>
      </c>
      <c r="Q112" s="3">
        <f t="shared" si="8"/>
        <v>148.97999999999999</v>
      </c>
      <c r="R112" s="4">
        <f t="shared" si="9"/>
        <v>0.54259999999999997</v>
      </c>
      <c r="S112" s="2">
        <v>3</v>
      </c>
      <c r="T112" t="s">
        <v>46</v>
      </c>
      <c r="U112">
        <v>4</v>
      </c>
    </row>
    <row r="113" spans="1:21" x14ac:dyDescent="0.25">
      <c r="A113" s="1">
        <v>46064</v>
      </c>
      <c r="B113" t="s">
        <v>262</v>
      </c>
      <c r="C113" t="s">
        <v>82</v>
      </c>
      <c r="D113" t="s">
        <v>121</v>
      </c>
      <c r="E113" t="s">
        <v>72</v>
      </c>
      <c r="F113" t="s">
        <v>64</v>
      </c>
      <c r="G113" t="s">
        <v>51</v>
      </c>
      <c r="H113" t="s">
        <v>59</v>
      </c>
      <c r="I113" t="s">
        <v>94</v>
      </c>
      <c r="J113" s="2">
        <v>4</v>
      </c>
      <c r="K113" s="3">
        <v>2153.84</v>
      </c>
      <c r="L113" s="3">
        <v>1410.61</v>
      </c>
      <c r="M113" s="4">
        <v>0.12709999999999999</v>
      </c>
      <c r="N113" s="3">
        <f t="shared" si="5"/>
        <v>8615.36</v>
      </c>
      <c r="O113" s="3">
        <f t="shared" si="6"/>
        <v>7520.35</v>
      </c>
      <c r="P113" s="3">
        <f t="shared" si="7"/>
        <v>5642.44</v>
      </c>
      <c r="Q113" s="3">
        <f t="shared" si="8"/>
        <v>1877.91</v>
      </c>
      <c r="R113" s="4">
        <f t="shared" si="9"/>
        <v>0.24970000000000001</v>
      </c>
      <c r="S113" s="2">
        <v>13</v>
      </c>
      <c r="T113" t="s">
        <v>30</v>
      </c>
      <c r="U113">
        <v>5</v>
      </c>
    </row>
    <row r="114" spans="1:21" x14ac:dyDescent="0.25">
      <c r="A114" s="1">
        <v>46095</v>
      </c>
      <c r="B114" t="s">
        <v>263</v>
      </c>
      <c r="C114" t="s">
        <v>91</v>
      </c>
      <c r="D114" t="s">
        <v>97</v>
      </c>
      <c r="E114" t="s">
        <v>57</v>
      </c>
      <c r="F114" t="s">
        <v>36</v>
      </c>
      <c r="G114" t="s">
        <v>44</v>
      </c>
      <c r="H114" t="s">
        <v>45</v>
      </c>
      <c r="I114" t="s">
        <v>29</v>
      </c>
      <c r="J114" s="2">
        <v>5</v>
      </c>
      <c r="K114" s="3">
        <v>372.61</v>
      </c>
      <c r="L114" s="3">
        <v>214.86</v>
      </c>
      <c r="M114" s="4">
        <v>0</v>
      </c>
      <c r="N114" s="3">
        <f t="shared" si="5"/>
        <v>1863.05</v>
      </c>
      <c r="O114" s="3">
        <f t="shared" si="6"/>
        <v>1863.05</v>
      </c>
      <c r="P114" s="3">
        <f t="shared" si="7"/>
        <v>1074.3</v>
      </c>
      <c r="Q114" s="3">
        <f t="shared" si="8"/>
        <v>788.75</v>
      </c>
      <c r="R114" s="4">
        <f t="shared" si="9"/>
        <v>0.4234</v>
      </c>
      <c r="S114" s="2">
        <v>7</v>
      </c>
      <c r="T114" t="s">
        <v>46</v>
      </c>
      <c r="U114">
        <v>3</v>
      </c>
    </row>
    <row r="115" spans="1:21" x14ac:dyDescent="0.25">
      <c r="A115" s="1">
        <v>46121</v>
      </c>
      <c r="B115" t="s">
        <v>264</v>
      </c>
      <c r="C115" t="s">
        <v>142</v>
      </c>
      <c r="D115" t="s">
        <v>24</v>
      </c>
      <c r="E115" t="s">
        <v>25</v>
      </c>
      <c r="F115" t="s">
        <v>26</v>
      </c>
      <c r="G115" t="s">
        <v>44</v>
      </c>
      <c r="H115" t="s">
        <v>73</v>
      </c>
      <c r="I115" t="s">
        <v>77</v>
      </c>
      <c r="J115" s="2">
        <v>7</v>
      </c>
      <c r="K115" s="3">
        <v>1629.34</v>
      </c>
      <c r="L115" s="3">
        <v>1153.8</v>
      </c>
      <c r="M115" s="4">
        <v>0</v>
      </c>
      <c r="N115" s="3">
        <f t="shared" si="5"/>
        <v>11405.38</v>
      </c>
      <c r="O115" s="3">
        <f t="shared" si="6"/>
        <v>11405.38</v>
      </c>
      <c r="P115" s="3">
        <f t="shared" si="7"/>
        <v>8076.6</v>
      </c>
      <c r="Q115" s="3">
        <f t="shared" si="8"/>
        <v>3328.78</v>
      </c>
      <c r="R115" s="4">
        <f t="shared" si="9"/>
        <v>0.29189999999999999</v>
      </c>
      <c r="S115" s="2">
        <v>9</v>
      </c>
      <c r="T115" t="s">
        <v>46</v>
      </c>
      <c r="U115">
        <v>5</v>
      </c>
    </row>
    <row r="116" spans="1:21" x14ac:dyDescent="0.25">
      <c r="A116" s="1">
        <v>46074</v>
      </c>
      <c r="B116" t="s">
        <v>265</v>
      </c>
      <c r="C116" t="s">
        <v>266</v>
      </c>
      <c r="D116" t="s">
        <v>85</v>
      </c>
      <c r="E116" t="s">
        <v>50</v>
      </c>
      <c r="F116" t="s">
        <v>26</v>
      </c>
      <c r="G116" t="s">
        <v>51</v>
      </c>
      <c r="H116" t="s">
        <v>116</v>
      </c>
      <c r="I116" t="s">
        <v>29</v>
      </c>
      <c r="J116" s="2">
        <v>1</v>
      </c>
      <c r="K116" s="3">
        <v>2807.9</v>
      </c>
      <c r="L116" s="3">
        <v>1871.07</v>
      </c>
      <c r="M116" s="4">
        <v>8.9800000000000005E-2</v>
      </c>
      <c r="N116" s="3">
        <f t="shared" si="5"/>
        <v>2807.9</v>
      </c>
      <c r="O116" s="3">
        <f t="shared" si="6"/>
        <v>2555.75</v>
      </c>
      <c r="P116" s="3">
        <f t="shared" si="7"/>
        <v>1871.07</v>
      </c>
      <c r="Q116" s="3">
        <f t="shared" si="8"/>
        <v>684.68</v>
      </c>
      <c r="R116" s="4">
        <f t="shared" si="9"/>
        <v>0.26790000000000003</v>
      </c>
      <c r="S116" s="2">
        <v>6</v>
      </c>
      <c r="T116" t="s">
        <v>46</v>
      </c>
      <c r="U116">
        <v>2</v>
      </c>
    </row>
    <row r="117" spans="1:21" x14ac:dyDescent="0.25">
      <c r="A117" s="1">
        <v>46075</v>
      </c>
      <c r="B117" t="s">
        <v>267</v>
      </c>
      <c r="C117" t="s">
        <v>176</v>
      </c>
      <c r="D117" t="s">
        <v>56</v>
      </c>
      <c r="E117" t="s">
        <v>57</v>
      </c>
      <c r="F117" t="s">
        <v>26</v>
      </c>
      <c r="G117" t="s">
        <v>27</v>
      </c>
      <c r="H117" t="s">
        <v>68</v>
      </c>
      <c r="I117" t="s">
        <v>65</v>
      </c>
      <c r="J117" s="2">
        <v>1</v>
      </c>
      <c r="K117" s="3">
        <v>1304.56</v>
      </c>
      <c r="L117" s="3">
        <v>800.6</v>
      </c>
      <c r="M117" s="4">
        <v>3.6200000000000003E-2</v>
      </c>
      <c r="N117" s="3">
        <f t="shared" si="5"/>
        <v>1304.56</v>
      </c>
      <c r="O117" s="3">
        <f t="shared" si="6"/>
        <v>1257.33</v>
      </c>
      <c r="P117" s="3">
        <f t="shared" si="7"/>
        <v>800.6</v>
      </c>
      <c r="Q117" s="3">
        <f t="shared" si="8"/>
        <v>456.73</v>
      </c>
      <c r="R117" s="4">
        <f t="shared" si="9"/>
        <v>0.36330000000000001</v>
      </c>
      <c r="S117" s="2">
        <v>9</v>
      </c>
      <c r="T117" t="s">
        <v>46</v>
      </c>
      <c r="U117">
        <v>4</v>
      </c>
    </row>
    <row r="118" spans="1:21" x14ac:dyDescent="0.25">
      <c r="A118" s="1">
        <v>46129</v>
      </c>
      <c r="B118" t="s">
        <v>268</v>
      </c>
      <c r="C118" t="s">
        <v>174</v>
      </c>
      <c r="D118" t="s">
        <v>43</v>
      </c>
      <c r="E118" t="s">
        <v>25</v>
      </c>
      <c r="F118" t="s">
        <v>58</v>
      </c>
      <c r="G118" t="s">
        <v>51</v>
      </c>
      <c r="H118" t="s">
        <v>116</v>
      </c>
      <c r="I118" t="s">
        <v>94</v>
      </c>
      <c r="J118" s="2">
        <v>2</v>
      </c>
      <c r="K118" s="3">
        <v>2671.06</v>
      </c>
      <c r="L118" s="3">
        <v>1804.83</v>
      </c>
      <c r="M118" s="4">
        <v>0.14149999999999999</v>
      </c>
      <c r="N118" s="3">
        <f t="shared" si="5"/>
        <v>5342.12</v>
      </c>
      <c r="O118" s="3">
        <f t="shared" si="6"/>
        <v>4586.21</v>
      </c>
      <c r="P118" s="3">
        <f t="shared" si="7"/>
        <v>3609.66</v>
      </c>
      <c r="Q118" s="3">
        <f t="shared" si="8"/>
        <v>976.55</v>
      </c>
      <c r="R118" s="4">
        <f t="shared" si="9"/>
        <v>0.21290000000000001</v>
      </c>
      <c r="S118" s="2">
        <v>14</v>
      </c>
      <c r="T118" t="s">
        <v>30</v>
      </c>
      <c r="U118">
        <v>2</v>
      </c>
    </row>
    <row r="119" spans="1:21" x14ac:dyDescent="0.25">
      <c r="A119" s="1">
        <v>46195</v>
      </c>
      <c r="B119" t="s">
        <v>269</v>
      </c>
      <c r="C119" t="s">
        <v>266</v>
      </c>
      <c r="D119" t="s">
        <v>43</v>
      </c>
      <c r="E119" t="s">
        <v>25</v>
      </c>
      <c r="F119" t="s">
        <v>64</v>
      </c>
      <c r="G119" t="s">
        <v>51</v>
      </c>
      <c r="H119" t="s">
        <v>116</v>
      </c>
      <c r="I119" t="s">
        <v>92</v>
      </c>
      <c r="J119" s="2">
        <v>1</v>
      </c>
      <c r="K119" s="3">
        <v>2923.94</v>
      </c>
      <c r="L119" s="3">
        <v>1832.24</v>
      </c>
      <c r="M119" s="4">
        <v>2.86E-2</v>
      </c>
      <c r="N119" s="3">
        <f t="shared" si="5"/>
        <v>2923.94</v>
      </c>
      <c r="O119" s="3">
        <f t="shared" si="6"/>
        <v>2840.32</v>
      </c>
      <c r="P119" s="3">
        <f t="shared" si="7"/>
        <v>1832.24</v>
      </c>
      <c r="Q119" s="3">
        <f t="shared" si="8"/>
        <v>1008.08</v>
      </c>
      <c r="R119" s="4">
        <f t="shared" si="9"/>
        <v>0.35489999999999999</v>
      </c>
      <c r="S119" s="2">
        <v>10</v>
      </c>
      <c r="T119" t="s">
        <v>46</v>
      </c>
      <c r="U119">
        <v>4</v>
      </c>
    </row>
    <row r="120" spans="1:21" x14ac:dyDescent="0.25">
      <c r="A120" s="1">
        <v>46039</v>
      </c>
      <c r="B120" t="s">
        <v>270</v>
      </c>
      <c r="C120" t="s">
        <v>271</v>
      </c>
      <c r="D120" t="s">
        <v>63</v>
      </c>
      <c r="E120" t="s">
        <v>35</v>
      </c>
      <c r="F120" t="s">
        <v>36</v>
      </c>
      <c r="G120" t="s">
        <v>44</v>
      </c>
      <c r="H120" t="s">
        <v>73</v>
      </c>
      <c r="I120" t="s">
        <v>94</v>
      </c>
      <c r="J120" s="2">
        <v>2</v>
      </c>
      <c r="K120" s="3">
        <v>1649.47</v>
      </c>
      <c r="L120" s="3">
        <v>1107.97</v>
      </c>
      <c r="M120" s="4">
        <v>9.4E-2</v>
      </c>
      <c r="N120" s="3">
        <f t="shared" si="5"/>
        <v>3298.94</v>
      </c>
      <c r="O120" s="3">
        <f t="shared" si="6"/>
        <v>2988.84</v>
      </c>
      <c r="P120" s="3">
        <f t="shared" si="7"/>
        <v>2215.94</v>
      </c>
      <c r="Q120" s="3">
        <f t="shared" si="8"/>
        <v>772.9</v>
      </c>
      <c r="R120" s="4">
        <f t="shared" si="9"/>
        <v>0.2586</v>
      </c>
      <c r="S120" s="2">
        <v>12</v>
      </c>
      <c r="T120" t="s">
        <v>30</v>
      </c>
      <c r="U120">
        <v>5</v>
      </c>
    </row>
    <row r="121" spans="1:21" x14ac:dyDescent="0.25">
      <c r="A121" s="1">
        <v>46053</v>
      </c>
      <c r="B121" t="s">
        <v>272</v>
      </c>
      <c r="C121" t="s">
        <v>164</v>
      </c>
      <c r="D121" t="s">
        <v>207</v>
      </c>
      <c r="E121" t="s">
        <v>35</v>
      </c>
      <c r="F121" t="s">
        <v>26</v>
      </c>
      <c r="G121" t="s">
        <v>37</v>
      </c>
      <c r="H121" t="s">
        <v>104</v>
      </c>
      <c r="I121" t="s">
        <v>53</v>
      </c>
      <c r="J121" s="2">
        <v>6</v>
      </c>
      <c r="K121" s="3">
        <v>309.88</v>
      </c>
      <c r="L121" s="3">
        <v>139.01</v>
      </c>
      <c r="M121" s="4">
        <v>5.57E-2</v>
      </c>
      <c r="N121" s="3">
        <f t="shared" si="5"/>
        <v>1859.28</v>
      </c>
      <c r="O121" s="3">
        <f t="shared" si="6"/>
        <v>1755.72</v>
      </c>
      <c r="P121" s="3">
        <f t="shared" si="7"/>
        <v>834.06</v>
      </c>
      <c r="Q121" s="3">
        <f t="shared" si="8"/>
        <v>921.66</v>
      </c>
      <c r="R121" s="4">
        <f t="shared" si="9"/>
        <v>0.52490000000000003</v>
      </c>
      <c r="S121" s="2">
        <v>2</v>
      </c>
      <c r="T121" t="s">
        <v>40</v>
      </c>
    </row>
    <row r="122" spans="1:21" x14ac:dyDescent="0.25">
      <c r="A122" s="1">
        <v>46216</v>
      </c>
      <c r="B122" t="s">
        <v>273</v>
      </c>
      <c r="C122" t="s">
        <v>82</v>
      </c>
      <c r="D122" t="s">
        <v>63</v>
      </c>
      <c r="E122" t="s">
        <v>35</v>
      </c>
      <c r="F122" t="s">
        <v>64</v>
      </c>
      <c r="G122" t="s">
        <v>37</v>
      </c>
      <c r="H122" t="s">
        <v>178</v>
      </c>
      <c r="I122" t="s">
        <v>77</v>
      </c>
      <c r="J122" s="2">
        <v>6</v>
      </c>
      <c r="K122" s="3">
        <v>523.97</v>
      </c>
      <c r="L122" s="3">
        <v>236.92</v>
      </c>
      <c r="M122" s="4">
        <v>7.8600000000000003E-2</v>
      </c>
      <c r="N122" s="3">
        <f t="shared" si="5"/>
        <v>3143.82</v>
      </c>
      <c r="O122" s="3">
        <f t="shared" si="6"/>
        <v>2896.72</v>
      </c>
      <c r="P122" s="3">
        <f t="shared" si="7"/>
        <v>1421.52</v>
      </c>
      <c r="Q122" s="3">
        <f t="shared" si="8"/>
        <v>1475.2</v>
      </c>
      <c r="R122" s="4">
        <f t="shared" si="9"/>
        <v>0.50929999999999997</v>
      </c>
      <c r="S122" s="2">
        <v>10</v>
      </c>
      <c r="T122" t="s">
        <v>46</v>
      </c>
      <c r="U122">
        <v>3</v>
      </c>
    </row>
    <row r="123" spans="1:21" x14ac:dyDescent="0.25">
      <c r="A123" s="1">
        <v>46078</v>
      </c>
      <c r="B123" t="s">
        <v>274</v>
      </c>
      <c r="C123" t="s">
        <v>275</v>
      </c>
      <c r="D123" t="s">
        <v>71</v>
      </c>
      <c r="E123" t="s">
        <v>72</v>
      </c>
      <c r="F123" t="s">
        <v>64</v>
      </c>
      <c r="G123" t="s">
        <v>27</v>
      </c>
      <c r="H123" t="s">
        <v>86</v>
      </c>
      <c r="I123" t="s">
        <v>92</v>
      </c>
      <c r="J123" s="2">
        <v>1</v>
      </c>
      <c r="K123" s="3">
        <v>1819.23</v>
      </c>
      <c r="L123" s="3">
        <v>1223.08</v>
      </c>
      <c r="M123" s="4">
        <v>7.3499999999999996E-2</v>
      </c>
      <c r="N123" s="3">
        <f t="shared" si="5"/>
        <v>1819.23</v>
      </c>
      <c r="O123" s="3">
        <f t="shared" si="6"/>
        <v>1685.52</v>
      </c>
      <c r="P123" s="3">
        <f t="shared" si="7"/>
        <v>1223.08</v>
      </c>
      <c r="Q123" s="3">
        <f t="shared" si="8"/>
        <v>462.44</v>
      </c>
      <c r="R123" s="4">
        <f t="shared" si="9"/>
        <v>0.27439999999999998</v>
      </c>
      <c r="S123" s="2">
        <v>13</v>
      </c>
      <c r="T123" t="s">
        <v>30</v>
      </c>
      <c r="U123">
        <v>4</v>
      </c>
    </row>
    <row r="124" spans="1:21" x14ac:dyDescent="0.25">
      <c r="A124" s="1">
        <v>46071</v>
      </c>
      <c r="B124" t="s">
        <v>276</v>
      </c>
      <c r="C124" t="s">
        <v>146</v>
      </c>
      <c r="D124" t="s">
        <v>139</v>
      </c>
      <c r="E124" t="s">
        <v>72</v>
      </c>
      <c r="F124" t="s">
        <v>26</v>
      </c>
      <c r="G124" t="s">
        <v>44</v>
      </c>
      <c r="H124" t="s">
        <v>124</v>
      </c>
      <c r="I124" t="s">
        <v>92</v>
      </c>
      <c r="J124" s="2">
        <v>6</v>
      </c>
      <c r="K124" s="3">
        <v>6023.62</v>
      </c>
      <c r="L124" s="3">
        <v>4339.6499999999996</v>
      </c>
      <c r="M124" s="4">
        <v>0</v>
      </c>
      <c r="N124" s="3">
        <f t="shared" si="5"/>
        <v>36141.72</v>
      </c>
      <c r="O124" s="3">
        <f t="shared" si="6"/>
        <v>36141.72</v>
      </c>
      <c r="P124" s="3">
        <f t="shared" si="7"/>
        <v>26037.9</v>
      </c>
      <c r="Q124" s="3">
        <f t="shared" si="8"/>
        <v>10103.82</v>
      </c>
      <c r="R124" s="4">
        <f t="shared" si="9"/>
        <v>0.27960000000000002</v>
      </c>
      <c r="S124" s="2">
        <v>2</v>
      </c>
      <c r="T124" t="s">
        <v>46</v>
      </c>
      <c r="U124">
        <v>4</v>
      </c>
    </row>
    <row r="125" spans="1:21" x14ac:dyDescent="0.25">
      <c r="A125" s="1">
        <v>46066</v>
      </c>
      <c r="B125" t="s">
        <v>277</v>
      </c>
      <c r="C125" t="s">
        <v>148</v>
      </c>
      <c r="D125" t="s">
        <v>139</v>
      </c>
      <c r="E125" t="s">
        <v>72</v>
      </c>
      <c r="F125" t="s">
        <v>64</v>
      </c>
      <c r="G125" t="s">
        <v>44</v>
      </c>
      <c r="H125" t="s">
        <v>124</v>
      </c>
      <c r="I125" t="s">
        <v>53</v>
      </c>
      <c r="J125" s="2">
        <v>5</v>
      </c>
      <c r="K125" s="3">
        <v>5608.17</v>
      </c>
      <c r="L125" s="3">
        <v>4363.88</v>
      </c>
      <c r="M125" s="4">
        <v>6.1999999999999998E-3</v>
      </c>
      <c r="N125" s="3">
        <f t="shared" si="5"/>
        <v>28040.85</v>
      </c>
      <c r="O125" s="3">
        <f t="shared" si="6"/>
        <v>27867</v>
      </c>
      <c r="P125" s="3">
        <f t="shared" si="7"/>
        <v>21819.4</v>
      </c>
      <c r="Q125" s="3">
        <f t="shared" si="8"/>
        <v>6047.6</v>
      </c>
      <c r="R125" s="4">
        <f t="shared" si="9"/>
        <v>0.217</v>
      </c>
      <c r="S125" s="2">
        <v>5</v>
      </c>
      <c r="T125" t="s">
        <v>46</v>
      </c>
      <c r="U125">
        <v>4</v>
      </c>
    </row>
    <row r="126" spans="1:21" x14ac:dyDescent="0.25">
      <c r="A126" s="1">
        <v>46079</v>
      </c>
      <c r="B126" t="s">
        <v>278</v>
      </c>
      <c r="C126" t="s">
        <v>134</v>
      </c>
      <c r="D126" t="s">
        <v>101</v>
      </c>
      <c r="E126" t="s">
        <v>35</v>
      </c>
      <c r="F126" t="s">
        <v>64</v>
      </c>
      <c r="G126" t="s">
        <v>37</v>
      </c>
      <c r="H126" t="s">
        <v>104</v>
      </c>
      <c r="I126" t="s">
        <v>92</v>
      </c>
      <c r="J126" s="2">
        <v>3</v>
      </c>
      <c r="K126" s="3">
        <v>324.35000000000002</v>
      </c>
      <c r="L126" s="3">
        <v>141.04</v>
      </c>
      <c r="M126" s="4">
        <v>5.9400000000000001E-2</v>
      </c>
      <c r="N126" s="3">
        <f t="shared" si="5"/>
        <v>973.05</v>
      </c>
      <c r="O126" s="3">
        <f t="shared" si="6"/>
        <v>915.25</v>
      </c>
      <c r="P126" s="3">
        <f t="shared" si="7"/>
        <v>423.12</v>
      </c>
      <c r="Q126" s="3">
        <f t="shared" si="8"/>
        <v>492.13</v>
      </c>
      <c r="R126" s="4">
        <f t="shared" si="9"/>
        <v>0.53769999999999996</v>
      </c>
      <c r="S126" s="2">
        <v>5</v>
      </c>
      <c r="T126" t="s">
        <v>40</v>
      </c>
    </row>
    <row r="127" spans="1:21" x14ac:dyDescent="0.25">
      <c r="A127" s="1">
        <v>46210</v>
      </c>
      <c r="B127" t="s">
        <v>279</v>
      </c>
      <c r="C127" t="s">
        <v>162</v>
      </c>
      <c r="D127" t="s">
        <v>56</v>
      </c>
      <c r="E127" t="s">
        <v>57</v>
      </c>
      <c r="F127" t="s">
        <v>36</v>
      </c>
      <c r="G127" t="s">
        <v>27</v>
      </c>
      <c r="H127" t="s">
        <v>68</v>
      </c>
      <c r="I127" t="s">
        <v>65</v>
      </c>
      <c r="J127" s="2">
        <v>6</v>
      </c>
      <c r="K127" s="3">
        <v>1267.95</v>
      </c>
      <c r="L127" s="3">
        <v>770.66</v>
      </c>
      <c r="M127" s="4">
        <v>3.3099999999999997E-2</v>
      </c>
      <c r="N127" s="3">
        <f t="shared" si="5"/>
        <v>7607.7</v>
      </c>
      <c r="O127" s="3">
        <f t="shared" si="6"/>
        <v>7355.89</v>
      </c>
      <c r="P127" s="3">
        <f t="shared" si="7"/>
        <v>4623.96</v>
      </c>
      <c r="Q127" s="3">
        <f t="shared" si="8"/>
        <v>2731.93</v>
      </c>
      <c r="R127" s="4">
        <f t="shared" si="9"/>
        <v>0.37140000000000001</v>
      </c>
      <c r="S127" s="2">
        <v>7</v>
      </c>
      <c r="T127" t="s">
        <v>46</v>
      </c>
      <c r="U127">
        <v>3</v>
      </c>
    </row>
    <row r="128" spans="1:21" x14ac:dyDescent="0.25">
      <c r="A128" s="1">
        <v>46125</v>
      </c>
      <c r="B128" t="s">
        <v>280</v>
      </c>
      <c r="C128" t="s">
        <v>231</v>
      </c>
      <c r="D128" t="s">
        <v>97</v>
      </c>
      <c r="E128" t="s">
        <v>57</v>
      </c>
      <c r="F128" t="s">
        <v>26</v>
      </c>
      <c r="G128" t="s">
        <v>51</v>
      </c>
      <c r="H128" t="s">
        <v>59</v>
      </c>
      <c r="I128" t="s">
        <v>53</v>
      </c>
      <c r="J128" s="2">
        <v>7</v>
      </c>
      <c r="K128" s="3">
        <v>2205.35</v>
      </c>
      <c r="L128" s="3">
        <v>1368.74</v>
      </c>
      <c r="M128" s="4">
        <v>3.5000000000000001E-3</v>
      </c>
      <c r="N128" s="3">
        <f t="shared" si="5"/>
        <v>15437.45</v>
      </c>
      <c r="O128" s="3">
        <f t="shared" si="6"/>
        <v>15383.42</v>
      </c>
      <c r="P128" s="3">
        <f t="shared" si="7"/>
        <v>9581.18</v>
      </c>
      <c r="Q128" s="3">
        <f t="shared" si="8"/>
        <v>5802.24</v>
      </c>
      <c r="R128" s="4">
        <f t="shared" si="9"/>
        <v>0.37719999999999998</v>
      </c>
      <c r="S128" s="2">
        <v>11</v>
      </c>
      <c r="T128" t="s">
        <v>30</v>
      </c>
      <c r="U128">
        <v>4</v>
      </c>
    </row>
    <row r="129" spans="1:21" x14ac:dyDescent="0.25">
      <c r="A129" s="1">
        <v>46144</v>
      </c>
      <c r="B129" t="s">
        <v>281</v>
      </c>
      <c r="C129" t="s">
        <v>112</v>
      </c>
      <c r="D129" t="s">
        <v>97</v>
      </c>
      <c r="E129" t="s">
        <v>57</v>
      </c>
      <c r="F129" t="s">
        <v>58</v>
      </c>
      <c r="G129" t="s">
        <v>51</v>
      </c>
      <c r="H129" t="s">
        <v>116</v>
      </c>
      <c r="I129" t="s">
        <v>60</v>
      </c>
      <c r="J129" s="2">
        <v>6</v>
      </c>
      <c r="K129" s="3">
        <v>2653.27</v>
      </c>
      <c r="L129" s="3">
        <v>1784.41</v>
      </c>
      <c r="M129" s="4">
        <v>0.14269999999999999</v>
      </c>
      <c r="N129" s="3">
        <f t="shared" si="5"/>
        <v>15919.62</v>
      </c>
      <c r="O129" s="3">
        <f t="shared" si="6"/>
        <v>13647.89</v>
      </c>
      <c r="P129" s="3">
        <f t="shared" si="7"/>
        <v>10706.46</v>
      </c>
      <c r="Q129" s="3">
        <f t="shared" si="8"/>
        <v>2941.43</v>
      </c>
      <c r="R129" s="4">
        <f t="shared" si="9"/>
        <v>0.2155</v>
      </c>
      <c r="S129" s="2">
        <v>10</v>
      </c>
      <c r="T129" t="s">
        <v>46</v>
      </c>
      <c r="U129">
        <v>2</v>
      </c>
    </row>
    <row r="130" spans="1:21" x14ac:dyDescent="0.25">
      <c r="A130" s="1">
        <v>46222</v>
      </c>
      <c r="B130" t="s">
        <v>282</v>
      </c>
      <c r="C130" t="s">
        <v>162</v>
      </c>
      <c r="D130" t="s">
        <v>101</v>
      </c>
      <c r="E130" t="s">
        <v>35</v>
      </c>
      <c r="F130" t="s">
        <v>64</v>
      </c>
      <c r="G130" t="s">
        <v>27</v>
      </c>
      <c r="H130" t="s">
        <v>28</v>
      </c>
      <c r="I130" t="s">
        <v>92</v>
      </c>
      <c r="J130" s="2">
        <v>7</v>
      </c>
      <c r="K130" s="3">
        <v>827.05</v>
      </c>
      <c r="L130" s="3">
        <v>446.69</v>
      </c>
      <c r="M130" s="4">
        <v>0</v>
      </c>
      <c r="N130" s="3">
        <f t="shared" ref="N130:N193" si="10">ROUND(J130*K130,2)</f>
        <v>5789.35</v>
      </c>
      <c r="O130" s="3">
        <f t="shared" ref="O130:O193" si="11">ROUND(N130*(1-M130),2)</f>
        <v>5789.35</v>
      </c>
      <c r="P130" s="3">
        <f t="shared" ref="P130:P193" si="12">ROUND(J130*L130,2)</f>
        <v>3126.83</v>
      </c>
      <c r="Q130" s="3">
        <f t="shared" ref="Q130:Q193" si="13">ROUND(O130-P130,2)</f>
        <v>2662.52</v>
      </c>
      <c r="R130" s="4">
        <f t="shared" ref="R130:R193" si="14">IF(O130=0,0,ROUND(Q130/O130,4))</f>
        <v>0.45989999999999998</v>
      </c>
      <c r="S130" s="2">
        <v>4</v>
      </c>
      <c r="T130" t="s">
        <v>46</v>
      </c>
      <c r="U130">
        <v>5</v>
      </c>
    </row>
    <row r="131" spans="1:21" x14ac:dyDescent="0.25">
      <c r="A131" s="1">
        <v>46206</v>
      </c>
      <c r="B131" t="s">
        <v>283</v>
      </c>
      <c r="C131" t="s">
        <v>284</v>
      </c>
      <c r="D131" t="s">
        <v>85</v>
      </c>
      <c r="E131" t="s">
        <v>50</v>
      </c>
      <c r="F131" t="s">
        <v>26</v>
      </c>
      <c r="G131" t="s">
        <v>37</v>
      </c>
      <c r="H131" t="s">
        <v>104</v>
      </c>
      <c r="I131" t="s">
        <v>29</v>
      </c>
      <c r="J131" s="2">
        <v>6</v>
      </c>
      <c r="K131" s="3">
        <v>316.83999999999997</v>
      </c>
      <c r="L131" s="3">
        <v>137.38</v>
      </c>
      <c r="M131" s="4">
        <v>6.5699999999999995E-2</v>
      </c>
      <c r="N131" s="3">
        <f t="shared" si="10"/>
        <v>1901.04</v>
      </c>
      <c r="O131" s="3">
        <f t="shared" si="11"/>
        <v>1776.14</v>
      </c>
      <c r="P131" s="3">
        <f t="shared" si="12"/>
        <v>824.28</v>
      </c>
      <c r="Q131" s="3">
        <f t="shared" si="13"/>
        <v>951.86</v>
      </c>
      <c r="R131" s="4">
        <f t="shared" si="14"/>
        <v>0.53590000000000004</v>
      </c>
      <c r="S131" s="2">
        <v>8</v>
      </c>
      <c r="T131" t="s">
        <v>46</v>
      </c>
      <c r="U131">
        <v>5</v>
      </c>
    </row>
    <row r="132" spans="1:21" x14ac:dyDescent="0.25">
      <c r="A132" s="1">
        <v>46097</v>
      </c>
      <c r="B132" t="s">
        <v>285</v>
      </c>
      <c r="C132" t="s">
        <v>286</v>
      </c>
      <c r="D132" t="s">
        <v>97</v>
      </c>
      <c r="E132" t="s">
        <v>57</v>
      </c>
      <c r="F132" t="s">
        <v>26</v>
      </c>
      <c r="G132" t="s">
        <v>37</v>
      </c>
      <c r="H132" t="s">
        <v>104</v>
      </c>
      <c r="I132" t="s">
        <v>74</v>
      </c>
      <c r="J132" s="2">
        <v>5</v>
      </c>
      <c r="K132" s="3">
        <v>323.24</v>
      </c>
      <c r="L132" s="3">
        <v>129.97</v>
      </c>
      <c r="M132" s="4">
        <v>0</v>
      </c>
      <c r="N132" s="3">
        <f t="shared" si="10"/>
        <v>1616.2</v>
      </c>
      <c r="O132" s="3">
        <f t="shared" si="11"/>
        <v>1616.2</v>
      </c>
      <c r="P132" s="3">
        <f t="shared" si="12"/>
        <v>649.85</v>
      </c>
      <c r="Q132" s="3">
        <f t="shared" si="13"/>
        <v>966.35</v>
      </c>
      <c r="R132" s="4">
        <f t="shared" si="14"/>
        <v>0.59789999999999999</v>
      </c>
      <c r="S132" s="2">
        <v>5</v>
      </c>
      <c r="T132" t="s">
        <v>40</v>
      </c>
    </row>
    <row r="133" spans="1:21" x14ac:dyDescent="0.25">
      <c r="A133" s="1">
        <v>46120</v>
      </c>
      <c r="B133" t="s">
        <v>287</v>
      </c>
      <c r="C133" t="s">
        <v>288</v>
      </c>
      <c r="D133" t="s">
        <v>71</v>
      </c>
      <c r="E133" t="s">
        <v>72</v>
      </c>
      <c r="F133" t="s">
        <v>64</v>
      </c>
      <c r="G133" t="s">
        <v>37</v>
      </c>
      <c r="H133" t="s">
        <v>104</v>
      </c>
      <c r="I133" t="s">
        <v>53</v>
      </c>
      <c r="J133" s="2">
        <v>5</v>
      </c>
      <c r="K133" s="3">
        <v>318.07</v>
      </c>
      <c r="L133" s="3">
        <v>136.47999999999999</v>
      </c>
      <c r="M133" s="4">
        <v>1.8599999999999998E-2</v>
      </c>
      <c r="N133" s="3">
        <f t="shared" si="10"/>
        <v>1590.35</v>
      </c>
      <c r="O133" s="3">
        <f t="shared" si="11"/>
        <v>1560.77</v>
      </c>
      <c r="P133" s="3">
        <f t="shared" si="12"/>
        <v>682.4</v>
      </c>
      <c r="Q133" s="3">
        <f t="shared" si="13"/>
        <v>878.37</v>
      </c>
      <c r="R133" s="4">
        <f t="shared" si="14"/>
        <v>0.56279999999999997</v>
      </c>
      <c r="S133" s="2">
        <v>14</v>
      </c>
      <c r="T133" t="s">
        <v>30</v>
      </c>
      <c r="U133">
        <v>2</v>
      </c>
    </row>
    <row r="134" spans="1:21" x14ac:dyDescent="0.25">
      <c r="A134" s="1">
        <v>46174</v>
      </c>
      <c r="B134" t="s">
        <v>289</v>
      </c>
      <c r="C134" t="s">
        <v>290</v>
      </c>
      <c r="D134" t="s">
        <v>71</v>
      </c>
      <c r="E134" t="s">
        <v>72</v>
      </c>
      <c r="F134" t="s">
        <v>58</v>
      </c>
      <c r="G134" t="s">
        <v>37</v>
      </c>
      <c r="H134" t="s">
        <v>178</v>
      </c>
      <c r="I134" t="s">
        <v>53</v>
      </c>
      <c r="J134" s="2">
        <v>6</v>
      </c>
      <c r="K134" s="3">
        <v>493.49</v>
      </c>
      <c r="L134" s="3">
        <v>250.06</v>
      </c>
      <c r="M134" s="4">
        <v>0.15920000000000001</v>
      </c>
      <c r="N134" s="3">
        <f t="shared" si="10"/>
        <v>2960.94</v>
      </c>
      <c r="O134" s="3">
        <f t="shared" si="11"/>
        <v>2489.56</v>
      </c>
      <c r="P134" s="3">
        <f t="shared" si="12"/>
        <v>1500.36</v>
      </c>
      <c r="Q134" s="3">
        <f t="shared" si="13"/>
        <v>989.2</v>
      </c>
      <c r="R134" s="4">
        <f t="shared" si="14"/>
        <v>0.39729999999999999</v>
      </c>
      <c r="S134" s="2">
        <v>5</v>
      </c>
      <c r="T134" t="s">
        <v>46</v>
      </c>
      <c r="U134">
        <v>4</v>
      </c>
    </row>
    <row r="135" spans="1:21" x14ac:dyDescent="0.25">
      <c r="A135" s="1">
        <v>46048</v>
      </c>
      <c r="B135" t="s">
        <v>291</v>
      </c>
      <c r="C135" t="s">
        <v>211</v>
      </c>
      <c r="D135" t="s">
        <v>139</v>
      </c>
      <c r="E135" t="s">
        <v>72</v>
      </c>
      <c r="F135" t="s">
        <v>64</v>
      </c>
      <c r="G135" t="s">
        <v>44</v>
      </c>
      <c r="H135" t="s">
        <v>45</v>
      </c>
      <c r="I135" t="s">
        <v>87</v>
      </c>
      <c r="J135" s="2">
        <v>6</v>
      </c>
      <c r="K135" s="3">
        <v>399.32</v>
      </c>
      <c r="L135" s="3">
        <v>212.24</v>
      </c>
      <c r="M135" s="4">
        <v>0.1179</v>
      </c>
      <c r="N135" s="3">
        <f t="shared" si="10"/>
        <v>2395.92</v>
      </c>
      <c r="O135" s="3">
        <f t="shared" si="11"/>
        <v>2113.44</v>
      </c>
      <c r="P135" s="3">
        <f t="shared" si="12"/>
        <v>1273.44</v>
      </c>
      <c r="Q135" s="3">
        <f t="shared" si="13"/>
        <v>840</v>
      </c>
      <c r="R135" s="4">
        <f t="shared" si="14"/>
        <v>0.39750000000000002</v>
      </c>
      <c r="S135" s="2">
        <v>10</v>
      </c>
      <c r="T135" t="s">
        <v>46</v>
      </c>
      <c r="U135">
        <v>4</v>
      </c>
    </row>
    <row r="136" spans="1:21" x14ac:dyDescent="0.25">
      <c r="A136" s="1">
        <v>46136</v>
      </c>
      <c r="B136" t="s">
        <v>292</v>
      </c>
      <c r="C136" t="s">
        <v>214</v>
      </c>
      <c r="D136" t="s">
        <v>56</v>
      </c>
      <c r="E136" t="s">
        <v>57</v>
      </c>
      <c r="F136" t="s">
        <v>58</v>
      </c>
      <c r="G136" t="s">
        <v>27</v>
      </c>
      <c r="H136" t="s">
        <v>68</v>
      </c>
      <c r="I136" t="s">
        <v>29</v>
      </c>
      <c r="J136" s="2">
        <v>4</v>
      </c>
      <c r="K136" s="3">
        <v>1215.76</v>
      </c>
      <c r="L136" s="3">
        <v>772.25</v>
      </c>
      <c r="M136" s="4">
        <v>6.9500000000000006E-2</v>
      </c>
      <c r="N136" s="3">
        <f t="shared" si="10"/>
        <v>4863.04</v>
      </c>
      <c r="O136" s="3">
        <f t="shared" si="11"/>
        <v>4525.0600000000004</v>
      </c>
      <c r="P136" s="3">
        <f t="shared" si="12"/>
        <v>3089</v>
      </c>
      <c r="Q136" s="3">
        <f t="shared" si="13"/>
        <v>1436.06</v>
      </c>
      <c r="R136" s="4">
        <f t="shared" si="14"/>
        <v>0.31740000000000002</v>
      </c>
      <c r="S136" s="2">
        <v>11</v>
      </c>
      <c r="T136" t="s">
        <v>30</v>
      </c>
      <c r="U136">
        <v>3</v>
      </c>
    </row>
    <row r="137" spans="1:21" x14ac:dyDescent="0.25">
      <c r="A137" s="1">
        <v>46225</v>
      </c>
      <c r="B137" t="s">
        <v>293</v>
      </c>
      <c r="C137" t="s">
        <v>294</v>
      </c>
      <c r="D137" t="s">
        <v>43</v>
      </c>
      <c r="E137" t="s">
        <v>25</v>
      </c>
      <c r="F137" t="s">
        <v>26</v>
      </c>
      <c r="G137" t="s">
        <v>27</v>
      </c>
      <c r="H137" t="s">
        <v>28</v>
      </c>
      <c r="I137" t="s">
        <v>77</v>
      </c>
      <c r="J137" s="2">
        <v>5</v>
      </c>
      <c r="K137" s="3">
        <v>765.31</v>
      </c>
      <c r="L137" s="3">
        <v>455.12</v>
      </c>
      <c r="M137" s="4">
        <v>0.05</v>
      </c>
      <c r="N137" s="3">
        <f t="shared" si="10"/>
        <v>3826.55</v>
      </c>
      <c r="O137" s="3">
        <f t="shared" si="11"/>
        <v>3635.22</v>
      </c>
      <c r="P137" s="3">
        <f t="shared" si="12"/>
        <v>2275.6</v>
      </c>
      <c r="Q137" s="3">
        <f t="shared" si="13"/>
        <v>1359.62</v>
      </c>
      <c r="R137" s="4">
        <f t="shared" si="14"/>
        <v>0.374</v>
      </c>
      <c r="S137" s="2">
        <v>9</v>
      </c>
      <c r="T137" t="s">
        <v>46</v>
      </c>
      <c r="U137">
        <v>4</v>
      </c>
    </row>
    <row r="138" spans="1:21" x14ac:dyDescent="0.25">
      <c r="A138" s="1">
        <v>46029</v>
      </c>
      <c r="B138" t="s">
        <v>295</v>
      </c>
      <c r="C138" t="s">
        <v>176</v>
      </c>
      <c r="D138" t="s">
        <v>126</v>
      </c>
      <c r="E138" t="s">
        <v>57</v>
      </c>
      <c r="F138" t="s">
        <v>58</v>
      </c>
      <c r="G138" t="s">
        <v>44</v>
      </c>
      <c r="H138" t="s">
        <v>73</v>
      </c>
      <c r="I138" t="s">
        <v>87</v>
      </c>
      <c r="J138" s="2">
        <v>5</v>
      </c>
      <c r="K138" s="3">
        <v>1613.01</v>
      </c>
      <c r="L138" s="3">
        <v>1077.98</v>
      </c>
      <c r="M138" s="4">
        <v>7.9000000000000001E-2</v>
      </c>
      <c r="N138" s="3">
        <f t="shared" si="10"/>
        <v>8065.05</v>
      </c>
      <c r="O138" s="3">
        <f t="shared" si="11"/>
        <v>7427.91</v>
      </c>
      <c r="P138" s="3">
        <f t="shared" si="12"/>
        <v>5389.9</v>
      </c>
      <c r="Q138" s="3">
        <f t="shared" si="13"/>
        <v>2038.01</v>
      </c>
      <c r="R138" s="4">
        <f t="shared" si="14"/>
        <v>0.27439999999999998</v>
      </c>
      <c r="S138" s="2">
        <v>13</v>
      </c>
      <c r="T138" t="s">
        <v>30</v>
      </c>
      <c r="U138">
        <v>5</v>
      </c>
    </row>
    <row r="139" spans="1:21" x14ac:dyDescent="0.25">
      <c r="A139" s="1">
        <v>46222</v>
      </c>
      <c r="B139" t="s">
        <v>296</v>
      </c>
      <c r="C139" t="s">
        <v>297</v>
      </c>
      <c r="D139" t="s">
        <v>49</v>
      </c>
      <c r="E139" t="s">
        <v>50</v>
      </c>
      <c r="F139" t="s">
        <v>64</v>
      </c>
      <c r="G139" t="s">
        <v>51</v>
      </c>
      <c r="H139" t="s">
        <v>52</v>
      </c>
      <c r="I139" t="s">
        <v>60</v>
      </c>
      <c r="J139" s="2">
        <v>5</v>
      </c>
      <c r="K139" s="3">
        <v>264.14</v>
      </c>
      <c r="L139" s="3">
        <v>113.5</v>
      </c>
      <c r="M139" s="4">
        <v>0</v>
      </c>
      <c r="N139" s="3">
        <f t="shared" si="10"/>
        <v>1320.7</v>
      </c>
      <c r="O139" s="3">
        <f t="shared" si="11"/>
        <v>1320.7</v>
      </c>
      <c r="P139" s="3">
        <f t="shared" si="12"/>
        <v>567.5</v>
      </c>
      <c r="Q139" s="3">
        <f t="shared" si="13"/>
        <v>753.2</v>
      </c>
      <c r="R139" s="4">
        <f t="shared" si="14"/>
        <v>0.57030000000000003</v>
      </c>
      <c r="S139" s="2">
        <v>4</v>
      </c>
      <c r="T139" t="s">
        <v>46</v>
      </c>
      <c r="U139">
        <v>3</v>
      </c>
    </row>
    <row r="140" spans="1:21" x14ac:dyDescent="0.25">
      <c r="A140" s="1">
        <v>46209</v>
      </c>
      <c r="B140" t="s">
        <v>298</v>
      </c>
      <c r="C140" t="s">
        <v>166</v>
      </c>
      <c r="D140" t="s">
        <v>139</v>
      </c>
      <c r="E140" t="s">
        <v>72</v>
      </c>
      <c r="F140" t="s">
        <v>64</v>
      </c>
      <c r="G140" t="s">
        <v>37</v>
      </c>
      <c r="H140" t="s">
        <v>178</v>
      </c>
      <c r="I140" t="s">
        <v>60</v>
      </c>
      <c r="J140" s="2">
        <v>5</v>
      </c>
      <c r="K140" s="3">
        <v>518.75</v>
      </c>
      <c r="L140" s="3">
        <v>244.88</v>
      </c>
      <c r="M140" s="4">
        <v>0</v>
      </c>
      <c r="N140" s="3">
        <f t="shared" si="10"/>
        <v>2593.75</v>
      </c>
      <c r="O140" s="3">
        <f t="shared" si="11"/>
        <v>2593.75</v>
      </c>
      <c r="P140" s="3">
        <f t="shared" si="12"/>
        <v>1224.4000000000001</v>
      </c>
      <c r="Q140" s="3">
        <f t="shared" si="13"/>
        <v>1369.35</v>
      </c>
      <c r="R140" s="4">
        <f t="shared" si="14"/>
        <v>0.52790000000000004</v>
      </c>
      <c r="S140" s="2">
        <v>13</v>
      </c>
      <c r="T140" t="s">
        <v>30</v>
      </c>
      <c r="U140">
        <v>2</v>
      </c>
    </row>
    <row r="141" spans="1:21" x14ac:dyDescent="0.25">
      <c r="A141" s="1">
        <v>46164</v>
      </c>
      <c r="B141" t="s">
        <v>299</v>
      </c>
      <c r="C141" t="s">
        <v>253</v>
      </c>
      <c r="D141" t="s">
        <v>71</v>
      </c>
      <c r="E141" t="s">
        <v>72</v>
      </c>
      <c r="F141" t="s">
        <v>58</v>
      </c>
      <c r="G141" t="s">
        <v>51</v>
      </c>
      <c r="H141" t="s">
        <v>116</v>
      </c>
      <c r="I141" t="s">
        <v>39</v>
      </c>
      <c r="J141" s="2">
        <v>8</v>
      </c>
      <c r="K141" s="3">
        <v>2935.07</v>
      </c>
      <c r="L141" s="3">
        <v>1829</v>
      </c>
      <c r="M141" s="4">
        <v>0.1469</v>
      </c>
      <c r="N141" s="3">
        <f t="shared" si="10"/>
        <v>23480.560000000001</v>
      </c>
      <c r="O141" s="3">
        <f t="shared" si="11"/>
        <v>20031.27</v>
      </c>
      <c r="P141" s="3">
        <f t="shared" si="12"/>
        <v>14632</v>
      </c>
      <c r="Q141" s="3">
        <f t="shared" si="13"/>
        <v>5399.27</v>
      </c>
      <c r="R141" s="4">
        <f t="shared" si="14"/>
        <v>0.26950000000000002</v>
      </c>
      <c r="S141" s="2">
        <v>6</v>
      </c>
      <c r="T141" t="s">
        <v>46</v>
      </c>
      <c r="U141">
        <v>4</v>
      </c>
    </row>
    <row r="142" spans="1:21" x14ac:dyDescent="0.25">
      <c r="A142" s="1">
        <v>46153</v>
      </c>
      <c r="B142" t="s">
        <v>300</v>
      </c>
      <c r="C142" t="s">
        <v>235</v>
      </c>
      <c r="D142" t="s">
        <v>126</v>
      </c>
      <c r="E142" t="s">
        <v>57</v>
      </c>
      <c r="F142" t="s">
        <v>64</v>
      </c>
      <c r="G142" t="s">
        <v>37</v>
      </c>
      <c r="H142" t="s">
        <v>104</v>
      </c>
      <c r="I142" t="s">
        <v>87</v>
      </c>
      <c r="J142" s="2">
        <v>3</v>
      </c>
      <c r="K142" s="3">
        <v>312.91000000000003</v>
      </c>
      <c r="L142" s="3">
        <v>138.09</v>
      </c>
      <c r="M142" s="4">
        <v>0</v>
      </c>
      <c r="N142" s="3">
        <f t="shared" si="10"/>
        <v>938.73</v>
      </c>
      <c r="O142" s="3">
        <f t="shared" si="11"/>
        <v>938.73</v>
      </c>
      <c r="P142" s="3">
        <f t="shared" si="12"/>
        <v>414.27</v>
      </c>
      <c r="Q142" s="3">
        <f t="shared" si="13"/>
        <v>524.46</v>
      </c>
      <c r="R142" s="4">
        <f t="shared" si="14"/>
        <v>0.55869999999999997</v>
      </c>
      <c r="S142" s="2">
        <v>13</v>
      </c>
      <c r="T142" t="s">
        <v>30</v>
      </c>
      <c r="U142">
        <v>5</v>
      </c>
    </row>
    <row r="143" spans="1:21" x14ac:dyDescent="0.25">
      <c r="A143" s="1">
        <v>46186</v>
      </c>
      <c r="B143" t="s">
        <v>301</v>
      </c>
      <c r="C143" t="s">
        <v>218</v>
      </c>
      <c r="D143" t="s">
        <v>121</v>
      </c>
      <c r="E143" t="s">
        <v>72</v>
      </c>
      <c r="F143" t="s">
        <v>26</v>
      </c>
      <c r="G143" t="s">
        <v>27</v>
      </c>
      <c r="H143" t="s">
        <v>86</v>
      </c>
      <c r="I143" t="s">
        <v>74</v>
      </c>
      <c r="J143" s="2">
        <v>1</v>
      </c>
      <c r="K143" s="3">
        <v>1926.88</v>
      </c>
      <c r="L143" s="3">
        <v>1284.82</v>
      </c>
      <c r="M143" s="4">
        <v>0.1192</v>
      </c>
      <c r="N143" s="3">
        <f t="shared" si="10"/>
        <v>1926.88</v>
      </c>
      <c r="O143" s="3">
        <f t="shared" si="11"/>
        <v>1697.2</v>
      </c>
      <c r="P143" s="3">
        <f t="shared" si="12"/>
        <v>1284.82</v>
      </c>
      <c r="Q143" s="3">
        <f t="shared" si="13"/>
        <v>412.38</v>
      </c>
      <c r="R143" s="4">
        <f t="shared" si="14"/>
        <v>0.24299999999999999</v>
      </c>
      <c r="S143" s="2">
        <v>13</v>
      </c>
      <c r="T143" t="s">
        <v>30</v>
      </c>
      <c r="U143">
        <v>3</v>
      </c>
    </row>
    <row r="144" spans="1:21" x14ac:dyDescent="0.25">
      <c r="A144" s="1">
        <v>46066</v>
      </c>
      <c r="B144" t="s">
        <v>302</v>
      </c>
      <c r="C144" t="s">
        <v>174</v>
      </c>
      <c r="D144" t="s">
        <v>49</v>
      </c>
      <c r="E144" t="s">
        <v>50</v>
      </c>
      <c r="F144" t="s">
        <v>64</v>
      </c>
      <c r="G144" t="s">
        <v>44</v>
      </c>
      <c r="H144" t="s">
        <v>73</v>
      </c>
      <c r="I144" t="s">
        <v>74</v>
      </c>
      <c r="J144" s="2">
        <v>7</v>
      </c>
      <c r="K144" s="3">
        <v>1757.64</v>
      </c>
      <c r="L144" s="3">
        <v>1085.33</v>
      </c>
      <c r="M144" s="4">
        <v>0</v>
      </c>
      <c r="N144" s="3">
        <f t="shared" si="10"/>
        <v>12303.48</v>
      </c>
      <c r="O144" s="3">
        <f t="shared" si="11"/>
        <v>12303.48</v>
      </c>
      <c r="P144" s="3">
        <f t="shared" si="12"/>
        <v>7597.31</v>
      </c>
      <c r="Q144" s="3">
        <f t="shared" si="13"/>
        <v>4706.17</v>
      </c>
      <c r="R144" s="4">
        <f t="shared" si="14"/>
        <v>0.38250000000000001</v>
      </c>
      <c r="S144" s="2">
        <v>14</v>
      </c>
      <c r="T144" t="s">
        <v>30</v>
      </c>
      <c r="U144">
        <v>3</v>
      </c>
    </row>
    <row r="145" spans="1:22" x14ac:dyDescent="0.25">
      <c r="A145" s="1">
        <v>46233</v>
      </c>
      <c r="B145" t="s">
        <v>303</v>
      </c>
      <c r="C145" t="s">
        <v>187</v>
      </c>
      <c r="D145" t="s">
        <v>85</v>
      </c>
      <c r="E145" t="s">
        <v>50</v>
      </c>
      <c r="F145" t="s">
        <v>36</v>
      </c>
      <c r="G145" t="s">
        <v>51</v>
      </c>
      <c r="H145" t="s">
        <v>116</v>
      </c>
      <c r="I145" t="s">
        <v>60</v>
      </c>
      <c r="J145" s="2">
        <v>6</v>
      </c>
      <c r="K145" s="3">
        <v>2701.82</v>
      </c>
      <c r="L145" s="3">
        <v>1804.74</v>
      </c>
      <c r="M145" s="4">
        <v>5.5599999999999997E-2</v>
      </c>
      <c r="N145" s="3">
        <f t="shared" si="10"/>
        <v>16210.92</v>
      </c>
      <c r="O145" s="3">
        <f t="shared" si="11"/>
        <v>15309.59</v>
      </c>
      <c r="P145" s="3">
        <f t="shared" si="12"/>
        <v>10828.44</v>
      </c>
      <c r="Q145" s="3">
        <f t="shared" si="13"/>
        <v>4481.1499999999996</v>
      </c>
      <c r="R145" s="4">
        <f t="shared" si="14"/>
        <v>0.29270000000000002</v>
      </c>
      <c r="S145" s="2">
        <v>7</v>
      </c>
      <c r="T145" t="s">
        <v>46</v>
      </c>
      <c r="U145">
        <v>3</v>
      </c>
    </row>
    <row r="146" spans="1:22" x14ac:dyDescent="0.25">
      <c r="A146" s="1">
        <v>46221</v>
      </c>
      <c r="B146" t="s">
        <v>304</v>
      </c>
      <c r="C146" t="s">
        <v>48</v>
      </c>
      <c r="D146" t="s">
        <v>71</v>
      </c>
      <c r="E146" t="s">
        <v>72</v>
      </c>
      <c r="F146" t="s">
        <v>64</v>
      </c>
      <c r="G146" t="s">
        <v>37</v>
      </c>
      <c r="H146" t="s">
        <v>104</v>
      </c>
      <c r="I146" t="s">
        <v>39</v>
      </c>
      <c r="J146" s="2">
        <v>2</v>
      </c>
      <c r="K146" s="3">
        <v>322.18</v>
      </c>
      <c r="L146" s="3">
        <v>145.59</v>
      </c>
      <c r="M146" s="4">
        <v>7.3499999999999996E-2</v>
      </c>
      <c r="N146" s="3">
        <f t="shared" si="10"/>
        <v>644.36</v>
      </c>
      <c r="O146" s="3">
        <f t="shared" si="11"/>
        <v>597</v>
      </c>
      <c r="P146" s="3">
        <f t="shared" si="12"/>
        <v>291.18</v>
      </c>
      <c r="Q146" s="3">
        <f t="shared" si="13"/>
        <v>305.82</v>
      </c>
      <c r="R146" s="4">
        <f t="shared" si="14"/>
        <v>0.51229999999999998</v>
      </c>
      <c r="S146" s="2">
        <v>14</v>
      </c>
      <c r="T146" t="s">
        <v>30</v>
      </c>
      <c r="U146">
        <v>5</v>
      </c>
    </row>
    <row r="147" spans="1:22" x14ac:dyDescent="0.25">
      <c r="A147" s="1">
        <v>46131</v>
      </c>
      <c r="B147" t="s">
        <v>305</v>
      </c>
      <c r="C147" t="s">
        <v>201</v>
      </c>
      <c r="D147" t="s">
        <v>71</v>
      </c>
      <c r="E147" t="s">
        <v>72</v>
      </c>
      <c r="F147" t="s">
        <v>64</v>
      </c>
      <c r="G147" t="s">
        <v>37</v>
      </c>
      <c r="H147" t="s">
        <v>104</v>
      </c>
      <c r="I147" t="s">
        <v>29</v>
      </c>
      <c r="J147" s="2">
        <v>5</v>
      </c>
      <c r="K147" s="3">
        <v>334.4</v>
      </c>
      <c r="L147" s="3">
        <v>142.53</v>
      </c>
      <c r="M147" s="4">
        <v>0.11260000000000001</v>
      </c>
      <c r="N147" s="3">
        <f t="shared" si="10"/>
        <v>1672</v>
      </c>
      <c r="O147" s="3">
        <f t="shared" si="11"/>
        <v>1483.73</v>
      </c>
      <c r="P147" s="3">
        <f t="shared" si="12"/>
        <v>712.65</v>
      </c>
      <c r="Q147" s="3">
        <f t="shared" si="13"/>
        <v>771.08</v>
      </c>
      <c r="R147" s="4">
        <f t="shared" si="14"/>
        <v>0.51970000000000005</v>
      </c>
      <c r="S147" s="2">
        <v>9</v>
      </c>
      <c r="T147" t="s">
        <v>46</v>
      </c>
      <c r="U147">
        <v>5</v>
      </c>
    </row>
    <row r="148" spans="1:22" x14ac:dyDescent="0.25">
      <c r="A148" s="1">
        <v>46130</v>
      </c>
      <c r="B148" t="s">
        <v>306</v>
      </c>
      <c r="C148" t="s">
        <v>220</v>
      </c>
      <c r="D148" t="s">
        <v>121</v>
      </c>
      <c r="E148" t="s">
        <v>72</v>
      </c>
      <c r="F148" t="s">
        <v>26</v>
      </c>
      <c r="G148" t="s">
        <v>27</v>
      </c>
      <c r="H148" t="s">
        <v>68</v>
      </c>
      <c r="I148" t="s">
        <v>60</v>
      </c>
      <c r="J148" s="2">
        <v>5</v>
      </c>
      <c r="K148" s="3">
        <v>1332.5</v>
      </c>
      <c r="L148" s="3">
        <v>796.12</v>
      </c>
      <c r="M148" s="4">
        <v>9.9099999999999994E-2</v>
      </c>
      <c r="N148" s="3">
        <f t="shared" si="10"/>
        <v>6662.5</v>
      </c>
      <c r="O148" s="3">
        <f t="shared" si="11"/>
        <v>6002.25</v>
      </c>
      <c r="P148" s="3">
        <f t="shared" si="12"/>
        <v>3980.6</v>
      </c>
      <c r="Q148" s="3">
        <f t="shared" si="13"/>
        <v>2021.65</v>
      </c>
      <c r="R148" s="4">
        <f t="shared" si="14"/>
        <v>0.33679999999999999</v>
      </c>
      <c r="S148" s="2">
        <v>32</v>
      </c>
      <c r="T148" t="s">
        <v>30</v>
      </c>
      <c r="U148">
        <v>2</v>
      </c>
      <c r="V148" t="s">
        <v>208</v>
      </c>
    </row>
    <row r="149" spans="1:22" x14ac:dyDescent="0.25">
      <c r="A149" s="1">
        <v>46131</v>
      </c>
      <c r="B149" t="s">
        <v>307</v>
      </c>
      <c r="C149" t="s">
        <v>308</v>
      </c>
      <c r="D149" t="s">
        <v>43</v>
      </c>
      <c r="E149" t="s">
        <v>25</v>
      </c>
      <c r="F149" t="s">
        <v>58</v>
      </c>
      <c r="G149" t="s">
        <v>37</v>
      </c>
      <c r="H149" t="s">
        <v>104</v>
      </c>
      <c r="I149" t="s">
        <v>74</v>
      </c>
      <c r="J149" s="2">
        <v>6</v>
      </c>
      <c r="K149" s="3">
        <v>302.08999999999997</v>
      </c>
      <c r="L149" s="3">
        <v>142.07</v>
      </c>
      <c r="M149" s="4">
        <v>0.15540000000000001</v>
      </c>
      <c r="N149" s="3">
        <f t="shared" si="10"/>
        <v>1812.54</v>
      </c>
      <c r="O149" s="3">
        <f t="shared" si="11"/>
        <v>1530.87</v>
      </c>
      <c r="P149" s="3">
        <f t="shared" si="12"/>
        <v>852.42</v>
      </c>
      <c r="Q149" s="3">
        <f t="shared" si="13"/>
        <v>678.45</v>
      </c>
      <c r="R149" s="4">
        <f t="shared" si="14"/>
        <v>0.44319999999999998</v>
      </c>
      <c r="S149" s="2">
        <v>13</v>
      </c>
      <c r="T149" t="s">
        <v>30</v>
      </c>
      <c r="U149">
        <v>3</v>
      </c>
    </row>
    <row r="150" spans="1:22" x14ac:dyDescent="0.25">
      <c r="A150" s="1">
        <v>46050</v>
      </c>
      <c r="B150" t="s">
        <v>309</v>
      </c>
      <c r="C150" t="s">
        <v>218</v>
      </c>
      <c r="D150" t="s">
        <v>97</v>
      </c>
      <c r="E150" t="s">
        <v>57</v>
      </c>
      <c r="F150" t="s">
        <v>64</v>
      </c>
      <c r="G150" t="s">
        <v>37</v>
      </c>
      <c r="H150" t="s">
        <v>104</v>
      </c>
      <c r="I150" t="s">
        <v>74</v>
      </c>
      <c r="J150" s="2">
        <v>5</v>
      </c>
      <c r="K150" s="3">
        <v>303.41000000000003</v>
      </c>
      <c r="L150" s="3">
        <v>135.29</v>
      </c>
      <c r="M150" s="4">
        <v>0</v>
      </c>
      <c r="N150" s="3">
        <f t="shared" si="10"/>
        <v>1517.05</v>
      </c>
      <c r="O150" s="3">
        <f t="shared" si="11"/>
        <v>1517.05</v>
      </c>
      <c r="P150" s="3">
        <f t="shared" si="12"/>
        <v>676.45</v>
      </c>
      <c r="Q150" s="3">
        <f t="shared" si="13"/>
        <v>840.6</v>
      </c>
      <c r="R150" s="4">
        <f t="shared" si="14"/>
        <v>0.55410000000000004</v>
      </c>
      <c r="S150" s="2">
        <v>14</v>
      </c>
      <c r="T150" t="s">
        <v>30</v>
      </c>
      <c r="U150">
        <v>4</v>
      </c>
    </row>
    <row r="151" spans="1:22" x14ac:dyDescent="0.25">
      <c r="A151" s="1">
        <v>46090</v>
      </c>
      <c r="B151" t="s">
        <v>310</v>
      </c>
      <c r="C151" t="s">
        <v>89</v>
      </c>
      <c r="D151" t="s">
        <v>24</v>
      </c>
      <c r="E151" t="s">
        <v>25</v>
      </c>
      <c r="F151" t="s">
        <v>36</v>
      </c>
      <c r="G151" t="s">
        <v>37</v>
      </c>
      <c r="H151" t="s">
        <v>104</v>
      </c>
      <c r="I151" t="s">
        <v>74</v>
      </c>
      <c r="J151" s="2">
        <v>8</v>
      </c>
      <c r="K151" s="3">
        <v>301.35000000000002</v>
      </c>
      <c r="L151" s="3">
        <v>137.38</v>
      </c>
      <c r="M151" s="4">
        <v>0</v>
      </c>
      <c r="N151" s="3">
        <f t="shared" si="10"/>
        <v>2410.8000000000002</v>
      </c>
      <c r="O151" s="3">
        <f t="shared" si="11"/>
        <v>2410.8000000000002</v>
      </c>
      <c r="P151" s="3">
        <f t="shared" si="12"/>
        <v>1099.04</v>
      </c>
      <c r="Q151" s="3">
        <f t="shared" si="13"/>
        <v>1311.76</v>
      </c>
      <c r="R151" s="4">
        <f t="shared" si="14"/>
        <v>0.54410000000000003</v>
      </c>
      <c r="S151" s="2">
        <v>9</v>
      </c>
      <c r="T151" t="s">
        <v>46</v>
      </c>
      <c r="U151">
        <v>3</v>
      </c>
    </row>
    <row r="152" spans="1:22" x14ac:dyDescent="0.25">
      <c r="A152" s="1">
        <v>46125</v>
      </c>
      <c r="B152" t="s">
        <v>311</v>
      </c>
      <c r="C152" t="s">
        <v>218</v>
      </c>
      <c r="D152" t="s">
        <v>71</v>
      </c>
      <c r="E152" t="s">
        <v>72</v>
      </c>
      <c r="F152" t="s">
        <v>26</v>
      </c>
      <c r="G152" t="s">
        <v>27</v>
      </c>
      <c r="H152" t="s">
        <v>68</v>
      </c>
      <c r="I152" t="s">
        <v>53</v>
      </c>
      <c r="J152" s="2">
        <v>6</v>
      </c>
      <c r="K152" s="3">
        <v>1342.93</v>
      </c>
      <c r="L152" s="3">
        <v>823.15</v>
      </c>
      <c r="M152" s="4">
        <v>8.3999999999999995E-3</v>
      </c>
      <c r="N152" s="3">
        <f t="shared" si="10"/>
        <v>8057.58</v>
      </c>
      <c r="O152" s="3">
        <f t="shared" si="11"/>
        <v>7989.9</v>
      </c>
      <c r="P152" s="3">
        <f t="shared" si="12"/>
        <v>4938.8999999999996</v>
      </c>
      <c r="Q152" s="3">
        <f t="shared" si="13"/>
        <v>3051</v>
      </c>
      <c r="R152" s="4">
        <f t="shared" si="14"/>
        <v>0.38190000000000002</v>
      </c>
      <c r="S152" s="2">
        <v>7</v>
      </c>
      <c r="T152" t="s">
        <v>46</v>
      </c>
      <c r="U152">
        <v>5</v>
      </c>
    </row>
    <row r="153" spans="1:22" x14ac:dyDescent="0.25">
      <c r="A153" s="1">
        <v>46110</v>
      </c>
      <c r="B153" t="s">
        <v>312</v>
      </c>
      <c r="C153" t="s">
        <v>82</v>
      </c>
      <c r="D153" t="s">
        <v>85</v>
      </c>
      <c r="E153" t="s">
        <v>50</v>
      </c>
      <c r="F153" t="s">
        <v>58</v>
      </c>
      <c r="G153" t="s">
        <v>51</v>
      </c>
      <c r="H153" t="s">
        <v>52</v>
      </c>
      <c r="I153" t="s">
        <v>29</v>
      </c>
      <c r="J153" s="2">
        <v>7</v>
      </c>
      <c r="K153" s="3">
        <v>262.31</v>
      </c>
      <c r="L153" s="3">
        <v>121.28</v>
      </c>
      <c r="M153" s="4">
        <v>3.5000000000000003E-2</v>
      </c>
      <c r="N153" s="3">
        <f t="shared" si="10"/>
        <v>1836.17</v>
      </c>
      <c r="O153" s="3">
        <f t="shared" si="11"/>
        <v>1771.9</v>
      </c>
      <c r="P153" s="3">
        <f t="shared" si="12"/>
        <v>848.96</v>
      </c>
      <c r="Q153" s="3">
        <f t="shared" si="13"/>
        <v>922.94</v>
      </c>
      <c r="R153" s="4">
        <f t="shared" si="14"/>
        <v>0.52090000000000003</v>
      </c>
      <c r="S153" s="2">
        <v>11</v>
      </c>
      <c r="T153" t="s">
        <v>30</v>
      </c>
      <c r="U153">
        <v>5</v>
      </c>
    </row>
    <row r="154" spans="1:22" x14ac:dyDescent="0.25">
      <c r="A154" s="1">
        <v>46171</v>
      </c>
      <c r="B154" t="s">
        <v>313</v>
      </c>
      <c r="C154" t="s">
        <v>240</v>
      </c>
      <c r="D154" t="s">
        <v>71</v>
      </c>
      <c r="E154" t="s">
        <v>72</v>
      </c>
      <c r="F154" t="s">
        <v>36</v>
      </c>
      <c r="G154" t="s">
        <v>27</v>
      </c>
      <c r="H154" t="s">
        <v>28</v>
      </c>
      <c r="I154" t="s">
        <v>60</v>
      </c>
      <c r="J154" s="2">
        <v>7</v>
      </c>
      <c r="K154" s="3">
        <v>813.59</v>
      </c>
      <c r="L154" s="3">
        <v>476.27</v>
      </c>
      <c r="M154" s="4">
        <v>2.5499999999999998E-2</v>
      </c>
      <c r="N154" s="3">
        <f t="shared" si="10"/>
        <v>5695.13</v>
      </c>
      <c r="O154" s="3">
        <f t="shared" si="11"/>
        <v>5549.9</v>
      </c>
      <c r="P154" s="3">
        <f t="shared" si="12"/>
        <v>3333.89</v>
      </c>
      <c r="Q154" s="3">
        <f t="shared" si="13"/>
        <v>2216.0100000000002</v>
      </c>
      <c r="R154" s="4">
        <f t="shared" si="14"/>
        <v>0.39929999999999999</v>
      </c>
      <c r="S154" s="2">
        <v>10</v>
      </c>
      <c r="T154" t="s">
        <v>46</v>
      </c>
      <c r="U154">
        <v>4</v>
      </c>
    </row>
    <row r="155" spans="1:22" x14ac:dyDescent="0.25">
      <c r="A155" s="1">
        <v>46213</v>
      </c>
      <c r="B155" t="s">
        <v>314</v>
      </c>
      <c r="C155" t="s">
        <v>315</v>
      </c>
      <c r="D155" t="s">
        <v>121</v>
      </c>
      <c r="E155" t="s">
        <v>72</v>
      </c>
      <c r="F155" t="s">
        <v>36</v>
      </c>
      <c r="G155" t="s">
        <v>44</v>
      </c>
      <c r="H155" t="s">
        <v>124</v>
      </c>
      <c r="I155" t="s">
        <v>77</v>
      </c>
      <c r="J155" s="2">
        <v>2</v>
      </c>
      <c r="K155" s="3">
        <v>5566.59</v>
      </c>
      <c r="L155" s="3">
        <v>4469.05</v>
      </c>
      <c r="M155" s="4">
        <v>8.0000000000000004E-4</v>
      </c>
      <c r="N155" s="3">
        <f t="shared" si="10"/>
        <v>11133.18</v>
      </c>
      <c r="O155" s="3">
        <f t="shared" si="11"/>
        <v>11124.27</v>
      </c>
      <c r="P155" s="3">
        <f t="shared" si="12"/>
        <v>8938.1</v>
      </c>
      <c r="Q155" s="3">
        <f t="shared" si="13"/>
        <v>2186.17</v>
      </c>
      <c r="R155" s="4">
        <f t="shared" si="14"/>
        <v>0.19650000000000001</v>
      </c>
      <c r="S155" s="2">
        <v>2</v>
      </c>
      <c r="T155" t="s">
        <v>46</v>
      </c>
      <c r="U155">
        <v>3</v>
      </c>
    </row>
    <row r="156" spans="1:22" x14ac:dyDescent="0.25">
      <c r="A156" s="1">
        <v>46040</v>
      </c>
      <c r="B156" t="s">
        <v>316</v>
      </c>
      <c r="C156" t="s">
        <v>317</v>
      </c>
      <c r="D156" t="s">
        <v>63</v>
      </c>
      <c r="E156" t="s">
        <v>35</v>
      </c>
      <c r="F156" t="s">
        <v>58</v>
      </c>
      <c r="G156" t="s">
        <v>51</v>
      </c>
      <c r="H156" t="s">
        <v>59</v>
      </c>
      <c r="I156" t="s">
        <v>92</v>
      </c>
      <c r="J156" s="2">
        <v>2</v>
      </c>
      <c r="K156" s="3">
        <v>2075.7800000000002</v>
      </c>
      <c r="L156" s="3">
        <v>1373.1</v>
      </c>
      <c r="M156" s="4">
        <v>5.04E-2</v>
      </c>
      <c r="N156" s="3">
        <f t="shared" si="10"/>
        <v>4151.5600000000004</v>
      </c>
      <c r="O156" s="3">
        <f t="shared" si="11"/>
        <v>3942.32</v>
      </c>
      <c r="P156" s="3">
        <f t="shared" si="12"/>
        <v>2746.2</v>
      </c>
      <c r="Q156" s="3">
        <f t="shared" si="13"/>
        <v>1196.1199999999999</v>
      </c>
      <c r="R156" s="4">
        <f t="shared" si="14"/>
        <v>0.3034</v>
      </c>
      <c r="S156" s="2">
        <v>9</v>
      </c>
      <c r="T156" t="s">
        <v>46</v>
      </c>
      <c r="U156">
        <v>2</v>
      </c>
    </row>
    <row r="157" spans="1:22" x14ac:dyDescent="0.25">
      <c r="A157" s="1">
        <v>46202</v>
      </c>
      <c r="B157" t="s">
        <v>318</v>
      </c>
      <c r="C157" t="s">
        <v>106</v>
      </c>
      <c r="D157" t="s">
        <v>126</v>
      </c>
      <c r="E157" t="s">
        <v>57</v>
      </c>
      <c r="F157" t="s">
        <v>36</v>
      </c>
      <c r="G157" t="s">
        <v>27</v>
      </c>
      <c r="H157" t="s">
        <v>86</v>
      </c>
      <c r="I157" t="s">
        <v>29</v>
      </c>
      <c r="J157" s="2">
        <v>8</v>
      </c>
      <c r="K157" s="3">
        <v>1844.26</v>
      </c>
      <c r="L157" s="3">
        <v>1183.0899999999999</v>
      </c>
      <c r="M157" s="4">
        <v>0</v>
      </c>
      <c r="N157" s="3">
        <f t="shared" si="10"/>
        <v>14754.08</v>
      </c>
      <c r="O157" s="3">
        <f t="shared" si="11"/>
        <v>14754.08</v>
      </c>
      <c r="P157" s="3">
        <f t="shared" si="12"/>
        <v>9464.7199999999993</v>
      </c>
      <c r="Q157" s="3">
        <f t="shared" si="13"/>
        <v>5289.36</v>
      </c>
      <c r="R157" s="4">
        <f t="shared" si="14"/>
        <v>0.35849999999999999</v>
      </c>
      <c r="S157" s="2">
        <v>12</v>
      </c>
      <c r="T157" t="s">
        <v>30</v>
      </c>
      <c r="U157">
        <v>3</v>
      </c>
    </row>
    <row r="158" spans="1:22" x14ac:dyDescent="0.25">
      <c r="A158" s="1">
        <v>46107</v>
      </c>
      <c r="B158" t="s">
        <v>319</v>
      </c>
      <c r="C158" t="s">
        <v>89</v>
      </c>
      <c r="D158" t="s">
        <v>113</v>
      </c>
      <c r="E158" t="s">
        <v>50</v>
      </c>
      <c r="F158" t="s">
        <v>64</v>
      </c>
      <c r="G158" t="s">
        <v>27</v>
      </c>
      <c r="H158" t="s">
        <v>86</v>
      </c>
      <c r="I158" t="s">
        <v>87</v>
      </c>
      <c r="J158" s="2">
        <v>3</v>
      </c>
      <c r="K158" s="3">
        <v>1875.52</v>
      </c>
      <c r="L158" s="3">
        <v>1189.51</v>
      </c>
      <c r="M158" s="4">
        <v>0</v>
      </c>
      <c r="N158" s="3">
        <f t="shared" si="10"/>
        <v>5626.56</v>
      </c>
      <c r="O158" s="3">
        <f t="shared" si="11"/>
        <v>5626.56</v>
      </c>
      <c r="P158" s="3">
        <f t="shared" si="12"/>
        <v>3568.53</v>
      </c>
      <c r="Q158" s="3">
        <f t="shared" si="13"/>
        <v>2058.0300000000002</v>
      </c>
      <c r="R158" s="4">
        <f t="shared" si="14"/>
        <v>0.36580000000000001</v>
      </c>
      <c r="S158" s="2">
        <v>13</v>
      </c>
      <c r="T158" t="s">
        <v>30</v>
      </c>
      <c r="U158">
        <v>4</v>
      </c>
    </row>
    <row r="159" spans="1:22" x14ac:dyDescent="0.25">
      <c r="A159" s="1">
        <v>46142</v>
      </c>
      <c r="B159" t="s">
        <v>320</v>
      </c>
      <c r="C159" t="s">
        <v>321</v>
      </c>
      <c r="D159" t="s">
        <v>139</v>
      </c>
      <c r="E159" t="s">
        <v>72</v>
      </c>
      <c r="F159" t="s">
        <v>36</v>
      </c>
      <c r="G159" t="s">
        <v>51</v>
      </c>
      <c r="H159" t="s">
        <v>59</v>
      </c>
      <c r="I159" t="s">
        <v>92</v>
      </c>
      <c r="J159" s="2">
        <v>5</v>
      </c>
      <c r="K159" s="3">
        <v>2177.85</v>
      </c>
      <c r="L159" s="3">
        <v>1477.84</v>
      </c>
      <c r="M159" s="4">
        <v>0.1171</v>
      </c>
      <c r="N159" s="3">
        <f t="shared" si="10"/>
        <v>10889.25</v>
      </c>
      <c r="O159" s="3">
        <f t="shared" si="11"/>
        <v>9614.1200000000008</v>
      </c>
      <c r="P159" s="3">
        <f t="shared" si="12"/>
        <v>7389.2</v>
      </c>
      <c r="Q159" s="3">
        <f t="shared" si="13"/>
        <v>2224.92</v>
      </c>
      <c r="R159" s="4">
        <f t="shared" si="14"/>
        <v>0.23139999999999999</v>
      </c>
      <c r="S159" s="2">
        <v>10</v>
      </c>
      <c r="T159" t="s">
        <v>46</v>
      </c>
      <c r="U159">
        <v>4</v>
      </c>
    </row>
    <row r="160" spans="1:22" x14ac:dyDescent="0.25">
      <c r="A160" s="1">
        <v>46138</v>
      </c>
      <c r="B160" t="s">
        <v>322</v>
      </c>
      <c r="C160" t="s">
        <v>164</v>
      </c>
      <c r="D160" t="s">
        <v>49</v>
      </c>
      <c r="E160" t="s">
        <v>50</v>
      </c>
      <c r="F160" t="s">
        <v>64</v>
      </c>
      <c r="G160" t="s">
        <v>44</v>
      </c>
      <c r="H160" t="s">
        <v>124</v>
      </c>
      <c r="I160" t="s">
        <v>77</v>
      </c>
      <c r="J160" s="2">
        <v>2</v>
      </c>
      <c r="K160" s="3">
        <v>6095.58</v>
      </c>
      <c r="L160" s="3">
        <v>4533.33</v>
      </c>
      <c r="M160" s="4">
        <v>0</v>
      </c>
      <c r="N160" s="3">
        <f t="shared" si="10"/>
        <v>12191.16</v>
      </c>
      <c r="O160" s="3">
        <f t="shared" si="11"/>
        <v>12191.16</v>
      </c>
      <c r="P160" s="3">
        <f t="shared" si="12"/>
        <v>9066.66</v>
      </c>
      <c r="Q160" s="3">
        <f t="shared" si="13"/>
        <v>3124.5</v>
      </c>
      <c r="R160" s="4">
        <f t="shared" si="14"/>
        <v>0.25629999999999997</v>
      </c>
      <c r="S160" s="2">
        <v>4</v>
      </c>
      <c r="T160" t="s">
        <v>46</v>
      </c>
      <c r="U160">
        <v>3</v>
      </c>
    </row>
    <row r="161" spans="1:21" x14ac:dyDescent="0.25">
      <c r="A161" s="1">
        <v>46173</v>
      </c>
      <c r="B161" t="s">
        <v>323</v>
      </c>
      <c r="C161" t="s">
        <v>155</v>
      </c>
      <c r="D161" t="s">
        <v>71</v>
      </c>
      <c r="E161" t="s">
        <v>72</v>
      </c>
      <c r="F161" t="s">
        <v>26</v>
      </c>
      <c r="G161" t="s">
        <v>44</v>
      </c>
      <c r="H161" t="s">
        <v>45</v>
      </c>
      <c r="I161" t="s">
        <v>39</v>
      </c>
      <c r="J161" s="2">
        <v>2</v>
      </c>
      <c r="K161" s="3">
        <v>393.85</v>
      </c>
      <c r="L161" s="3">
        <v>224.74</v>
      </c>
      <c r="M161" s="4">
        <v>1.43E-2</v>
      </c>
      <c r="N161" s="3">
        <f t="shared" si="10"/>
        <v>787.7</v>
      </c>
      <c r="O161" s="3">
        <f t="shared" si="11"/>
        <v>776.44</v>
      </c>
      <c r="P161" s="3">
        <f t="shared" si="12"/>
        <v>449.48</v>
      </c>
      <c r="Q161" s="3">
        <f t="shared" si="13"/>
        <v>326.95999999999998</v>
      </c>
      <c r="R161" s="4">
        <f t="shared" si="14"/>
        <v>0.42109999999999997</v>
      </c>
      <c r="S161" s="2">
        <v>12</v>
      </c>
      <c r="T161" t="s">
        <v>30</v>
      </c>
      <c r="U161">
        <v>2</v>
      </c>
    </row>
    <row r="162" spans="1:21" x14ac:dyDescent="0.25">
      <c r="A162" s="1">
        <v>46221</v>
      </c>
      <c r="B162" t="s">
        <v>324</v>
      </c>
      <c r="C162" t="s">
        <v>231</v>
      </c>
      <c r="D162" t="s">
        <v>71</v>
      </c>
      <c r="E162" t="s">
        <v>72</v>
      </c>
      <c r="F162" t="s">
        <v>58</v>
      </c>
      <c r="G162" t="s">
        <v>27</v>
      </c>
      <c r="H162" t="s">
        <v>28</v>
      </c>
      <c r="I162" t="s">
        <v>87</v>
      </c>
      <c r="J162" s="2">
        <v>6</v>
      </c>
      <c r="K162" s="3">
        <v>820.47</v>
      </c>
      <c r="L162" s="3">
        <v>489.24</v>
      </c>
      <c r="M162" s="4">
        <v>3.5000000000000003E-2</v>
      </c>
      <c r="N162" s="3">
        <f t="shared" si="10"/>
        <v>4922.82</v>
      </c>
      <c r="O162" s="3">
        <f t="shared" si="11"/>
        <v>4750.5200000000004</v>
      </c>
      <c r="P162" s="3">
        <f t="shared" si="12"/>
        <v>2935.44</v>
      </c>
      <c r="Q162" s="3">
        <f t="shared" si="13"/>
        <v>1815.08</v>
      </c>
      <c r="R162" s="4">
        <f t="shared" si="14"/>
        <v>0.3821</v>
      </c>
      <c r="S162" s="2">
        <v>5</v>
      </c>
      <c r="T162" t="s">
        <v>46</v>
      </c>
      <c r="U162">
        <v>4</v>
      </c>
    </row>
    <row r="163" spans="1:21" x14ac:dyDescent="0.25">
      <c r="A163" s="1">
        <v>46131</v>
      </c>
      <c r="B163" t="s">
        <v>325</v>
      </c>
      <c r="C163" t="s">
        <v>297</v>
      </c>
      <c r="D163" t="s">
        <v>85</v>
      </c>
      <c r="E163" t="s">
        <v>50</v>
      </c>
      <c r="F163" t="s">
        <v>64</v>
      </c>
      <c r="G163" t="s">
        <v>44</v>
      </c>
      <c r="H163" t="s">
        <v>45</v>
      </c>
      <c r="I163" t="s">
        <v>74</v>
      </c>
      <c r="J163" s="2">
        <v>8</v>
      </c>
      <c r="K163" s="3">
        <v>388.41</v>
      </c>
      <c r="L163" s="3">
        <v>215.68</v>
      </c>
      <c r="M163" s="4">
        <v>0</v>
      </c>
      <c r="N163" s="3">
        <f t="shared" si="10"/>
        <v>3107.28</v>
      </c>
      <c r="O163" s="3">
        <f t="shared" si="11"/>
        <v>3107.28</v>
      </c>
      <c r="P163" s="3">
        <f t="shared" si="12"/>
        <v>1725.44</v>
      </c>
      <c r="Q163" s="3">
        <f t="shared" si="13"/>
        <v>1381.84</v>
      </c>
      <c r="R163" s="4">
        <f t="shared" si="14"/>
        <v>0.44469999999999998</v>
      </c>
      <c r="S163" s="2">
        <v>3</v>
      </c>
      <c r="T163" t="s">
        <v>46</v>
      </c>
      <c r="U163">
        <v>4</v>
      </c>
    </row>
    <row r="164" spans="1:21" x14ac:dyDescent="0.25">
      <c r="A164" s="1">
        <v>46229</v>
      </c>
      <c r="B164" t="s">
        <v>326</v>
      </c>
      <c r="C164" t="s">
        <v>247</v>
      </c>
      <c r="D164" t="s">
        <v>49</v>
      </c>
      <c r="E164" t="s">
        <v>50</v>
      </c>
      <c r="F164" t="s">
        <v>26</v>
      </c>
      <c r="G164" t="s">
        <v>44</v>
      </c>
      <c r="H164" t="s">
        <v>73</v>
      </c>
      <c r="I164" t="s">
        <v>94</v>
      </c>
      <c r="J164" s="2">
        <v>7</v>
      </c>
      <c r="K164" s="3">
        <v>1690.12</v>
      </c>
      <c r="L164" s="3">
        <v>1104.03</v>
      </c>
      <c r="M164" s="4">
        <v>0</v>
      </c>
      <c r="N164" s="3">
        <f t="shared" si="10"/>
        <v>11830.84</v>
      </c>
      <c r="O164" s="3">
        <f t="shared" si="11"/>
        <v>11830.84</v>
      </c>
      <c r="P164" s="3">
        <f t="shared" si="12"/>
        <v>7728.21</v>
      </c>
      <c r="Q164" s="3">
        <f t="shared" si="13"/>
        <v>4102.63</v>
      </c>
      <c r="R164" s="4">
        <f t="shared" si="14"/>
        <v>0.3468</v>
      </c>
      <c r="S164" s="2">
        <v>11</v>
      </c>
      <c r="T164" t="s">
        <v>30</v>
      </c>
      <c r="U164">
        <v>3</v>
      </c>
    </row>
    <row r="165" spans="1:21" x14ac:dyDescent="0.25">
      <c r="A165" s="1">
        <v>46065</v>
      </c>
      <c r="B165" t="s">
        <v>327</v>
      </c>
      <c r="C165" t="s">
        <v>112</v>
      </c>
      <c r="D165" t="s">
        <v>207</v>
      </c>
      <c r="E165" t="s">
        <v>35</v>
      </c>
      <c r="F165" t="s">
        <v>26</v>
      </c>
      <c r="G165" t="s">
        <v>44</v>
      </c>
      <c r="H165" t="s">
        <v>73</v>
      </c>
      <c r="I165" t="s">
        <v>29</v>
      </c>
      <c r="J165" s="2">
        <v>7</v>
      </c>
      <c r="K165" s="3">
        <v>1786.82</v>
      </c>
      <c r="L165" s="3">
        <v>1115.3599999999999</v>
      </c>
      <c r="M165" s="4">
        <v>0</v>
      </c>
      <c r="N165" s="3">
        <f t="shared" si="10"/>
        <v>12507.74</v>
      </c>
      <c r="O165" s="3">
        <f t="shared" si="11"/>
        <v>12507.74</v>
      </c>
      <c r="P165" s="3">
        <f t="shared" si="12"/>
        <v>7807.52</v>
      </c>
      <c r="Q165" s="3">
        <f t="shared" si="13"/>
        <v>4700.22</v>
      </c>
      <c r="R165" s="4">
        <f t="shared" si="14"/>
        <v>0.37580000000000002</v>
      </c>
      <c r="S165" s="2">
        <v>4</v>
      </c>
      <c r="T165" t="s">
        <v>46</v>
      </c>
      <c r="U165">
        <v>4</v>
      </c>
    </row>
    <row r="166" spans="1:21" x14ac:dyDescent="0.25">
      <c r="A166" s="1">
        <v>46229</v>
      </c>
      <c r="B166" t="s">
        <v>328</v>
      </c>
      <c r="C166" t="s">
        <v>329</v>
      </c>
      <c r="D166" t="s">
        <v>126</v>
      </c>
      <c r="E166" t="s">
        <v>57</v>
      </c>
      <c r="F166" t="s">
        <v>36</v>
      </c>
      <c r="G166" t="s">
        <v>44</v>
      </c>
      <c r="H166" t="s">
        <v>73</v>
      </c>
      <c r="I166" t="s">
        <v>92</v>
      </c>
      <c r="J166" s="2">
        <v>4</v>
      </c>
      <c r="K166" s="3">
        <v>1590.99</v>
      </c>
      <c r="L166" s="3">
        <v>1044.79</v>
      </c>
      <c r="M166" s="4">
        <v>0</v>
      </c>
      <c r="N166" s="3">
        <f t="shared" si="10"/>
        <v>6363.96</v>
      </c>
      <c r="O166" s="3">
        <f t="shared" si="11"/>
        <v>6363.96</v>
      </c>
      <c r="P166" s="3">
        <f t="shared" si="12"/>
        <v>4179.16</v>
      </c>
      <c r="Q166" s="3">
        <f t="shared" si="13"/>
        <v>2184.8000000000002</v>
      </c>
      <c r="R166" s="4">
        <f t="shared" si="14"/>
        <v>0.34329999999999999</v>
      </c>
      <c r="S166" s="2">
        <v>8</v>
      </c>
      <c r="T166" t="s">
        <v>46</v>
      </c>
      <c r="U166">
        <v>2</v>
      </c>
    </row>
    <row r="167" spans="1:21" x14ac:dyDescent="0.25">
      <c r="A167" s="1">
        <v>46084</v>
      </c>
      <c r="B167" t="s">
        <v>330</v>
      </c>
      <c r="C167" t="s">
        <v>331</v>
      </c>
      <c r="D167" t="s">
        <v>56</v>
      </c>
      <c r="E167" t="s">
        <v>57</v>
      </c>
      <c r="F167" t="s">
        <v>36</v>
      </c>
      <c r="G167" t="s">
        <v>51</v>
      </c>
      <c r="H167" t="s">
        <v>59</v>
      </c>
      <c r="I167" t="s">
        <v>29</v>
      </c>
      <c r="J167" s="2">
        <v>8</v>
      </c>
      <c r="K167" s="3">
        <v>2317.5300000000002</v>
      </c>
      <c r="L167" s="3">
        <v>1472.03</v>
      </c>
      <c r="M167" s="4">
        <v>0</v>
      </c>
      <c r="N167" s="3">
        <f t="shared" si="10"/>
        <v>18540.240000000002</v>
      </c>
      <c r="O167" s="3">
        <f t="shared" si="11"/>
        <v>18540.240000000002</v>
      </c>
      <c r="P167" s="3">
        <f t="shared" si="12"/>
        <v>11776.24</v>
      </c>
      <c r="Q167" s="3">
        <f t="shared" si="13"/>
        <v>6764</v>
      </c>
      <c r="R167" s="4">
        <f t="shared" si="14"/>
        <v>0.36480000000000001</v>
      </c>
      <c r="S167" s="2">
        <v>3</v>
      </c>
      <c r="T167" t="s">
        <v>46</v>
      </c>
      <c r="U167">
        <v>2</v>
      </c>
    </row>
    <row r="168" spans="1:21" x14ac:dyDescent="0.25">
      <c r="A168" s="1">
        <v>46036</v>
      </c>
      <c r="B168" t="s">
        <v>332</v>
      </c>
      <c r="C168" t="s">
        <v>174</v>
      </c>
      <c r="D168" t="s">
        <v>85</v>
      </c>
      <c r="E168" t="s">
        <v>50</v>
      </c>
      <c r="F168" t="s">
        <v>64</v>
      </c>
      <c r="G168" t="s">
        <v>44</v>
      </c>
      <c r="H168" t="s">
        <v>45</v>
      </c>
      <c r="I168" t="s">
        <v>74</v>
      </c>
      <c r="J168" s="2">
        <v>8</v>
      </c>
      <c r="K168" s="3">
        <v>400.64</v>
      </c>
      <c r="L168" s="3">
        <v>208.78</v>
      </c>
      <c r="M168" s="4">
        <v>0.10059999999999999</v>
      </c>
      <c r="N168" s="3">
        <f t="shared" si="10"/>
        <v>3205.12</v>
      </c>
      <c r="O168" s="3">
        <f t="shared" si="11"/>
        <v>2882.68</v>
      </c>
      <c r="P168" s="3">
        <f t="shared" si="12"/>
        <v>1670.24</v>
      </c>
      <c r="Q168" s="3">
        <f t="shared" si="13"/>
        <v>1212.44</v>
      </c>
      <c r="R168" s="4">
        <f t="shared" si="14"/>
        <v>0.42059999999999997</v>
      </c>
      <c r="S168" s="2">
        <v>13</v>
      </c>
      <c r="T168" t="s">
        <v>30</v>
      </c>
      <c r="U168">
        <v>5</v>
      </c>
    </row>
    <row r="169" spans="1:21" x14ac:dyDescent="0.25">
      <c r="A169" s="1">
        <v>46232</v>
      </c>
      <c r="B169" t="s">
        <v>333</v>
      </c>
      <c r="C169" t="s">
        <v>110</v>
      </c>
      <c r="D169" t="s">
        <v>24</v>
      </c>
      <c r="E169" t="s">
        <v>25</v>
      </c>
      <c r="F169" t="s">
        <v>64</v>
      </c>
      <c r="G169" t="s">
        <v>27</v>
      </c>
      <c r="H169" t="s">
        <v>28</v>
      </c>
      <c r="I169" t="s">
        <v>65</v>
      </c>
      <c r="J169" s="2">
        <v>5</v>
      </c>
      <c r="K169" s="3">
        <v>826.83</v>
      </c>
      <c r="L169" s="3">
        <v>480.97</v>
      </c>
      <c r="M169" s="4">
        <v>0.1139</v>
      </c>
      <c r="N169" s="3">
        <f t="shared" si="10"/>
        <v>4134.1499999999996</v>
      </c>
      <c r="O169" s="3">
        <f t="shared" si="11"/>
        <v>3663.27</v>
      </c>
      <c r="P169" s="3">
        <f t="shared" si="12"/>
        <v>2404.85</v>
      </c>
      <c r="Q169" s="3">
        <f t="shared" si="13"/>
        <v>1258.42</v>
      </c>
      <c r="R169" s="4">
        <f t="shared" si="14"/>
        <v>0.34350000000000003</v>
      </c>
      <c r="S169" s="2">
        <v>3</v>
      </c>
      <c r="T169" t="s">
        <v>46</v>
      </c>
      <c r="U169">
        <v>4</v>
      </c>
    </row>
    <row r="170" spans="1:21" x14ac:dyDescent="0.25">
      <c r="A170" s="1">
        <v>46032</v>
      </c>
      <c r="B170" t="s">
        <v>334</v>
      </c>
      <c r="C170" t="s">
        <v>266</v>
      </c>
      <c r="D170" t="s">
        <v>85</v>
      </c>
      <c r="E170" t="s">
        <v>50</v>
      </c>
      <c r="F170" t="s">
        <v>58</v>
      </c>
      <c r="G170" t="s">
        <v>44</v>
      </c>
      <c r="H170" t="s">
        <v>73</v>
      </c>
      <c r="I170" t="s">
        <v>29</v>
      </c>
      <c r="J170" s="2">
        <v>4</v>
      </c>
      <c r="K170" s="3">
        <v>1775.98</v>
      </c>
      <c r="L170" s="3">
        <v>1063.53</v>
      </c>
      <c r="M170" s="4">
        <v>3.5000000000000003E-2</v>
      </c>
      <c r="N170" s="3">
        <f t="shared" si="10"/>
        <v>7103.92</v>
      </c>
      <c r="O170" s="3">
        <f t="shared" si="11"/>
        <v>6855.28</v>
      </c>
      <c r="P170" s="3">
        <f t="shared" si="12"/>
        <v>4254.12</v>
      </c>
      <c r="Q170" s="3">
        <f t="shared" si="13"/>
        <v>2601.16</v>
      </c>
      <c r="R170" s="4">
        <f t="shared" si="14"/>
        <v>0.37940000000000002</v>
      </c>
      <c r="S170" s="2">
        <v>11</v>
      </c>
      <c r="T170" t="s">
        <v>30</v>
      </c>
      <c r="U170">
        <v>2</v>
      </c>
    </row>
    <row r="171" spans="1:21" x14ac:dyDescent="0.25">
      <c r="A171" s="1">
        <v>46125</v>
      </c>
      <c r="B171" t="s">
        <v>335</v>
      </c>
      <c r="C171" t="s">
        <v>336</v>
      </c>
      <c r="D171" t="s">
        <v>43</v>
      </c>
      <c r="E171" t="s">
        <v>25</v>
      </c>
      <c r="F171" t="s">
        <v>58</v>
      </c>
      <c r="G171" t="s">
        <v>27</v>
      </c>
      <c r="H171" t="s">
        <v>86</v>
      </c>
      <c r="I171" t="s">
        <v>77</v>
      </c>
      <c r="J171" s="2">
        <v>2</v>
      </c>
      <c r="K171" s="3">
        <v>1970.79</v>
      </c>
      <c r="L171" s="3">
        <v>1249.7</v>
      </c>
      <c r="M171" s="4">
        <v>0.14460000000000001</v>
      </c>
      <c r="N171" s="3">
        <f t="shared" si="10"/>
        <v>3941.58</v>
      </c>
      <c r="O171" s="3">
        <f t="shared" si="11"/>
        <v>3371.63</v>
      </c>
      <c r="P171" s="3">
        <f t="shared" si="12"/>
        <v>2499.4</v>
      </c>
      <c r="Q171" s="3">
        <f t="shared" si="13"/>
        <v>872.23</v>
      </c>
      <c r="R171" s="4">
        <f t="shared" si="14"/>
        <v>0.25869999999999999</v>
      </c>
      <c r="S171" s="2">
        <v>4</v>
      </c>
      <c r="T171" t="s">
        <v>46</v>
      </c>
      <c r="U171">
        <v>3</v>
      </c>
    </row>
    <row r="172" spans="1:21" x14ac:dyDescent="0.25">
      <c r="A172" s="1">
        <v>46232</v>
      </c>
      <c r="B172" t="s">
        <v>337</v>
      </c>
      <c r="C172" t="s">
        <v>164</v>
      </c>
      <c r="D172" t="s">
        <v>43</v>
      </c>
      <c r="E172" t="s">
        <v>25</v>
      </c>
      <c r="F172" t="s">
        <v>26</v>
      </c>
      <c r="G172" t="s">
        <v>44</v>
      </c>
      <c r="H172" t="s">
        <v>124</v>
      </c>
      <c r="I172" t="s">
        <v>65</v>
      </c>
      <c r="J172" s="2">
        <v>7</v>
      </c>
      <c r="K172" s="3">
        <v>6152.24</v>
      </c>
      <c r="L172" s="3">
        <v>4398.93</v>
      </c>
      <c r="M172" s="4">
        <v>2.3E-3</v>
      </c>
      <c r="N172" s="3">
        <f t="shared" si="10"/>
        <v>43065.68</v>
      </c>
      <c r="O172" s="3">
        <f t="shared" si="11"/>
        <v>42966.63</v>
      </c>
      <c r="P172" s="3">
        <f t="shared" si="12"/>
        <v>30792.51</v>
      </c>
      <c r="Q172" s="3">
        <f t="shared" si="13"/>
        <v>12174.12</v>
      </c>
      <c r="R172" s="4">
        <f t="shared" si="14"/>
        <v>0.2833</v>
      </c>
      <c r="S172" s="2">
        <v>2</v>
      </c>
      <c r="T172" t="s">
        <v>46</v>
      </c>
      <c r="U172">
        <v>3</v>
      </c>
    </row>
    <row r="173" spans="1:21" x14ac:dyDescent="0.25">
      <c r="A173" s="1">
        <v>46155</v>
      </c>
      <c r="B173" t="s">
        <v>338</v>
      </c>
      <c r="C173" t="s">
        <v>224</v>
      </c>
      <c r="D173" t="s">
        <v>71</v>
      </c>
      <c r="E173" t="s">
        <v>72</v>
      </c>
      <c r="F173" t="s">
        <v>36</v>
      </c>
      <c r="G173" t="s">
        <v>44</v>
      </c>
      <c r="H173" t="s">
        <v>45</v>
      </c>
      <c r="I173" t="s">
        <v>94</v>
      </c>
      <c r="J173" s="2">
        <v>3</v>
      </c>
      <c r="K173" s="3">
        <v>367.77</v>
      </c>
      <c r="L173" s="3">
        <v>215.06</v>
      </c>
      <c r="M173" s="4">
        <v>3.3999999999999998E-3</v>
      </c>
      <c r="N173" s="3">
        <f t="shared" si="10"/>
        <v>1103.31</v>
      </c>
      <c r="O173" s="3">
        <f t="shared" si="11"/>
        <v>1099.56</v>
      </c>
      <c r="P173" s="3">
        <f t="shared" si="12"/>
        <v>645.17999999999995</v>
      </c>
      <c r="Q173" s="3">
        <f t="shared" si="13"/>
        <v>454.38</v>
      </c>
      <c r="R173" s="4">
        <f t="shared" si="14"/>
        <v>0.41320000000000001</v>
      </c>
      <c r="S173" s="2">
        <v>4</v>
      </c>
      <c r="T173" t="s">
        <v>46</v>
      </c>
      <c r="U173">
        <v>4</v>
      </c>
    </row>
    <row r="174" spans="1:21" x14ac:dyDescent="0.25">
      <c r="A174" s="1">
        <v>46147</v>
      </c>
      <c r="B174" t="s">
        <v>339</v>
      </c>
      <c r="C174" t="s">
        <v>321</v>
      </c>
      <c r="D174" t="s">
        <v>63</v>
      </c>
      <c r="E174" t="s">
        <v>35</v>
      </c>
      <c r="F174" t="s">
        <v>26</v>
      </c>
      <c r="G174" t="s">
        <v>44</v>
      </c>
      <c r="H174" t="s">
        <v>45</v>
      </c>
      <c r="I174" t="s">
        <v>87</v>
      </c>
      <c r="J174" s="2">
        <v>6</v>
      </c>
      <c r="K174" s="3">
        <v>376.8</v>
      </c>
      <c r="L174" s="3">
        <v>214.91</v>
      </c>
      <c r="M174" s="4">
        <v>0</v>
      </c>
      <c r="N174" s="3">
        <f t="shared" si="10"/>
        <v>2260.8000000000002</v>
      </c>
      <c r="O174" s="3">
        <f t="shared" si="11"/>
        <v>2260.8000000000002</v>
      </c>
      <c r="P174" s="3">
        <f t="shared" si="12"/>
        <v>1289.46</v>
      </c>
      <c r="Q174" s="3">
        <f t="shared" si="13"/>
        <v>971.34</v>
      </c>
      <c r="R174" s="4">
        <f t="shared" si="14"/>
        <v>0.42959999999999998</v>
      </c>
      <c r="S174" s="2">
        <v>3</v>
      </c>
      <c r="T174" t="s">
        <v>46</v>
      </c>
      <c r="U174">
        <v>3</v>
      </c>
    </row>
    <row r="175" spans="1:21" x14ac:dyDescent="0.25">
      <c r="A175" s="1">
        <v>46194</v>
      </c>
      <c r="B175" t="s">
        <v>340</v>
      </c>
      <c r="C175" t="s">
        <v>82</v>
      </c>
      <c r="D175" t="s">
        <v>24</v>
      </c>
      <c r="E175" t="s">
        <v>25</v>
      </c>
      <c r="F175" t="s">
        <v>36</v>
      </c>
      <c r="G175" t="s">
        <v>37</v>
      </c>
      <c r="H175" t="s">
        <v>104</v>
      </c>
      <c r="I175" t="s">
        <v>74</v>
      </c>
      <c r="J175" s="2">
        <v>2</v>
      </c>
      <c r="K175" s="3">
        <v>317.63</v>
      </c>
      <c r="L175" s="3">
        <v>140.85</v>
      </c>
      <c r="M175" s="4">
        <v>0</v>
      </c>
      <c r="N175" s="3">
        <f t="shared" si="10"/>
        <v>635.26</v>
      </c>
      <c r="O175" s="3">
        <f t="shared" si="11"/>
        <v>635.26</v>
      </c>
      <c r="P175" s="3">
        <f t="shared" si="12"/>
        <v>281.7</v>
      </c>
      <c r="Q175" s="3">
        <f t="shared" si="13"/>
        <v>353.56</v>
      </c>
      <c r="R175" s="4">
        <f t="shared" si="14"/>
        <v>0.55659999999999998</v>
      </c>
      <c r="S175" s="2">
        <v>11</v>
      </c>
      <c r="T175" t="s">
        <v>30</v>
      </c>
      <c r="U175">
        <v>4</v>
      </c>
    </row>
    <row r="176" spans="1:21" x14ac:dyDescent="0.25">
      <c r="A176" s="1">
        <v>46099</v>
      </c>
      <c r="B176" t="s">
        <v>341</v>
      </c>
      <c r="C176" t="s">
        <v>23</v>
      </c>
      <c r="D176" t="s">
        <v>56</v>
      </c>
      <c r="E176" t="s">
        <v>57</v>
      </c>
      <c r="F176" t="s">
        <v>26</v>
      </c>
      <c r="G176" t="s">
        <v>27</v>
      </c>
      <c r="H176" t="s">
        <v>28</v>
      </c>
      <c r="I176" t="s">
        <v>77</v>
      </c>
      <c r="J176" s="2">
        <v>8</v>
      </c>
      <c r="K176" s="3">
        <v>748.56</v>
      </c>
      <c r="L176" s="3">
        <v>444.03</v>
      </c>
      <c r="M176" s="4">
        <v>4.0500000000000001E-2</v>
      </c>
      <c r="N176" s="3">
        <f t="shared" si="10"/>
        <v>5988.48</v>
      </c>
      <c r="O176" s="3">
        <f t="shared" si="11"/>
        <v>5745.95</v>
      </c>
      <c r="P176" s="3">
        <f t="shared" si="12"/>
        <v>3552.24</v>
      </c>
      <c r="Q176" s="3">
        <f t="shared" si="13"/>
        <v>2193.71</v>
      </c>
      <c r="R176" s="4">
        <f t="shared" si="14"/>
        <v>0.38179999999999997</v>
      </c>
      <c r="S176" s="2">
        <v>8</v>
      </c>
      <c r="T176" t="s">
        <v>46</v>
      </c>
      <c r="U176">
        <v>5</v>
      </c>
    </row>
    <row r="177" spans="1:21" x14ac:dyDescent="0.25">
      <c r="A177" s="1">
        <v>46141</v>
      </c>
      <c r="B177" t="s">
        <v>342</v>
      </c>
      <c r="C177" t="s">
        <v>174</v>
      </c>
      <c r="D177" t="s">
        <v>113</v>
      </c>
      <c r="E177" t="s">
        <v>50</v>
      </c>
      <c r="F177" t="s">
        <v>58</v>
      </c>
      <c r="G177" t="s">
        <v>44</v>
      </c>
      <c r="H177" t="s">
        <v>45</v>
      </c>
      <c r="I177" t="s">
        <v>39</v>
      </c>
      <c r="J177" s="2">
        <v>3</v>
      </c>
      <c r="K177" s="3">
        <v>412.37</v>
      </c>
      <c r="L177" s="3">
        <v>218.45</v>
      </c>
      <c r="M177" s="4">
        <v>0.13150000000000001</v>
      </c>
      <c r="N177" s="3">
        <f t="shared" si="10"/>
        <v>1237.1099999999999</v>
      </c>
      <c r="O177" s="3">
        <f t="shared" si="11"/>
        <v>1074.43</v>
      </c>
      <c r="P177" s="3">
        <f t="shared" si="12"/>
        <v>655.35</v>
      </c>
      <c r="Q177" s="3">
        <f t="shared" si="13"/>
        <v>419.08</v>
      </c>
      <c r="R177" s="4">
        <f t="shared" si="14"/>
        <v>0.39</v>
      </c>
      <c r="S177" s="2">
        <v>2</v>
      </c>
      <c r="T177" t="s">
        <v>46</v>
      </c>
      <c r="U177">
        <v>2</v>
      </c>
    </row>
    <row r="178" spans="1:21" x14ac:dyDescent="0.25">
      <c r="A178" s="1">
        <v>46169</v>
      </c>
      <c r="B178" t="s">
        <v>343</v>
      </c>
      <c r="C178" t="s">
        <v>67</v>
      </c>
      <c r="D178" t="s">
        <v>139</v>
      </c>
      <c r="E178" t="s">
        <v>72</v>
      </c>
      <c r="F178" t="s">
        <v>36</v>
      </c>
      <c r="G178" t="s">
        <v>37</v>
      </c>
      <c r="H178" t="s">
        <v>104</v>
      </c>
      <c r="I178" t="s">
        <v>60</v>
      </c>
      <c r="J178" s="2">
        <v>6</v>
      </c>
      <c r="K178" s="3">
        <v>330.92</v>
      </c>
      <c r="L178" s="3">
        <v>143.08000000000001</v>
      </c>
      <c r="M178" s="4">
        <v>0.1115</v>
      </c>
      <c r="N178" s="3">
        <f t="shared" si="10"/>
        <v>1985.52</v>
      </c>
      <c r="O178" s="3">
        <f t="shared" si="11"/>
        <v>1764.13</v>
      </c>
      <c r="P178" s="3">
        <f t="shared" si="12"/>
        <v>858.48</v>
      </c>
      <c r="Q178" s="3">
        <f t="shared" si="13"/>
        <v>905.65</v>
      </c>
      <c r="R178" s="4">
        <f t="shared" si="14"/>
        <v>0.51339999999999997</v>
      </c>
      <c r="S178" s="2">
        <v>9</v>
      </c>
      <c r="T178" t="s">
        <v>46</v>
      </c>
      <c r="U178">
        <v>4</v>
      </c>
    </row>
    <row r="179" spans="1:21" x14ac:dyDescent="0.25">
      <c r="A179" s="1">
        <v>46155</v>
      </c>
      <c r="B179" t="s">
        <v>344</v>
      </c>
      <c r="C179" t="s">
        <v>123</v>
      </c>
      <c r="D179" t="s">
        <v>43</v>
      </c>
      <c r="E179" t="s">
        <v>25</v>
      </c>
      <c r="F179" t="s">
        <v>26</v>
      </c>
      <c r="G179" t="s">
        <v>37</v>
      </c>
      <c r="H179" t="s">
        <v>178</v>
      </c>
      <c r="I179" t="s">
        <v>74</v>
      </c>
      <c r="J179" s="2">
        <v>1</v>
      </c>
      <c r="K179" s="3">
        <v>484.47</v>
      </c>
      <c r="L179" s="3">
        <v>250.77</v>
      </c>
      <c r="M179" s="4">
        <v>5.7099999999999998E-2</v>
      </c>
      <c r="N179" s="3">
        <f t="shared" si="10"/>
        <v>484.47</v>
      </c>
      <c r="O179" s="3">
        <f t="shared" si="11"/>
        <v>456.81</v>
      </c>
      <c r="P179" s="3">
        <f t="shared" si="12"/>
        <v>250.77</v>
      </c>
      <c r="Q179" s="3">
        <f t="shared" si="13"/>
        <v>206.04</v>
      </c>
      <c r="R179" s="4">
        <f t="shared" si="14"/>
        <v>0.45100000000000001</v>
      </c>
      <c r="S179" s="2">
        <v>11</v>
      </c>
      <c r="T179" t="s">
        <v>30</v>
      </c>
      <c r="U179">
        <v>2</v>
      </c>
    </row>
    <row r="180" spans="1:21" x14ac:dyDescent="0.25">
      <c r="A180" s="1">
        <v>46191</v>
      </c>
      <c r="B180" t="s">
        <v>345</v>
      </c>
      <c r="C180" t="s">
        <v>120</v>
      </c>
      <c r="D180" t="s">
        <v>34</v>
      </c>
      <c r="E180" t="s">
        <v>35</v>
      </c>
      <c r="F180" t="s">
        <v>58</v>
      </c>
      <c r="G180" t="s">
        <v>51</v>
      </c>
      <c r="H180" t="s">
        <v>59</v>
      </c>
      <c r="I180" t="s">
        <v>74</v>
      </c>
      <c r="J180" s="2">
        <v>5</v>
      </c>
      <c r="K180" s="3">
        <v>2081.92</v>
      </c>
      <c r="L180" s="3">
        <v>1446.14</v>
      </c>
      <c r="M180" s="4">
        <v>0.14910000000000001</v>
      </c>
      <c r="N180" s="3">
        <f t="shared" si="10"/>
        <v>10409.6</v>
      </c>
      <c r="O180" s="3">
        <f t="shared" si="11"/>
        <v>8857.5300000000007</v>
      </c>
      <c r="P180" s="3">
        <f t="shared" si="12"/>
        <v>7230.7</v>
      </c>
      <c r="Q180" s="3">
        <f t="shared" si="13"/>
        <v>1626.83</v>
      </c>
      <c r="R180" s="4">
        <f t="shared" si="14"/>
        <v>0.1837</v>
      </c>
      <c r="S180" s="2">
        <v>2</v>
      </c>
      <c r="T180" t="s">
        <v>46</v>
      </c>
      <c r="U180">
        <v>3</v>
      </c>
    </row>
    <row r="181" spans="1:21" x14ac:dyDescent="0.25">
      <c r="A181" s="1">
        <v>46196</v>
      </c>
      <c r="B181" t="s">
        <v>346</v>
      </c>
      <c r="C181" t="s">
        <v>115</v>
      </c>
      <c r="D181" t="s">
        <v>126</v>
      </c>
      <c r="E181" t="s">
        <v>57</v>
      </c>
      <c r="F181" t="s">
        <v>26</v>
      </c>
      <c r="G181" t="s">
        <v>51</v>
      </c>
      <c r="H181" t="s">
        <v>52</v>
      </c>
      <c r="I181" t="s">
        <v>77</v>
      </c>
      <c r="J181" s="2">
        <v>7</v>
      </c>
      <c r="K181" s="3">
        <v>267.01</v>
      </c>
      <c r="L181" s="3">
        <v>120.51</v>
      </c>
      <c r="M181" s="4">
        <v>5.91E-2</v>
      </c>
      <c r="N181" s="3">
        <f t="shared" si="10"/>
        <v>1869.07</v>
      </c>
      <c r="O181" s="3">
        <f t="shared" si="11"/>
        <v>1758.61</v>
      </c>
      <c r="P181" s="3">
        <f t="shared" si="12"/>
        <v>843.57</v>
      </c>
      <c r="Q181" s="3">
        <f t="shared" si="13"/>
        <v>915.04</v>
      </c>
      <c r="R181" s="4">
        <f t="shared" si="14"/>
        <v>0.52029999999999998</v>
      </c>
      <c r="S181" s="2">
        <v>6</v>
      </c>
      <c r="T181" t="s">
        <v>46</v>
      </c>
      <c r="U181">
        <v>4</v>
      </c>
    </row>
    <row r="182" spans="1:21" x14ac:dyDescent="0.25">
      <c r="A182" s="1">
        <v>46055</v>
      </c>
      <c r="B182" t="s">
        <v>347</v>
      </c>
      <c r="C182" t="s">
        <v>198</v>
      </c>
      <c r="D182" t="s">
        <v>43</v>
      </c>
      <c r="E182" t="s">
        <v>25</v>
      </c>
      <c r="F182" t="s">
        <v>64</v>
      </c>
      <c r="G182" t="s">
        <v>44</v>
      </c>
      <c r="H182" t="s">
        <v>45</v>
      </c>
      <c r="I182" t="s">
        <v>65</v>
      </c>
      <c r="J182" s="2">
        <v>2</v>
      </c>
      <c r="K182" s="3">
        <v>407.97</v>
      </c>
      <c r="L182" s="3">
        <v>219.92</v>
      </c>
      <c r="M182" s="4">
        <v>5.8000000000000003E-2</v>
      </c>
      <c r="N182" s="3">
        <f t="shared" si="10"/>
        <v>815.94</v>
      </c>
      <c r="O182" s="3">
        <f t="shared" si="11"/>
        <v>768.62</v>
      </c>
      <c r="P182" s="3">
        <f t="shared" si="12"/>
        <v>439.84</v>
      </c>
      <c r="Q182" s="3">
        <f t="shared" si="13"/>
        <v>328.78</v>
      </c>
      <c r="R182" s="4">
        <f t="shared" si="14"/>
        <v>0.42780000000000001</v>
      </c>
      <c r="S182" s="2">
        <v>9</v>
      </c>
      <c r="T182" t="s">
        <v>46</v>
      </c>
      <c r="U182">
        <v>4</v>
      </c>
    </row>
    <row r="183" spans="1:21" x14ac:dyDescent="0.25">
      <c r="A183" s="1">
        <v>46145</v>
      </c>
      <c r="B183" t="s">
        <v>348</v>
      </c>
      <c r="C183" t="s">
        <v>349</v>
      </c>
      <c r="D183" t="s">
        <v>49</v>
      </c>
      <c r="E183" t="s">
        <v>50</v>
      </c>
      <c r="F183" t="s">
        <v>36</v>
      </c>
      <c r="G183" t="s">
        <v>27</v>
      </c>
      <c r="H183" t="s">
        <v>28</v>
      </c>
      <c r="I183" t="s">
        <v>77</v>
      </c>
      <c r="J183" s="2">
        <v>1</v>
      </c>
      <c r="K183" s="3">
        <v>749.85</v>
      </c>
      <c r="L183" s="3">
        <v>454.48</v>
      </c>
      <c r="M183" s="4">
        <v>2.98E-2</v>
      </c>
      <c r="N183" s="3">
        <f t="shared" si="10"/>
        <v>749.85</v>
      </c>
      <c r="O183" s="3">
        <f t="shared" si="11"/>
        <v>727.5</v>
      </c>
      <c r="P183" s="3">
        <f t="shared" si="12"/>
        <v>454.48</v>
      </c>
      <c r="Q183" s="3">
        <f t="shared" si="13"/>
        <v>273.02</v>
      </c>
      <c r="R183" s="4">
        <f t="shared" si="14"/>
        <v>0.37530000000000002</v>
      </c>
      <c r="S183" s="2">
        <v>13</v>
      </c>
      <c r="T183" t="s">
        <v>30</v>
      </c>
      <c r="U183">
        <v>3</v>
      </c>
    </row>
    <row r="184" spans="1:21" x14ac:dyDescent="0.25">
      <c r="A184" s="1">
        <v>46150</v>
      </c>
      <c r="B184" t="s">
        <v>350</v>
      </c>
      <c r="C184" t="s">
        <v>67</v>
      </c>
      <c r="D184" t="s">
        <v>63</v>
      </c>
      <c r="E184" t="s">
        <v>35</v>
      </c>
      <c r="F184" t="s">
        <v>58</v>
      </c>
      <c r="G184" t="s">
        <v>44</v>
      </c>
      <c r="H184" t="s">
        <v>73</v>
      </c>
      <c r="I184" t="s">
        <v>39</v>
      </c>
      <c r="J184" s="2">
        <v>6</v>
      </c>
      <c r="K184" s="3">
        <v>1739.71</v>
      </c>
      <c r="L184" s="3">
        <v>1060.95</v>
      </c>
      <c r="M184" s="4">
        <v>9.1200000000000003E-2</v>
      </c>
      <c r="N184" s="3">
        <f t="shared" si="10"/>
        <v>10438.26</v>
      </c>
      <c r="O184" s="3">
        <f t="shared" si="11"/>
        <v>9486.2900000000009</v>
      </c>
      <c r="P184" s="3">
        <f t="shared" si="12"/>
        <v>6365.7</v>
      </c>
      <c r="Q184" s="3">
        <f t="shared" si="13"/>
        <v>3120.59</v>
      </c>
      <c r="R184" s="4">
        <f t="shared" si="14"/>
        <v>0.32900000000000001</v>
      </c>
      <c r="S184" s="2">
        <v>4</v>
      </c>
      <c r="T184" t="s">
        <v>46</v>
      </c>
      <c r="U184">
        <v>3</v>
      </c>
    </row>
    <row r="185" spans="1:21" x14ac:dyDescent="0.25">
      <c r="A185" s="1">
        <v>46104</v>
      </c>
      <c r="B185" t="s">
        <v>351</v>
      </c>
      <c r="C185" t="s">
        <v>108</v>
      </c>
      <c r="D185" t="s">
        <v>121</v>
      </c>
      <c r="E185" t="s">
        <v>72</v>
      </c>
      <c r="F185" t="s">
        <v>58</v>
      </c>
      <c r="G185" t="s">
        <v>37</v>
      </c>
      <c r="H185" t="s">
        <v>178</v>
      </c>
      <c r="I185" t="s">
        <v>74</v>
      </c>
      <c r="J185" s="2">
        <v>8</v>
      </c>
      <c r="K185" s="3">
        <v>523.33000000000004</v>
      </c>
      <c r="L185" s="3">
        <v>257.66000000000003</v>
      </c>
      <c r="M185" s="4">
        <v>0.1182</v>
      </c>
      <c r="N185" s="3">
        <f t="shared" si="10"/>
        <v>4186.6400000000003</v>
      </c>
      <c r="O185" s="3">
        <f t="shared" si="11"/>
        <v>3691.78</v>
      </c>
      <c r="P185" s="3">
        <f t="shared" si="12"/>
        <v>2061.2800000000002</v>
      </c>
      <c r="Q185" s="3">
        <f t="shared" si="13"/>
        <v>1630.5</v>
      </c>
      <c r="R185" s="4">
        <f t="shared" si="14"/>
        <v>0.44169999999999998</v>
      </c>
      <c r="S185" s="2">
        <v>3</v>
      </c>
      <c r="T185" t="s">
        <v>46</v>
      </c>
      <c r="U185">
        <v>5</v>
      </c>
    </row>
    <row r="186" spans="1:21" x14ac:dyDescent="0.25">
      <c r="A186" s="1">
        <v>46046</v>
      </c>
      <c r="B186" t="s">
        <v>352</v>
      </c>
      <c r="C186" t="s">
        <v>138</v>
      </c>
      <c r="D186" t="s">
        <v>49</v>
      </c>
      <c r="E186" t="s">
        <v>50</v>
      </c>
      <c r="F186" t="s">
        <v>36</v>
      </c>
      <c r="G186" t="s">
        <v>44</v>
      </c>
      <c r="H186" t="s">
        <v>45</v>
      </c>
      <c r="I186" t="s">
        <v>92</v>
      </c>
      <c r="J186" s="2">
        <v>2</v>
      </c>
      <c r="K186" s="3">
        <v>400.15</v>
      </c>
      <c r="L186" s="3">
        <v>211.32</v>
      </c>
      <c r="M186" s="4">
        <v>6.7699999999999996E-2</v>
      </c>
      <c r="N186" s="3">
        <f t="shared" si="10"/>
        <v>800.3</v>
      </c>
      <c r="O186" s="3">
        <f t="shared" si="11"/>
        <v>746.12</v>
      </c>
      <c r="P186" s="3">
        <f t="shared" si="12"/>
        <v>422.64</v>
      </c>
      <c r="Q186" s="3">
        <f t="shared" si="13"/>
        <v>323.48</v>
      </c>
      <c r="R186" s="4">
        <f t="shared" si="14"/>
        <v>0.4335</v>
      </c>
      <c r="S186" s="2">
        <v>11</v>
      </c>
      <c r="T186" t="s">
        <v>30</v>
      </c>
      <c r="U186">
        <v>2</v>
      </c>
    </row>
    <row r="187" spans="1:21" x14ac:dyDescent="0.25">
      <c r="A187" s="1">
        <v>46099</v>
      </c>
      <c r="B187" t="s">
        <v>353</v>
      </c>
      <c r="C187" t="s">
        <v>216</v>
      </c>
      <c r="D187" t="s">
        <v>207</v>
      </c>
      <c r="E187" t="s">
        <v>35</v>
      </c>
      <c r="F187" t="s">
        <v>64</v>
      </c>
      <c r="G187" t="s">
        <v>37</v>
      </c>
      <c r="H187" t="s">
        <v>178</v>
      </c>
      <c r="I187" t="s">
        <v>39</v>
      </c>
      <c r="J187" s="2">
        <v>4</v>
      </c>
      <c r="K187" s="3">
        <v>506.24</v>
      </c>
      <c r="L187" s="3">
        <v>239.87</v>
      </c>
      <c r="M187" s="4">
        <v>8.8999999999999999E-3</v>
      </c>
      <c r="N187" s="3">
        <f t="shared" si="10"/>
        <v>2024.96</v>
      </c>
      <c r="O187" s="3">
        <f t="shared" si="11"/>
        <v>2006.94</v>
      </c>
      <c r="P187" s="3">
        <f t="shared" si="12"/>
        <v>959.48</v>
      </c>
      <c r="Q187" s="3">
        <f t="shared" si="13"/>
        <v>1047.46</v>
      </c>
      <c r="R187" s="4">
        <f t="shared" si="14"/>
        <v>0.52190000000000003</v>
      </c>
      <c r="S187" s="2">
        <v>4</v>
      </c>
      <c r="T187" t="s">
        <v>46</v>
      </c>
      <c r="U187">
        <v>5</v>
      </c>
    </row>
    <row r="188" spans="1:21" x14ac:dyDescent="0.25">
      <c r="A188" s="1">
        <v>46177</v>
      </c>
      <c r="B188" t="s">
        <v>354</v>
      </c>
      <c r="C188" t="s">
        <v>216</v>
      </c>
      <c r="D188" t="s">
        <v>139</v>
      </c>
      <c r="E188" t="s">
        <v>72</v>
      </c>
      <c r="F188" t="s">
        <v>26</v>
      </c>
      <c r="G188" t="s">
        <v>27</v>
      </c>
      <c r="H188" t="s">
        <v>68</v>
      </c>
      <c r="I188" t="s">
        <v>60</v>
      </c>
      <c r="J188" s="2">
        <v>4</v>
      </c>
      <c r="K188" s="3">
        <v>1257.8699999999999</v>
      </c>
      <c r="L188" s="3">
        <v>798.34</v>
      </c>
      <c r="M188" s="4">
        <v>5.0000000000000001E-4</v>
      </c>
      <c r="N188" s="3">
        <f t="shared" si="10"/>
        <v>5031.4799999999996</v>
      </c>
      <c r="O188" s="3">
        <f t="shared" si="11"/>
        <v>5028.96</v>
      </c>
      <c r="P188" s="3">
        <f t="shared" si="12"/>
        <v>3193.36</v>
      </c>
      <c r="Q188" s="3">
        <f t="shared" si="13"/>
        <v>1835.6</v>
      </c>
      <c r="R188" s="4">
        <f t="shared" si="14"/>
        <v>0.36499999999999999</v>
      </c>
      <c r="S188" s="2">
        <v>10</v>
      </c>
      <c r="T188" t="s">
        <v>46</v>
      </c>
      <c r="U188">
        <v>2</v>
      </c>
    </row>
    <row r="189" spans="1:21" x14ac:dyDescent="0.25">
      <c r="A189" s="1">
        <v>46143</v>
      </c>
      <c r="B189" t="s">
        <v>355</v>
      </c>
      <c r="C189" t="s">
        <v>356</v>
      </c>
      <c r="D189" t="s">
        <v>43</v>
      </c>
      <c r="E189" t="s">
        <v>25</v>
      </c>
      <c r="F189" t="s">
        <v>36</v>
      </c>
      <c r="G189" t="s">
        <v>37</v>
      </c>
      <c r="H189" t="s">
        <v>104</v>
      </c>
      <c r="I189" t="s">
        <v>39</v>
      </c>
      <c r="J189" s="2">
        <v>5</v>
      </c>
      <c r="K189" s="3">
        <v>318.20999999999998</v>
      </c>
      <c r="L189" s="3">
        <v>134.82</v>
      </c>
      <c r="M189" s="4">
        <v>0</v>
      </c>
      <c r="N189" s="3">
        <f t="shared" si="10"/>
        <v>1591.05</v>
      </c>
      <c r="O189" s="3">
        <f t="shared" si="11"/>
        <v>1591.05</v>
      </c>
      <c r="P189" s="3">
        <f t="shared" si="12"/>
        <v>674.1</v>
      </c>
      <c r="Q189" s="3">
        <f t="shared" si="13"/>
        <v>916.95</v>
      </c>
      <c r="R189" s="4">
        <f t="shared" si="14"/>
        <v>0.57630000000000003</v>
      </c>
      <c r="S189" s="2">
        <v>4</v>
      </c>
      <c r="T189" t="s">
        <v>46</v>
      </c>
      <c r="U189">
        <v>3</v>
      </c>
    </row>
    <row r="190" spans="1:21" x14ac:dyDescent="0.25">
      <c r="A190" s="1">
        <v>46186</v>
      </c>
      <c r="B190" t="s">
        <v>357</v>
      </c>
      <c r="C190" t="s">
        <v>358</v>
      </c>
      <c r="D190" t="s">
        <v>130</v>
      </c>
      <c r="E190" t="s">
        <v>72</v>
      </c>
      <c r="F190" t="s">
        <v>58</v>
      </c>
      <c r="G190" t="s">
        <v>44</v>
      </c>
      <c r="H190" t="s">
        <v>73</v>
      </c>
      <c r="I190" t="s">
        <v>94</v>
      </c>
      <c r="J190" s="2">
        <v>8</v>
      </c>
      <c r="K190" s="3">
        <v>1771.77</v>
      </c>
      <c r="L190" s="3">
        <v>1129.6600000000001</v>
      </c>
      <c r="M190" s="4">
        <v>3.5000000000000003E-2</v>
      </c>
      <c r="N190" s="3">
        <f t="shared" si="10"/>
        <v>14174.16</v>
      </c>
      <c r="O190" s="3">
        <f t="shared" si="11"/>
        <v>13678.06</v>
      </c>
      <c r="P190" s="3">
        <f t="shared" si="12"/>
        <v>9037.2800000000007</v>
      </c>
      <c r="Q190" s="3">
        <f t="shared" si="13"/>
        <v>4640.78</v>
      </c>
      <c r="R190" s="4">
        <f t="shared" si="14"/>
        <v>0.33929999999999999</v>
      </c>
      <c r="S190" s="2">
        <v>2</v>
      </c>
      <c r="T190" t="s">
        <v>40</v>
      </c>
    </row>
    <row r="191" spans="1:21" x14ac:dyDescent="0.25">
      <c r="A191" s="1">
        <v>46172</v>
      </c>
      <c r="B191" t="s">
        <v>359</v>
      </c>
      <c r="C191" t="s">
        <v>297</v>
      </c>
      <c r="D191" t="s">
        <v>97</v>
      </c>
      <c r="E191" t="s">
        <v>57</v>
      </c>
      <c r="F191" t="s">
        <v>58</v>
      </c>
      <c r="G191" t="s">
        <v>37</v>
      </c>
      <c r="H191" t="s">
        <v>178</v>
      </c>
      <c r="I191" t="s">
        <v>65</v>
      </c>
      <c r="J191" s="2">
        <v>6</v>
      </c>
      <c r="K191" s="3">
        <v>535.91999999999996</v>
      </c>
      <c r="L191" s="3">
        <v>248.73</v>
      </c>
      <c r="M191" s="4">
        <v>3.5000000000000003E-2</v>
      </c>
      <c r="N191" s="3">
        <f t="shared" si="10"/>
        <v>3215.52</v>
      </c>
      <c r="O191" s="3">
        <f t="shared" si="11"/>
        <v>3102.98</v>
      </c>
      <c r="P191" s="3">
        <f t="shared" si="12"/>
        <v>1492.38</v>
      </c>
      <c r="Q191" s="3">
        <f t="shared" si="13"/>
        <v>1610.6</v>
      </c>
      <c r="R191" s="4">
        <f t="shared" si="14"/>
        <v>0.51900000000000002</v>
      </c>
      <c r="S191" s="2">
        <v>10</v>
      </c>
      <c r="T191" t="s">
        <v>46</v>
      </c>
      <c r="U191">
        <v>3</v>
      </c>
    </row>
    <row r="192" spans="1:21" x14ac:dyDescent="0.25">
      <c r="A192" s="1">
        <v>46200</v>
      </c>
      <c r="B192" t="s">
        <v>360</v>
      </c>
      <c r="C192" t="s">
        <v>290</v>
      </c>
      <c r="D192" t="s">
        <v>34</v>
      </c>
      <c r="E192" t="s">
        <v>35</v>
      </c>
      <c r="F192" t="s">
        <v>36</v>
      </c>
      <c r="G192" t="s">
        <v>44</v>
      </c>
      <c r="H192" t="s">
        <v>124</v>
      </c>
      <c r="I192" t="s">
        <v>77</v>
      </c>
      <c r="J192" s="2">
        <v>5</v>
      </c>
      <c r="K192" s="3">
        <v>5607.3</v>
      </c>
      <c r="L192" s="3">
        <v>4511.8500000000004</v>
      </c>
      <c r="M192" s="4">
        <v>3.9E-2</v>
      </c>
      <c r="N192" s="3">
        <f t="shared" si="10"/>
        <v>28036.5</v>
      </c>
      <c r="O192" s="3">
        <f t="shared" si="11"/>
        <v>26943.08</v>
      </c>
      <c r="P192" s="3">
        <f t="shared" si="12"/>
        <v>22559.25</v>
      </c>
      <c r="Q192" s="3">
        <f t="shared" si="13"/>
        <v>4383.83</v>
      </c>
      <c r="R192" s="4">
        <f t="shared" si="14"/>
        <v>0.16270000000000001</v>
      </c>
      <c r="S192" s="2">
        <v>8</v>
      </c>
      <c r="T192" t="s">
        <v>46</v>
      </c>
      <c r="U192">
        <v>4</v>
      </c>
    </row>
    <row r="193" spans="1:22" x14ac:dyDescent="0.25">
      <c r="A193" s="1">
        <v>46059</v>
      </c>
      <c r="B193" t="s">
        <v>361</v>
      </c>
      <c r="C193" t="s">
        <v>132</v>
      </c>
      <c r="D193" t="s">
        <v>85</v>
      </c>
      <c r="E193" t="s">
        <v>50</v>
      </c>
      <c r="F193" t="s">
        <v>26</v>
      </c>
      <c r="G193" t="s">
        <v>51</v>
      </c>
      <c r="H193" t="s">
        <v>52</v>
      </c>
      <c r="I193" t="s">
        <v>74</v>
      </c>
      <c r="J193" s="2">
        <v>1</v>
      </c>
      <c r="K193" s="3">
        <v>255.97</v>
      </c>
      <c r="L193" s="3">
        <v>114.78</v>
      </c>
      <c r="M193" s="4">
        <v>0</v>
      </c>
      <c r="N193" s="3">
        <f t="shared" si="10"/>
        <v>255.97</v>
      </c>
      <c r="O193" s="3">
        <f t="shared" si="11"/>
        <v>255.97</v>
      </c>
      <c r="P193" s="3">
        <f t="shared" si="12"/>
        <v>114.78</v>
      </c>
      <c r="Q193" s="3">
        <f t="shared" si="13"/>
        <v>141.19</v>
      </c>
      <c r="R193" s="4">
        <f t="shared" si="14"/>
        <v>0.55159999999999998</v>
      </c>
      <c r="S193" s="2">
        <v>8</v>
      </c>
      <c r="T193" t="s">
        <v>46</v>
      </c>
      <c r="U193">
        <v>5</v>
      </c>
    </row>
    <row r="194" spans="1:22" x14ac:dyDescent="0.25">
      <c r="A194" s="1">
        <v>46219</v>
      </c>
      <c r="B194" t="s">
        <v>362</v>
      </c>
      <c r="C194" t="s">
        <v>170</v>
      </c>
      <c r="D194" t="s">
        <v>207</v>
      </c>
      <c r="E194" t="s">
        <v>35</v>
      </c>
      <c r="F194" t="s">
        <v>26</v>
      </c>
      <c r="G194" t="s">
        <v>27</v>
      </c>
      <c r="H194" t="s">
        <v>68</v>
      </c>
      <c r="I194" t="s">
        <v>39</v>
      </c>
      <c r="J194" s="2">
        <v>3</v>
      </c>
      <c r="K194" s="3">
        <v>1285.93</v>
      </c>
      <c r="L194" s="3">
        <v>772.6</v>
      </c>
      <c r="M194" s="4">
        <v>7.8E-2</v>
      </c>
      <c r="N194" s="3">
        <f t="shared" ref="N194:N257" si="15">ROUND(J194*K194,2)</f>
        <v>3857.79</v>
      </c>
      <c r="O194" s="3">
        <f t="shared" ref="O194:O257" si="16">ROUND(N194*(1-M194),2)</f>
        <v>3556.88</v>
      </c>
      <c r="P194" s="3">
        <f t="shared" ref="P194:P257" si="17">ROUND(J194*L194,2)</f>
        <v>2317.8000000000002</v>
      </c>
      <c r="Q194" s="3">
        <f t="shared" ref="Q194:Q257" si="18">ROUND(O194-P194,2)</f>
        <v>1239.08</v>
      </c>
      <c r="R194" s="4">
        <f t="shared" ref="R194:R257" si="19">IF(O194=0,0,ROUND(Q194/O194,4))</f>
        <v>0.34839999999999999</v>
      </c>
      <c r="S194" s="2">
        <v>6</v>
      </c>
      <c r="T194" t="s">
        <v>46</v>
      </c>
      <c r="U194">
        <v>4</v>
      </c>
    </row>
    <row r="195" spans="1:22" x14ac:dyDescent="0.25">
      <c r="A195" s="1">
        <v>46078</v>
      </c>
      <c r="B195" t="s">
        <v>363</v>
      </c>
      <c r="C195" t="s">
        <v>134</v>
      </c>
      <c r="D195" t="s">
        <v>24</v>
      </c>
      <c r="E195" t="s">
        <v>25</v>
      </c>
      <c r="F195" t="s">
        <v>58</v>
      </c>
      <c r="G195" t="s">
        <v>27</v>
      </c>
      <c r="H195" t="s">
        <v>68</v>
      </c>
      <c r="I195" t="s">
        <v>29</v>
      </c>
      <c r="J195" s="2">
        <v>8</v>
      </c>
      <c r="K195" s="3">
        <v>1225.0899999999999</v>
      </c>
      <c r="L195" s="3">
        <v>782.3</v>
      </c>
      <c r="M195" s="4">
        <v>6.25E-2</v>
      </c>
      <c r="N195" s="3">
        <f t="shared" si="15"/>
        <v>9800.7199999999993</v>
      </c>
      <c r="O195" s="3">
        <f t="shared" si="16"/>
        <v>9188.18</v>
      </c>
      <c r="P195" s="3">
        <f t="shared" si="17"/>
        <v>6258.4</v>
      </c>
      <c r="Q195" s="3">
        <f t="shared" si="18"/>
        <v>2929.78</v>
      </c>
      <c r="R195" s="4">
        <f t="shared" si="19"/>
        <v>0.31890000000000002</v>
      </c>
      <c r="S195" s="2">
        <v>10</v>
      </c>
      <c r="T195" t="s">
        <v>46</v>
      </c>
      <c r="U195">
        <v>3</v>
      </c>
    </row>
    <row r="196" spans="1:22" x14ac:dyDescent="0.25">
      <c r="A196" s="1">
        <v>46225</v>
      </c>
      <c r="B196" t="s">
        <v>364</v>
      </c>
      <c r="C196" t="s">
        <v>218</v>
      </c>
      <c r="D196" t="s">
        <v>113</v>
      </c>
      <c r="E196" t="s">
        <v>50</v>
      </c>
      <c r="F196" t="s">
        <v>26</v>
      </c>
      <c r="G196" t="s">
        <v>44</v>
      </c>
      <c r="H196" t="s">
        <v>73</v>
      </c>
      <c r="I196" t="s">
        <v>39</v>
      </c>
      <c r="J196" s="2">
        <v>7</v>
      </c>
      <c r="K196" s="3">
        <v>1719.28</v>
      </c>
      <c r="L196" s="3">
        <v>1096</v>
      </c>
      <c r="M196" s="4">
        <v>0</v>
      </c>
      <c r="N196" s="3">
        <f t="shared" si="15"/>
        <v>12034.96</v>
      </c>
      <c r="O196" s="3">
        <f t="shared" si="16"/>
        <v>12034.96</v>
      </c>
      <c r="P196" s="3">
        <f t="shared" si="17"/>
        <v>7672</v>
      </c>
      <c r="Q196" s="3">
        <f t="shared" si="18"/>
        <v>4362.96</v>
      </c>
      <c r="R196" s="4">
        <f t="shared" si="19"/>
        <v>0.36249999999999999</v>
      </c>
      <c r="S196" s="2">
        <v>4</v>
      </c>
      <c r="T196" t="s">
        <v>46</v>
      </c>
      <c r="U196">
        <v>3</v>
      </c>
    </row>
    <row r="197" spans="1:22" x14ac:dyDescent="0.25">
      <c r="A197" s="1">
        <v>46118</v>
      </c>
      <c r="B197" t="s">
        <v>365</v>
      </c>
      <c r="C197" t="s">
        <v>144</v>
      </c>
      <c r="D197" t="s">
        <v>130</v>
      </c>
      <c r="E197" t="s">
        <v>72</v>
      </c>
      <c r="F197" t="s">
        <v>58</v>
      </c>
      <c r="G197" t="s">
        <v>37</v>
      </c>
      <c r="H197" t="s">
        <v>178</v>
      </c>
      <c r="I197" t="s">
        <v>39</v>
      </c>
      <c r="J197" s="2">
        <v>7</v>
      </c>
      <c r="K197" s="3">
        <v>501.39</v>
      </c>
      <c r="L197" s="3">
        <v>238.61</v>
      </c>
      <c r="M197" s="4">
        <v>0.1206</v>
      </c>
      <c r="N197" s="3">
        <f t="shared" si="15"/>
        <v>3509.73</v>
      </c>
      <c r="O197" s="3">
        <f t="shared" si="16"/>
        <v>3086.46</v>
      </c>
      <c r="P197" s="3">
        <f t="shared" si="17"/>
        <v>1670.27</v>
      </c>
      <c r="Q197" s="3">
        <f t="shared" si="18"/>
        <v>1416.19</v>
      </c>
      <c r="R197" s="4">
        <f t="shared" si="19"/>
        <v>0.45879999999999999</v>
      </c>
      <c r="S197" s="2">
        <v>5</v>
      </c>
      <c r="T197" t="s">
        <v>46</v>
      </c>
      <c r="U197">
        <v>5</v>
      </c>
    </row>
    <row r="198" spans="1:22" x14ac:dyDescent="0.25">
      <c r="A198" s="1">
        <v>46120</v>
      </c>
      <c r="B198" t="s">
        <v>366</v>
      </c>
      <c r="C198" t="s">
        <v>136</v>
      </c>
      <c r="D198" t="s">
        <v>71</v>
      </c>
      <c r="E198" t="s">
        <v>72</v>
      </c>
      <c r="F198" t="s">
        <v>58</v>
      </c>
      <c r="G198" t="s">
        <v>44</v>
      </c>
      <c r="H198" t="s">
        <v>45</v>
      </c>
      <c r="I198" t="s">
        <v>87</v>
      </c>
      <c r="J198" s="2">
        <v>2</v>
      </c>
      <c r="K198" s="3">
        <v>404.03</v>
      </c>
      <c r="L198" s="3">
        <v>219.41</v>
      </c>
      <c r="M198" s="4">
        <v>3.5000000000000003E-2</v>
      </c>
      <c r="N198" s="3">
        <f t="shared" si="15"/>
        <v>808.06</v>
      </c>
      <c r="O198" s="3">
        <f t="shared" si="16"/>
        <v>779.78</v>
      </c>
      <c r="P198" s="3">
        <f t="shared" si="17"/>
        <v>438.82</v>
      </c>
      <c r="Q198" s="3">
        <f t="shared" si="18"/>
        <v>340.96</v>
      </c>
      <c r="R198" s="4">
        <f t="shared" si="19"/>
        <v>0.43730000000000002</v>
      </c>
      <c r="S198" s="2">
        <v>12</v>
      </c>
      <c r="T198" t="s">
        <v>30</v>
      </c>
      <c r="U198">
        <v>4</v>
      </c>
    </row>
    <row r="199" spans="1:22" x14ac:dyDescent="0.25">
      <c r="A199" s="1">
        <v>46136</v>
      </c>
      <c r="B199" t="s">
        <v>367</v>
      </c>
      <c r="C199" t="s">
        <v>288</v>
      </c>
      <c r="D199" t="s">
        <v>24</v>
      </c>
      <c r="E199" t="s">
        <v>25</v>
      </c>
      <c r="F199" t="s">
        <v>26</v>
      </c>
      <c r="G199" t="s">
        <v>51</v>
      </c>
      <c r="H199" t="s">
        <v>116</v>
      </c>
      <c r="I199" t="s">
        <v>94</v>
      </c>
      <c r="J199" s="2">
        <v>8</v>
      </c>
      <c r="K199" s="3">
        <v>2733.86</v>
      </c>
      <c r="L199" s="3">
        <v>1803.52</v>
      </c>
      <c r="M199" s="4">
        <v>0.40989999999999999</v>
      </c>
      <c r="N199" s="3">
        <f t="shared" si="15"/>
        <v>21870.880000000001</v>
      </c>
      <c r="O199" s="3">
        <f t="shared" si="16"/>
        <v>12906.01</v>
      </c>
      <c r="P199" s="3">
        <f t="shared" si="17"/>
        <v>14428.16</v>
      </c>
      <c r="Q199" s="3">
        <f t="shared" si="18"/>
        <v>-1522.15</v>
      </c>
      <c r="R199" s="4">
        <f t="shared" si="19"/>
        <v>-0.1179</v>
      </c>
      <c r="S199" s="2">
        <v>4</v>
      </c>
      <c r="T199" t="s">
        <v>46</v>
      </c>
      <c r="U199">
        <v>5</v>
      </c>
      <c r="V199" t="s">
        <v>31</v>
      </c>
    </row>
    <row r="200" spans="1:22" x14ac:dyDescent="0.25">
      <c r="A200" s="1">
        <v>46231</v>
      </c>
      <c r="B200" t="s">
        <v>368</v>
      </c>
      <c r="C200" t="s">
        <v>129</v>
      </c>
      <c r="D200" t="s">
        <v>113</v>
      </c>
      <c r="E200" t="s">
        <v>50</v>
      </c>
      <c r="F200" t="s">
        <v>26</v>
      </c>
      <c r="G200" t="s">
        <v>27</v>
      </c>
      <c r="H200" t="s">
        <v>68</v>
      </c>
      <c r="I200" t="s">
        <v>74</v>
      </c>
      <c r="J200" s="2">
        <v>2</v>
      </c>
      <c r="K200" s="3">
        <v>1358.43</v>
      </c>
      <c r="L200" s="3">
        <v>805.53</v>
      </c>
      <c r="M200" s="4">
        <v>2.1999999999999999E-2</v>
      </c>
      <c r="N200" s="3">
        <f t="shared" si="15"/>
        <v>2716.86</v>
      </c>
      <c r="O200" s="3">
        <f t="shared" si="16"/>
        <v>2657.09</v>
      </c>
      <c r="P200" s="3">
        <f t="shared" si="17"/>
        <v>1611.06</v>
      </c>
      <c r="Q200" s="3">
        <f t="shared" si="18"/>
        <v>1046.03</v>
      </c>
      <c r="R200" s="4">
        <f t="shared" si="19"/>
        <v>0.39369999999999999</v>
      </c>
      <c r="S200" s="2">
        <v>12</v>
      </c>
      <c r="T200" t="s">
        <v>30</v>
      </c>
      <c r="U200">
        <v>2</v>
      </c>
    </row>
    <row r="201" spans="1:22" x14ac:dyDescent="0.25">
      <c r="A201" s="1">
        <v>46188</v>
      </c>
      <c r="B201" t="s">
        <v>369</v>
      </c>
      <c r="C201" t="s">
        <v>370</v>
      </c>
      <c r="D201" t="s">
        <v>121</v>
      </c>
      <c r="E201" t="s">
        <v>72</v>
      </c>
      <c r="F201" t="s">
        <v>58</v>
      </c>
      <c r="G201" t="s">
        <v>37</v>
      </c>
      <c r="H201" t="s">
        <v>104</v>
      </c>
      <c r="I201" t="s">
        <v>74</v>
      </c>
      <c r="J201" s="2">
        <v>3</v>
      </c>
      <c r="K201" s="3">
        <v>325.25</v>
      </c>
      <c r="L201" s="3">
        <v>138.21</v>
      </c>
      <c r="M201" s="4">
        <v>8.3199999999999996E-2</v>
      </c>
      <c r="N201" s="3">
        <f t="shared" si="15"/>
        <v>975.75</v>
      </c>
      <c r="O201" s="3">
        <f t="shared" si="16"/>
        <v>894.57</v>
      </c>
      <c r="P201" s="3">
        <f t="shared" si="17"/>
        <v>414.63</v>
      </c>
      <c r="Q201" s="3">
        <f t="shared" si="18"/>
        <v>479.94</v>
      </c>
      <c r="R201" s="4">
        <f t="shared" si="19"/>
        <v>0.53649999999999998</v>
      </c>
      <c r="S201" s="2">
        <v>13</v>
      </c>
      <c r="T201" t="s">
        <v>30</v>
      </c>
      <c r="U201">
        <v>5</v>
      </c>
    </row>
    <row r="202" spans="1:22" x14ac:dyDescent="0.25">
      <c r="A202" s="1">
        <v>46182</v>
      </c>
      <c r="B202" t="s">
        <v>371</v>
      </c>
      <c r="C202" t="s">
        <v>231</v>
      </c>
      <c r="D202" t="s">
        <v>56</v>
      </c>
      <c r="E202" t="s">
        <v>57</v>
      </c>
      <c r="F202" t="s">
        <v>64</v>
      </c>
      <c r="G202" t="s">
        <v>44</v>
      </c>
      <c r="H202" t="s">
        <v>73</v>
      </c>
      <c r="I202" t="s">
        <v>39</v>
      </c>
      <c r="J202" s="2">
        <v>3</v>
      </c>
      <c r="K202" s="3">
        <v>1777.54</v>
      </c>
      <c r="L202" s="3">
        <v>1094.02</v>
      </c>
      <c r="M202" s="4">
        <v>0.11070000000000001</v>
      </c>
      <c r="N202" s="3">
        <f t="shared" si="15"/>
        <v>5332.62</v>
      </c>
      <c r="O202" s="3">
        <f t="shared" si="16"/>
        <v>4742.3</v>
      </c>
      <c r="P202" s="3">
        <f t="shared" si="17"/>
        <v>3282.06</v>
      </c>
      <c r="Q202" s="3">
        <f t="shared" si="18"/>
        <v>1460.24</v>
      </c>
      <c r="R202" s="4">
        <f t="shared" si="19"/>
        <v>0.30790000000000001</v>
      </c>
      <c r="S202" s="2">
        <v>9</v>
      </c>
      <c r="T202" t="s">
        <v>40</v>
      </c>
    </row>
    <row r="203" spans="1:22" x14ac:dyDescent="0.25">
      <c r="A203" s="1">
        <v>46217</v>
      </c>
      <c r="B203" t="s">
        <v>372</v>
      </c>
      <c r="C203" t="s">
        <v>172</v>
      </c>
      <c r="D203" t="s">
        <v>71</v>
      </c>
      <c r="E203" t="s">
        <v>72</v>
      </c>
      <c r="F203" t="s">
        <v>36</v>
      </c>
      <c r="G203" t="s">
        <v>27</v>
      </c>
      <c r="H203" t="s">
        <v>86</v>
      </c>
      <c r="I203" t="s">
        <v>53</v>
      </c>
      <c r="J203" s="2">
        <v>1</v>
      </c>
      <c r="K203" s="3">
        <v>1803.55</v>
      </c>
      <c r="L203" s="3">
        <v>1266.1300000000001</v>
      </c>
      <c r="M203" s="4">
        <v>6.0299999999999999E-2</v>
      </c>
      <c r="N203" s="3">
        <f t="shared" si="15"/>
        <v>1803.55</v>
      </c>
      <c r="O203" s="3">
        <f t="shared" si="16"/>
        <v>1694.8</v>
      </c>
      <c r="P203" s="3">
        <f t="shared" si="17"/>
        <v>1266.1300000000001</v>
      </c>
      <c r="Q203" s="3">
        <f t="shared" si="18"/>
        <v>428.67</v>
      </c>
      <c r="R203" s="4">
        <f t="shared" si="19"/>
        <v>0.25290000000000001</v>
      </c>
      <c r="S203" s="2">
        <v>5</v>
      </c>
      <c r="T203" t="s">
        <v>46</v>
      </c>
      <c r="U203">
        <v>2</v>
      </c>
    </row>
    <row r="204" spans="1:22" x14ac:dyDescent="0.25">
      <c r="A204" s="1">
        <v>46187</v>
      </c>
      <c r="B204" t="s">
        <v>373</v>
      </c>
      <c r="C204" t="s">
        <v>162</v>
      </c>
      <c r="D204" t="s">
        <v>71</v>
      </c>
      <c r="E204" t="s">
        <v>72</v>
      </c>
      <c r="F204" t="s">
        <v>64</v>
      </c>
      <c r="G204" t="s">
        <v>51</v>
      </c>
      <c r="H204" t="s">
        <v>59</v>
      </c>
      <c r="I204" t="s">
        <v>87</v>
      </c>
      <c r="J204" s="2">
        <v>8</v>
      </c>
      <c r="K204" s="3">
        <v>2097.06</v>
      </c>
      <c r="L204" s="3">
        <v>1402.16</v>
      </c>
      <c r="M204" s="4">
        <v>0</v>
      </c>
      <c r="N204" s="3">
        <f t="shared" si="15"/>
        <v>16776.48</v>
      </c>
      <c r="O204" s="3">
        <f t="shared" si="16"/>
        <v>16776.48</v>
      </c>
      <c r="P204" s="3">
        <f t="shared" si="17"/>
        <v>11217.28</v>
      </c>
      <c r="Q204" s="3">
        <f t="shared" si="18"/>
        <v>5559.2</v>
      </c>
      <c r="R204" s="4">
        <f t="shared" si="19"/>
        <v>0.33139999999999997</v>
      </c>
      <c r="S204" s="2">
        <v>2</v>
      </c>
      <c r="T204" t="s">
        <v>46</v>
      </c>
      <c r="U204">
        <v>3</v>
      </c>
    </row>
    <row r="205" spans="1:22" x14ac:dyDescent="0.25">
      <c r="A205" s="1">
        <v>46047</v>
      </c>
      <c r="B205" t="s">
        <v>374</v>
      </c>
      <c r="C205" t="s">
        <v>375</v>
      </c>
      <c r="D205" t="s">
        <v>85</v>
      </c>
      <c r="E205" t="s">
        <v>50</v>
      </c>
      <c r="F205" t="s">
        <v>58</v>
      </c>
      <c r="G205" t="s">
        <v>37</v>
      </c>
      <c r="H205" t="s">
        <v>38</v>
      </c>
      <c r="I205" t="s">
        <v>60</v>
      </c>
      <c r="J205" s="2">
        <v>1</v>
      </c>
      <c r="K205" s="3">
        <v>454.87</v>
      </c>
      <c r="L205" s="3">
        <v>190.51</v>
      </c>
      <c r="M205" s="4">
        <v>3.5000000000000003E-2</v>
      </c>
      <c r="N205" s="3">
        <f t="shared" si="15"/>
        <v>454.87</v>
      </c>
      <c r="O205" s="3">
        <f t="shared" si="16"/>
        <v>438.95</v>
      </c>
      <c r="P205" s="3">
        <f t="shared" si="17"/>
        <v>190.51</v>
      </c>
      <c r="Q205" s="3">
        <f t="shared" si="18"/>
        <v>248.44</v>
      </c>
      <c r="R205" s="4">
        <f t="shared" si="19"/>
        <v>0.56599999999999995</v>
      </c>
      <c r="S205" s="2">
        <v>9</v>
      </c>
      <c r="T205" t="s">
        <v>46</v>
      </c>
      <c r="U205">
        <v>5</v>
      </c>
    </row>
    <row r="206" spans="1:22" x14ac:dyDescent="0.25">
      <c r="A206" s="1">
        <v>46175</v>
      </c>
      <c r="B206" t="s">
        <v>376</v>
      </c>
      <c r="C206" t="s">
        <v>182</v>
      </c>
      <c r="D206" t="s">
        <v>56</v>
      </c>
      <c r="E206" t="s">
        <v>57</v>
      </c>
      <c r="F206" t="s">
        <v>36</v>
      </c>
      <c r="G206" t="s">
        <v>27</v>
      </c>
      <c r="H206" t="s">
        <v>28</v>
      </c>
      <c r="I206" t="s">
        <v>92</v>
      </c>
      <c r="J206" s="2">
        <v>1</v>
      </c>
      <c r="K206" s="3">
        <v>764.02</v>
      </c>
      <c r="L206" s="3">
        <v>474.41</v>
      </c>
      <c r="M206" s="4">
        <v>0</v>
      </c>
      <c r="N206" s="3">
        <f t="shared" si="15"/>
        <v>764.02</v>
      </c>
      <c r="O206" s="3">
        <f t="shared" si="16"/>
        <v>764.02</v>
      </c>
      <c r="P206" s="3">
        <f t="shared" si="17"/>
        <v>474.41</v>
      </c>
      <c r="Q206" s="3">
        <f t="shared" si="18"/>
        <v>289.61</v>
      </c>
      <c r="R206" s="4">
        <f t="shared" si="19"/>
        <v>0.37909999999999999</v>
      </c>
      <c r="S206" s="2">
        <v>12</v>
      </c>
      <c r="T206" t="s">
        <v>30</v>
      </c>
      <c r="U206">
        <v>4</v>
      </c>
    </row>
    <row r="207" spans="1:22" x14ac:dyDescent="0.25">
      <c r="A207" s="1">
        <v>46192</v>
      </c>
      <c r="B207" t="s">
        <v>377</v>
      </c>
      <c r="C207" t="s">
        <v>378</v>
      </c>
      <c r="D207" t="s">
        <v>130</v>
      </c>
      <c r="E207" t="s">
        <v>72</v>
      </c>
      <c r="F207" t="s">
        <v>58</v>
      </c>
      <c r="G207" t="s">
        <v>44</v>
      </c>
      <c r="H207" t="s">
        <v>45</v>
      </c>
      <c r="I207" t="s">
        <v>92</v>
      </c>
      <c r="J207" s="2">
        <v>2</v>
      </c>
      <c r="K207" s="3">
        <v>385.58</v>
      </c>
      <c r="L207" s="3">
        <v>220.35</v>
      </c>
      <c r="M207" s="4">
        <v>3.5000000000000003E-2</v>
      </c>
      <c r="N207" s="3">
        <f t="shared" si="15"/>
        <v>771.16</v>
      </c>
      <c r="O207" s="3">
        <f t="shared" si="16"/>
        <v>744.17</v>
      </c>
      <c r="P207" s="3">
        <f t="shared" si="17"/>
        <v>440.7</v>
      </c>
      <c r="Q207" s="3">
        <f t="shared" si="18"/>
        <v>303.47000000000003</v>
      </c>
      <c r="R207" s="4">
        <f t="shared" si="19"/>
        <v>0.4078</v>
      </c>
      <c r="S207" s="2">
        <v>4</v>
      </c>
      <c r="T207" t="s">
        <v>46</v>
      </c>
      <c r="U207">
        <v>3</v>
      </c>
    </row>
    <row r="208" spans="1:22" x14ac:dyDescent="0.25">
      <c r="A208" s="1">
        <v>46136</v>
      </c>
      <c r="B208" t="s">
        <v>379</v>
      </c>
      <c r="C208" t="s">
        <v>275</v>
      </c>
      <c r="D208" t="s">
        <v>130</v>
      </c>
      <c r="E208" t="s">
        <v>72</v>
      </c>
      <c r="F208" t="s">
        <v>58</v>
      </c>
      <c r="G208" t="s">
        <v>51</v>
      </c>
      <c r="H208" t="s">
        <v>59</v>
      </c>
      <c r="I208" t="s">
        <v>53</v>
      </c>
      <c r="J208" s="2">
        <v>7</v>
      </c>
      <c r="K208" s="3">
        <v>2318.67</v>
      </c>
      <c r="L208" s="3">
        <v>1521.37</v>
      </c>
      <c r="M208" s="4">
        <v>3.5000000000000003E-2</v>
      </c>
      <c r="N208" s="3">
        <f t="shared" si="15"/>
        <v>16230.69</v>
      </c>
      <c r="O208" s="3">
        <f t="shared" si="16"/>
        <v>15662.62</v>
      </c>
      <c r="P208" s="3">
        <f t="shared" si="17"/>
        <v>10649.59</v>
      </c>
      <c r="Q208" s="3">
        <f t="shared" si="18"/>
        <v>5013.03</v>
      </c>
      <c r="R208" s="4">
        <f t="shared" si="19"/>
        <v>0.3201</v>
      </c>
      <c r="S208" s="2">
        <v>12</v>
      </c>
      <c r="T208" t="s">
        <v>30</v>
      </c>
      <c r="U208">
        <v>4</v>
      </c>
    </row>
    <row r="209" spans="1:22" x14ac:dyDescent="0.25">
      <c r="A209" s="1">
        <v>46101</v>
      </c>
      <c r="B209" t="s">
        <v>380</v>
      </c>
      <c r="C209" t="s">
        <v>381</v>
      </c>
      <c r="D209" t="s">
        <v>207</v>
      </c>
      <c r="E209" t="s">
        <v>35</v>
      </c>
      <c r="F209" t="s">
        <v>58</v>
      </c>
      <c r="G209" t="s">
        <v>27</v>
      </c>
      <c r="H209" t="s">
        <v>86</v>
      </c>
      <c r="I209" t="s">
        <v>74</v>
      </c>
      <c r="J209" s="2">
        <v>8</v>
      </c>
      <c r="K209" s="3">
        <v>1828.17</v>
      </c>
      <c r="L209" s="3">
        <v>1182.7</v>
      </c>
      <c r="M209" s="4">
        <v>6.0100000000000001E-2</v>
      </c>
      <c r="N209" s="3">
        <f t="shared" si="15"/>
        <v>14625.36</v>
      </c>
      <c r="O209" s="3">
        <f t="shared" si="16"/>
        <v>13746.38</v>
      </c>
      <c r="P209" s="3">
        <f t="shared" si="17"/>
        <v>9461.6</v>
      </c>
      <c r="Q209" s="3">
        <f t="shared" si="18"/>
        <v>4284.78</v>
      </c>
      <c r="R209" s="4">
        <f t="shared" si="19"/>
        <v>0.31169999999999998</v>
      </c>
      <c r="S209" s="2">
        <v>13</v>
      </c>
      <c r="T209" t="s">
        <v>30</v>
      </c>
      <c r="U209">
        <v>3</v>
      </c>
    </row>
    <row r="210" spans="1:22" x14ac:dyDescent="0.25">
      <c r="A210" s="1">
        <v>46217</v>
      </c>
      <c r="B210" t="s">
        <v>382</v>
      </c>
      <c r="C210" t="s">
        <v>142</v>
      </c>
      <c r="D210" t="s">
        <v>43</v>
      </c>
      <c r="E210" t="s">
        <v>25</v>
      </c>
      <c r="F210" t="s">
        <v>26</v>
      </c>
      <c r="G210" t="s">
        <v>44</v>
      </c>
      <c r="H210" t="s">
        <v>73</v>
      </c>
      <c r="I210" t="s">
        <v>53</v>
      </c>
      <c r="J210" s="2">
        <v>4</v>
      </c>
      <c r="K210" s="3">
        <v>1683.15</v>
      </c>
      <c r="L210" s="3">
        <v>1110.01</v>
      </c>
      <c r="M210" s="4">
        <v>0</v>
      </c>
      <c r="N210" s="3">
        <f t="shared" si="15"/>
        <v>6732.6</v>
      </c>
      <c r="O210" s="3">
        <f t="shared" si="16"/>
        <v>6732.6</v>
      </c>
      <c r="P210" s="3">
        <f t="shared" si="17"/>
        <v>4440.04</v>
      </c>
      <c r="Q210" s="3">
        <f t="shared" si="18"/>
        <v>2292.56</v>
      </c>
      <c r="R210" s="4">
        <f t="shared" si="19"/>
        <v>0.34050000000000002</v>
      </c>
      <c r="S210" s="2">
        <v>2</v>
      </c>
      <c r="T210" t="s">
        <v>46</v>
      </c>
      <c r="U210">
        <v>2</v>
      </c>
    </row>
    <row r="211" spans="1:22" x14ac:dyDescent="0.25">
      <c r="A211" s="1">
        <v>46095</v>
      </c>
      <c r="B211" t="s">
        <v>383</v>
      </c>
      <c r="C211" t="s">
        <v>384</v>
      </c>
      <c r="D211" t="s">
        <v>97</v>
      </c>
      <c r="E211" t="s">
        <v>57</v>
      </c>
      <c r="F211" t="s">
        <v>26</v>
      </c>
      <c r="G211" t="s">
        <v>51</v>
      </c>
      <c r="H211" t="s">
        <v>52</v>
      </c>
      <c r="I211" t="s">
        <v>77</v>
      </c>
      <c r="J211" s="2">
        <v>5</v>
      </c>
      <c r="K211" s="3">
        <v>259.68</v>
      </c>
      <c r="L211" s="3">
        <v>118.5</v>
      </c>
      <c r="M211" s="4">
        <v>8.1600000000000006E-2</v>
      </c>
      <c r="N211" s="3">
        <f t="shared" si="15"/>
        <v>1298.4000000000001</v>
      </c>
      <c r="O211" s="3">
        <f t="shared" si="16"/>
        <v>1192.45</v>
      </c>
      <c r="P211" s="3">
        <f t="shared" si="17"/>
        <v>592.5</v>
      </c>
      <c r="Q211" s="3">
        <f t="shared" si="18"/>
        <v>599.95000000000005</v>
      </c>
      <c r="R211" s="4">
        <f t="shared" si="19"/>
        <v>0.50309999999999999</v>
      </c>
      <c r="S211" s="2">
        <v>10</v>
      </c>
      <c r="T211" t="s">
        <v>46</v>
      </c>
      <c r="U211">
        <v>2</v>
      </c>
    </row>
    <row r="212" spans="1:22" x14ac:dyDescent="0.25">
      <c r="A212" s="1">
        <v>46135</v>
      </c>
      <c r="B212" t="s">
        <v>385</v>
      </c>
      <c r="C212" t="s">
        <v>386</v>
      </c>
      <c r="D212" t="s">
        <v>56</v>
      </c>
      <c r="E212" t="s">
        <v>57</v>
      </c>
      <c r="F212" t="s">
        <v>36</v>
      </c>
      <c r="G212" t="s">
        <v>27</v>
      </c>
      <c r="H212" t="s">
        <v>86</v>
      </c>
      <c r="I212" t="s">
        <v>53</v>
      </c>
      <c r="J212" s="2">
        <v>8</v>
      </c>
      <c r="K212" s="3">
        <v>1803.95</v>
      </c>
      <c r="L212" s="3">
        <v>1188.97</v>
      </c>
      <c r="M212" s="4">
        <v>6.9999999999999999E-4</v>
      </c>
      <c r="N212" s="3">
        <f t="shared" si="15"/>
        <v>14431.6</v>
      </c>
      <c r="O212" s="3">
        <f t="shared" si="16"/>
        <v>14421.5</v>
      </c>
      <c r="P212" s="3">
        <f t="shared" si="17"/>
        <v>9511.76</v>
      </c>
      <c r="Q212" s="3">
        <f t="shared" si="18"/>
        <v>4909.74</v>
      </c>
      <c r="R212" s="4">
        <f t="shared" si="19"/>
        <v>0.34039999999999998</v>
      </c>
      <c r="S212" s="2">
        <v>13</v>
      </c>
      <c r="T212" t="s">
        <v>30</v>
      </c>
      <c r="U212">
        <v>3</v>
      </c>
    </row>
    <row r="213" spans="1:22" x14ac:dyDescent="0.25">
      <c r="A213" s="1">
        <v>46034</v>
      </c>
      <c r="B213" t="s">
        <v>387</v>
      </c>
      <c r="C213" t="s">
        <v>381</v>
      </c>
      <c r="D213" t="s">
        <v>101</v>
      </c>
      <c r="E213" t="s">
        <v>35</v>
      </c>
      <c r="F213" t="s">
        <v>58</v>
      </c>
      <c r="G213" t="s">
        <v>44</v>
      </c>
      <c r="H213" t="s">
        <v>124</v>
      </c>
      <c r="I213" t="s">
        <v>77</v>
      </c>
      <c r="J213" s="2">
        <v>8</v>
      </c>
      <c r="K213" s="3">
        <v>5550.63</v>
      </c>
      <c r="L213" s="3">
        <v>6426.3</v>
      </c>
      <c r="M213" s="4">
        <v>3.5000000000000003E-2</v>
      </c>
      <c r="N213" s="3">
        <f t="shared" si="15"/>
        <v>44405.04</v>
      </c>
      <c r="O213" s="3">
        <f t="shared" si="16"/>
        <v>42850.86</v>
      </c>
      <c r="P213" s="3">
        <f t="shared" si="17"/>
        <v>51410.400000000001</v>
      </c>
      <c r="Q213" s="3">
        <f t="shared" si="18"/>
        <v>-8559.5400000000009</v>
      </c>
      <c r="R213" s="4">
        <f t="shared" si="19"/>
        <v>-0.19980000000000001</v>
      </c>
      <c r="S213" s="2">
        <v>8</v>
      </c>
      <c r="T213" t="s">
        <v>46</v>
      </c>
      <c r="U213">
        <v>3</v>
      </c>
      <c r="V213" t="s">
        <v>388</v>
      </c>
    </row>
    <row r="214" spans="1:22" x14ac:dyDescent="0.25">
      <c r="A214" s="1">
        <v>46157</v>
      </c>
      <c r="B214" t="s">
        <v>389</v>
      </c>
      <c r="C214" t="s">
        <v>55</v>
      </c>
      <c r="D214" t="s">
        <v>139</v>
      </c>
      <c r="E214" t="s">
        <v>72</v>
      </c>
      <c r="F214" t="s">
        <v>64</v>
      </c>
      <c r="G214" t="s">
        <v>51</v>
      </c>
      <c r="H214" t="s">
        <v>52</v>
      </c>
      <c r="I214" t="s">
        <v>74</v>
      </c>
      <c r="J214" s="2">
        <v>3</v>
      </c>
      <c r="K214" s="3">
        <v>253.56</v>
      </c>
      <c r="L214" s="3">
        <v>121.41</v>
      </c>
      <c r="M214" s="4">
        <v>2.2700000000000001E-2</v>
      </c>
      <c r="N214" s="3">
        <f t="shared" si="15"/>
        <v>760.68</v>
      </c>
      <c r="O214" s="3">
        <f t="shared" si="16"/>
        <v>743.41</v>
      </c>
      <c r="P214" s="3">
        <f t="shared" si="17"/>
        <v>364.23</v>
      </c>
      <c r="Q214" s="3">
        <f t="shared" si="18"/>
        <v>379.18</v>
      </c>
      <c r="R214" s="4">
        <f t="shared" si="19"/>
        <v>0.5101</v>
      </c>
      <c r="S214" s="2">
        <v>9</v>
      </c>
      <c r="T214" t="s">
        <v>46</v>
      </c>
      <c r="U214">
        <v>4</v>
      </c>
    </row>
    <row r="215" spans="1:22" x14ac:dyDescent="0.25">
      <c r="A215" s="1">
        <v>46171</v>
      </c>
      <c r="B215" t="s">
        <v>390</v>
      </c>
      <c r="C215" t="s">
        <v>233</v>
      </c>
      <c r="D215" t="s">
        <v>101</v>
      </c>
      <c r="E215" t="s">
        <v>35</v>
      </c>
      <c r="F215" t="s">
        <v>58</v>
      </c>
      <c r="G215" t="s">
        <v>27</v>
      </c>
      <c r="H215" t="s">
        <v>86</v>
      </c>
      <c r="I215" t="s">
        <v>74</v>
      </c>
      <c r="J215" s="2">
        <v>6</v>
      </c>
      <c r="K215" s="3">
        <v>1873.52</v>
      </c>
      <c r="L215" s="3">
        <v>1179.45</v>
      </c>
      <c r="M215" s="4">
        <v>3.5000000000000003E-2</v>
      </c>
      <c r="N215" s="3">
        <f t="shared" si="15"/>
        <v>11241.12</v>
      </c>
      <c r="O215" s="3">
        <f t="shared" si="16"/>
        <v>10847.68</v>
      </c>
      <c r="P215" s="3">
        <f t="shared" si="17"/>
        <v>7076.7</v>
      </c>
      <c r="Q215" s="3">
        <f t="shared" si="18"/>
        <v>3770.98</v>
      </c>
      <c r="R215" s="4">
        <f t="shared" si="19"/>
        <v>0.34760000000000002</v>
      </c>
      <c r="S215" s="2">
        <v>5</v>
      </c>
      <c r="T215" t="s">
        <v>46</v>
      </c>
      <c r="U215">
        <v>2</v>
      </c>
    </row>
    <row r="216" spans="1:22" x14ac:dyDescent="0.25">
      <c r="A216" s="1">
        <v>46031</v>
      </c>
      <c r="B216" t="s">
        <v>391</v>
      </c>
      <c r="C216" t="s">
        <v>392</v>
      </c>
      <c r="D216" t="s">
        <v>43</v>
      </c>
      <c r="E216" t="s">
        <v>25</v>
      </c>
      <c r="F216" t="s">
        <v>26</v>
      </c>
      <c r="G216" t="s">
        <v>27</v>
      </c>
      <c r="H216" t="s">
        <v>86</v>
      </c>
      <c r="I216" t="s">
        <v>53</v>
      </c>
      <c r="J216" s="2">
        <v>3</v>
      </c>
      <c r="K216" s="3">
        <v>1809.78</v>
      </c>
      <c r="L216" s="3">
        <v>1237.21</v>
      </c>
      <c r="M216" s="4">
        <v>5.4399999999999997E-2</v>
      </c>
      <c r="N216" s="3">
        <f t="shared" si="15"/>
        <v>5429.34</v>
      </c>
      <c r="O216" s="3">
        <f t="shared" si="16"/>
        <v>5133.9799999999996</v>
      </c>
      <c r="P216" s="3">
        <f t="shared" si="17"/>
        <v>3711.63</v>
      </c>
      <c r="Q216" s="3">
        <f t="shared" si="18"/>
        <v>1422.35</v>
      </c>
      <c r="R216" s="4">
        <f t="shared" si="19"/>
        <v>0.27700000000000002</v>
      </c>
      <c r="S216" s="2">
        <v>14</v>
      </c>
      <c r="T216" t="s">
        <v>30</v>
      </c>
      <c r="U216">
        <v>3</v>
      </c>
    </row>
    <row r="217" spans="1:22" x14ac:dyDescent="0.25">
      <c r="A217" s="1">
        <v>46056</v>
      </c>
      <c r="B217" t="s">
        <v>393</v>
      </c>
      <c r="C217" t="s">
        <v>180</v>
      </c>
      <c r="D217" t="s">
        <v>139</v>
      </c>
      <c r="E217" t="s">
        <v>72</v>
      </c>
      <c r="F217" t="s">
        <v>36</v>
      </c>
      <c r="G217" t="s">
        <v>27</v>
      </c>
      <c r="H217" t="s">
        <v>68</v>
      </c>
      <c r="I217" t="s">
        <v>92</v>
      </c>
      <c r="J217" s="2">
        <v>3</v>
      </c>
      <c r="K217" s="3">
        <v>1271.3900000000001</v>
      </c>
      <c r="L217" s="3">
        <v>772.9</v>
      </c>
      <c r="M217" s="4">
        <v>9.5500000000000002E-2</v>
      </c>
      <c r="N217" s="3">
        <f t="shared" si="15"/>
        <v>3814.17</v>
      </c>
      <c r="O217" s="3">
        <f t="shared" si="16"/>
        <v>3449.92</v>
      </c>
      <c r="P217" s="3">
        <f t="shared" si="17"/>
        <v>2318.6999999999998</v>
      </c>
      <c r="Q217" s="3">
        <f t="shared" si="18"/>
        <v>1131.22</v>
      </c>
      <c r="R217" s="4">
        <f t="shared" si="19"/>
        <v>0.32790000000000002</v>
      </c>
      <c r="S217" s="2">
        <v>13</v>
      </c>
      <c r="T217" t="s">
        <v>30</v>
      </c>
      <c r="U217">
        <v>5</v>
      </c>
    </row>
    <row r="218" spans="1:22" x14ac:dyDescent="0.25">
      <c r="A218" s="1">
        <v>46024</v>
      </c>
      <c r="B218" t="s">
        <v>394</v>
      </c>
      <c r="C218" t="s">
        <v>201</v>
      </c>
      <c r="D218" t="s">
        <v>63</v>
      </c>
      <c r="E218" t="s">
        <v>35</v>
      </c>
      <c r="F218" t="s">
        <v>58</v>
      </c>
      <c r="G218" t="s">
        <v>37</v>
      </c>
      <c r="H218" t="s">
        <v>104</v>
      </c>
      <c r="I218" t="s">
        <v>87</v>
      </c>
      <c r="J218" s="2">
        <v>8</v>
      </c>
      <c r="K218" s="3">
        <v>318.64999999999998</v>
      </c>
      <c r="L218" s="3">
        <v>132.01</v>
      </c>
      <c r="M218" s="4">
        <v>3.5000000000000003E-2</v>
      </c>
      <c r="N218" s="3">
        <f t="shared" si="15"/>
        <v>2549.1999999999998</v>
      </c>
      <c r="O218" s="3">
        <f t="shared" si="16"/>
        <v>2459.98</v>
      </c>
      <c r="P218" s="3">
        <f t="shared" si="17"/>
        <v>1056.08</v>
      </c>
      <c r="Q218" s="3">
        <f t="shared" si="18"/>
        <v>1403.9</v>
      </c>
      <c r="R218" s="4">
        <f t="shared" si="19"/>
        <v>0.57069999999999999</v>
      </c>
      <c r="S218" s="2">
        <v>4</v>
      </c>
      <c r="T218" t="s">
        <v>46</v>
      </c>
      <c r="U218">
        <v>5</v>
      </c>
    </row>
    <row r="219" spans="1:22" x14ac:dyDescent="0.25">
      <c r="A219" s="1">
        <v>46181</v>
      </c>
      <c r="B219" t="s">
        <v>395</v>
      </c>
      <c r="C219" t="s">
        <v>392</v>
      </c>
      <c r="D219" t="s">
        <v>130</v>
      </c>
      <c r="E219" t="s">
        <v>72</v>
      </c>
      <c r="F219" t="s">
        <v>64</v>
      </c>
      <c r="G219" t="s">
        <v>44</v>
      </c>
      <c r="H219" t="s">
        <v>45</v>
      </c>
      <c r="I219" t="s">
        <v>77</v>
      </c>
      <c r="J219" s="2">
        <v>8</v>
      </c>
      <c r="K219" s="3">
        <v>404.18</v>
      </c>
      <c r="L219" s="3">
        <v>213.51</v>
      </c>
      <c r="M219" s="4">
        <v>1.7899999999999999E-2</v>
      </c>
      <c r="N219" s="3">
        <f t="shared" si="15"/>
        <v>3233.44</v>
      </c>
      <c r="O219" s="3">
        <f t="shared" si="16"/>
        <v>3175.56</v>
      </c>
      <c r="P219" s="3">
        <f t="shared" si="17"/>
        <v>1708.08</v>
      </c>
      <c r="Q219" s="3">
        <f t="shared" si="18"/>
        <v>1467.48</v>
      </c>
      <c r="R219" s="4">
        <f t="shared" si="19"/>
        <v>0.46210000000000001</v>
      </c>
      <c r="S219" s="2">
        <v>9</v>
      </c>
      <c r="T219" t="s">
        <v>46</v>
      </c>
      <c r="U219">
        <v>2</v>
      </c>
    </row>
    <row r="220" spans="1:22" x14ac:dyDescent="0.25">
      <c r="A220" s="1">
        <v>46062</v>
      </c>
      <c r="B220" t="s">
        <v>396</v>
      </c>
      <c r="C220" t="s">
        <v>168</v>
      </c>
      <c r="D220" t="s">
        <v>85</v>
      </c>
      <c r="E220" t="s">
        <v>50</v>
      </c>
      <c r="F220" t="s">
        <v>64</v>
      </c>
      <c r="G220" t="s">
        <v>44</v>
      </c>
      <c r="H220" t="s">
        <v>45</v>
      </c>
      <c r="I220" t="s">
        <v>65</v>
      </c>
      <c r="J220" s="2">
        <v>8</v>
      </c>
      <c r="K220" s="3">
        <v>375.02</v>
      </c>
      <c r="L220" s="3">
        <v>213.9</v>
      </c>
      <c r="M220" s="4">
        <v>0</v>
      </c>
      <c r="N220" s="3">
        <f t="shared" si="15"/>
        <v>3000.16</v>
      </c>
      <c r="O220" s="3">
        <f t="shared" si="16"/>
        <v>3000.16</v>
      </c>
      <c r="P220" s="3">
        <f t="shared" si="17"/>
        <v>1711.2</v>
      </c>
      <c r="Q220" s="3">
        <f t="shared" si="18"/>
        <v>1288.96</v>
      </c>
      <c r="R220" s="4">
        <f t="shared" si="19"/>
        <v>0.42959999999999998</v>
      </c>
      <c r="S220" s="2">
        <v>6</v>
      </c>
      <c r="T220" t="s">
        <v>46</v>
      </c>
      <c r="U220">
        <v>4</v>
      </c>
    </row>
    <row r="221" spans="1:22" x14ac:dyDescent="0.25">
      <c r="A221" s="1">
        <v>46059</v>
      </c>
      <c r="B221" t="s">
        <v>397</v>
      </c>
      <c r="C221" t="s">
        <v>182</v>
      </c>
      <c r="D221" t="s">
        <v>71</v>
      </c>
      <c r="E221" t="s">
        <v>72</v>
      </c>
      <c r="F221" t="s">
        <v>26</v>
      </c>
      <c r="G221" t="s">
        <v>51</v>
      </c>
      <c r="H221" t="s">
        <v>59</v>
      </c>
      <c r="I221" t="s">
        <v>53</v>
      </c>
      <c r="J221" s="2">
        <v>5</v>
      </c>
      <c r="K221" s="3">
        <v>2103.63</v>
      </c>
      <c r="L221" s="3">
        <v>1473.85</v>
      </c>
      <c r="M221" s="4">
        <v>0</v>
      </c>
      <c r="N221" s="3">
        <f t="shared" si="15"/>
        <v>10518.15</v>
      </c>
      <c r="O221" s="3">
        <f t="shared" si="16"/>
        <v>10518.15</v>
      </c>
      <c r="P221" s="3">
        <f t="shared" si="17"/>
        <v>7369.25</v>
      </c>
      <c r="Q221" s="3">
        <f t="shared" si="18"/>
        <v>3148.9</v>
      </c>
      <c r="R221" s="4">
        <f t="shared" si="19"/>
        <v>0.2994</v>
      </c>
      <c r="S221" s="2">
        <v>29</v>
      </c>
      <c r="T221" t="s">
        <v>30</v>
      </c>
      <c r="U221">
        <v>1</v>
      </c>
      <c r="V221" t="s">
        <v>208</v>
      </c>
    </row>
    <row r="222" spans="1:22" x14ac:dyDescent="0.25">
      <c r="A222" s="1">
        <v>46096</v>
      </c>
      <c r="B222" t="s">
        <v>398</v>
      </c>
      <c r="C222" t="s">
        <v>297</v>
      </c>
      <c r="D222" t="s">
        <v>56</v>
      </c>
      <c r="E222" t="s">
        <v>57</v>
      </c>
      <c r="F222" t="s">
        <v>64</v>
      </c>
      <c r="G222" t="s">
        <v>51</v>
      </c>
      <c r="H222" t="s">
        <v>59</v>
      </c>
      <c r="I222" t="s">
        <v>53</v>
      </c>
      <c r="J222" s="2">
        <v>3</v>
      </c>
      <c r="K222" s="3">
        <v>2161.31</v>
      </c>
      <c r="L222" s="3">
        <v>1433.47</v>
      </c>
      <c r="M222" s="4">
        <v>3.8600000000000002E-2</v>
      </c>
      <c r="N222" s="3">
        <f t="shared" si="15"/>
        <v>6483.93</v>
      </c>
      <c r="O222" s="3">
        <f t="shared" si="16"/>
        <v>6233.65</v>
      </c>
      <c r="P222" s="3">
        <f t="shared" si="17"/>
        <v>4300.41</v>
      </c>
      <c r="Q222" s="3">
        <f t="shared" si="18"/>
        <v>1933.24</v>
      </c>
      <c r="R222" s="4">
        <f t="shared" si="19"/>
        <v>0.31009999999999999</v>
      </c>
      <c r="S222" s="2">
        <v>13</v>
      </c>
      <c r="T222" t="s">
        <v>30</v>
      </c>
      <c r="U222">
        <v>2</v>
      </c>
    </row>
    <row r="223" spans="1:22" x14ac:dyDescent="0.25">
      <c r="A223" s="1">
        <v>46156</v>
      </c>
      <c r="B223" t="s">
        <v>399</v>
      </c>
      <c r="C223" t="s">
        <v>201</v>
      </c>
      <c r="D223" t="s">
        <v>207</v>
      </c>
      <c r="E223" t="s">
        <v>35</v>
      </c>
      <c r="F223" t="s">
        <v>64</v>
      </c>
      <c r="G223" t="s">
        <v>44</v>
      </c>
      <c r="H223" t="s">
        <v>124</v>
      </c>
      <c r="I223" t="s">
        <v>87</v>
      </c>
      <c r="J223" s="2">
        <v>3</v>
      </c>
      <c r="K223" s="3">
        <v>5680.03</v>
      </c>
      <c r="L223" s="3">
        <v>4278.6099999999997</v>
      </c>
      <c r="M223" s="4">
        <v>0.1157</v>
      </c>
      <c r="N223" s="3">
        <f t="shared" si="15"/>
        <v>17040.09</v>
      </c>
      <c r="O223" s="3">
        <f t="shared" si="16"/>
        <v>15068.55</v>
      </c>
      <c r="P223" s="3">
        <f t="shared" si="17"/>
        <v>12835.83</v>
      </c>
      <c r="Q223" s="3">
        <f t="shared" si="18"/>
        <v>2232.7199999999998</v>
      </c>
      <c r="R223" s="4">
        <f t="shared" si="19"/>
        <v>0.1482</v>
      </c>
      <c r="S223" s="2">
        <v>14</v>
      </c>
      <c r="T223" t="s">
        <v>30</v>
      </c>
      <c r="U223">
        <v>3</v>
      </c>
    </row>
    <row r="224" spans="1:22" x14ac:dyDescent="0.25">
      <c r="A224" s="1">
        <v>46073</v>
      </c>
      <c r="B224" t="s">
        <v>400</v>
      </c>
      <c r="C224" t="s">
        <v>401</v>
      </c>
      <c r="D224" t="s">
        <v>34</v>
      </c>
      <c r="E224" t="s">
        <v>35</v>
      </c>
      <c r="F224" t="s">
        <v>26</v>
      </c>
      <c r="G224" t="s">
        <v>44</v>
      </c>
      <c r="H224" t="s">
        <v>73</v>
      </c>
      <c r="I224" t="s">
        <v>74</v>
      </c>
      <c r="J224" s="2">
        <v>3</v>
      </c>
      <c r="K224" s="3">
        <v>1754.12</v>
      </c>
      <c r="L224" s="3">
        <v>1095.55</v>
      </c>
      <c r="M224" s="4">
        <v>0</v>
      </c>
      <c r="N224" s="3">
        <f t="shared" si="15"/>
        <v>5262.36</v>
      </c>
      <c r="O224" s="3">
        <f t="shared" si="16"/>
        <v>5262.36</v>
      </c>
      <c r="P224" s="3">
        <f t="shared" si="17"/>
        <v>3286.65</v>
      </c>
      <c r="Q224" s="3">
        <f t="shared" si="18"/>
        <v>1975.71</v>
      </c>
      <c r="R224" s="4">
        <f t="shared" si="19"/>
        <v>0.37540000000000001</v>
      </c>
      <c r="S224" s="2">
        <v>4</v>
      </c>
      <c r="T224" t="s">
        <v>46</v>
      </c>
      <c r="U224">
        <v>3</v>
      </c>
    </row>
    <row r="225" spans="1:21" x14ac:dyDescent="0.25">
      <c r="A225" s="1">
        <v>46188</v>
      </c>
      <c r="B225" t="s">
        <v>402</v>
      </c>
      <c r="C225" t="s">
        <v>198</v>
      </c>
      <c r="D225" t="s">
        <v>130</v>
      </c>
      <c r="E225" t="s">
        <v>72</v>
      </c>
      <c r="F225" t="s">
        <v>36</v>
      </c>
      <c r="G225" t="s">
        <v>44</v>
      </c>
      <c r="H225" t="s">
        <v>124</v>
      </c>
      <c r="I225" t="s">
        <v>77</v>
      </c>
      <c r="J225" s="2">
        <v>7</v>
      </c>
      <c r="K225" s="3">
        <v>6020.95</v>
      </c>
      <c r="L225" s="3">
        <v>4340.8599999999997</v>
      </c>
      <c r="M225" s="4">
        <v>0</v>
      </c>
      <c r="N225" s="3">
        <f t="shared" si="15"/>
        <v>42146.65</v>
      </c>
      <c r="O225" s="3">
        <f t="shared" si="16"/>
        <v>42146.65</v>
      </c>
      <c r="P225" s="3">
        <f t="shared" si="17"/>
        <v>30386.02</v>
      </c>
      <c r="Q225" s="3">
        <f t="shared" si="18"/>
        <v>11760.63</v>
      </c>
      <c r="R225" s="4">
        <f t="shared" si="19"/>
        <v>0.27900000000000003</v>
      </c>
      <c r="S225" s="2">
        <v>7</v>
      </c>
      <c r="T225" t="s">
        <v>46</v>
      </c>
      <c r="U225">
        <v>4</v>
      </c>
    </row>
    <row r="226" spans="1:21" x14ac:dyDescent="0.25">
      <c r="A226" s="1">
        <v>46053</v>
      </c>
      <c r="B226" t="s">
        <v>403</v>
      </c>
      <c r="C226" t="s">
        <v>378</v>
      </c>
      <c r="D226" t="s">
        <v>113</v>
      </c>
      <c r="E226" t="s">
        <v>50</v>
      </c>
      <c r="F226" t="s">
        <v>58</v>
      </c>
      <c r="G226" t="s">
        <v>51</v>
      </c>
      <c r="H226" t="s">
        <v>59</v>
      </c>
      <c r="I226" t="s">
        <v>29</v>
      </c>
      <c r="J226" s="2">
        <v>4</v>
      </c>
      <c r="K226" s="3">
        <v>2217.52</v>
      </c>
      <c r="L226" s="3">
        <v>1431.44</v>
      </c>
      <c r="M226" s="4">
        <v>6.3799999999999996E-2</v>
      </c>
      <c r="N226" s="3">
        <f t="shared" si="15"/>
        <v>8870.08</v>
      </c>
      <c r="O226" s="3">
        <f t="shared" si="16"/>
        <v>8304.17</v>
      </c>
      <c r="P226" s="3">
        <f t="shared" si="17"/>
        <v>5725.76</v>
      </c>
      <c r="Q226" s="3">
        <f t="shared" si="18"/>
        <v>2578.41</v>
      </c>
      <c r="R226" s="4">
        <f t="shared" si="19"/>
        <v>0.3105</v>
      </c>
      <c r="S226" s="2">
        <v>3</v>
      </c>
      <c r="T226" t="s">
        <v>46</v>
      </c>
      <c r="U226">
        <v>4</v>
      </c>
    </row>
    <row r="227" spans="1:21" x14ac:dyDescent="0.25">
      <c r="A227" s="1">
        <v>46127</v>
      </c>
      <c r="B227" t="s">
        <v>404</v>
      </c>
      <c r="C227" t="s">
        <v>150</v>
      </c>
      <c r="D227" t="s">
        <v>43</v>
      </c>
      <c r="E227" t="s">
        <v>25</v>
      </c>
      <c r="F227" t="s">
        <v>26</v>
      </c>
      <c r="G227" t="s">
        <v>51</v>
      </c>
      <c r="H227" t="s">
        <v>59</v>
      </c>
      <c r="I227" t="s">
        <v>53</v>
      </c>
      <c r="J227" s="2">
        <v>2</v>
      </c>
      <c r="K227" s="3">
        <v>2314.5500000000002</v>
      </c>
      <c r="L227" s="3">
        <v>1472.65</v>
      </c>
      <c r="M227" s="4">
        <v>0.10730000000000001</v>
      </c>
      <c r="N227" s="3">
        <f t="shared" si="15"/>
        <v>4629.1000000000004</v>
      </c>
      <c r="O227" s="3">
        <f t="shared" si="16"/>
        <v>4132.3999999999996</v>
      </c>
      <c r="P227" s="3">
        <f t="shared" si="17"/>
        <v>2945.3</v>
      </c>
      <c r="Q227" s="3">
        <f t="shared" si="18"/>
        <v>1187.0999999999999</v>
      </c>
      <c r="R227" s="4">
        <f t="shared" si="19"/>
        <v>0.2873</v>
      </c>
      <c r="S227" s="2">
        <v>4</v>
      </c>
      <c r="T227" t="s">
        <v>46</v>
      </c>
      <c r="U227">
        <v>4</v>
      </c>
    </row>
    <row r="228" spans="1:21" x14ac:dyDescent="0.25">
      <c r="A228" s="1">
        <v>46035</v>
      </c>
      <c r="B228" t="s">
        <v>405</v>
      </c>
      <c r="C228" t="s">
        <v>284</v>
      </c>
      <c r="D228" t="s">
        <v>97</v>
      </c>
      <c r="E228" t="s">
        <v>57</v>
      </c>
      <c r="F228" t="s">
        <v>26</v>
      </c>
      <c r="G228" t="s">
        <v>44</v>
      </c>
      <c r="H228" t="s">
        <v>124</v>
      </c>
      <c r="I228" t="s">
        <v>77</v>
      </c>
      <c r="J228" s="2">
        <v>7</v>
      </c>
      <c r="K228" s="3">
        <v>5997.2</v>
      </c>
      <c r="L228" s="3">
        <v>4180.12</v>
      </c>
      <c r="M228" s="4">
        <v>0</v>
      </c>
      <c r="N228" s="3">
        <f t="shared" si="15"/>
        <v>41980.4</v>
      </c>
      <c r="O228" s="3">
        <f t="shared" si="16"/>
        <v>41980.4</v>
      </c>
      <c r="P228" s="3">
        <f t="shared" si="17"/>
        <v>29260.84</v>
      </c>
      <c r="Q228" s="3">
        <f t="shared" si="18"/>
        <v>12719.56</v>
      </c>
      <c r="R228" s="4">
        <f t="shared" si="19"/>
        <v>0.30299999999999999</v>
      </c>
      <c r="S228" s="2">
        <v>2</v>
      </c>
      <c r="T228" t="s">
        <v>46</v>
      </c>
      <c r="U228">
        <v>5</v>
      </c>
    </row>
    <row r="229" spans="1:21" x14ac:dyDescent="0.25">
      <c r="A229" s="1">
        <v>46161</v>
      </c>
      <c r="B229" t="s">
        <v>406</v>
      </c>
      <c r="C229" t="s">
        <v>96</v>
      </c>
      <c r="D229" t="s">
        <v>113</v>
      </c>
      <c r="E229" t="s">
        <v>50</v>
      </c>
      <c r="F229" t="s">
        <v>58</v>
      </c>
      <c r="G229" t="s">
        <v>27</v>
      </c>
      <c r="H229" t="s">
        <v>86</v>
      </c>
      <c r="I229" t="s">
        <v>74</v>
      </c>
      <c r="J229" s="2">
        <v>4</v>
      </c>
      <c r="K229" s="3">
        <v>1881.08</v>
      </c>
      <c r="L229" s="3">
        <v>1210.97</v>
      </c>
      <c r="M229" s="4">
        <v>0.15559999999999999</v>
      </c>
      <c r="N229" s="3">
        <f t="shared" si="15"/>
        <v>7524.32</v>
      </c>
      <c r="O229" s="3">
        <f t="shared" si="16"/>
        <v>6353.54</v>
      </c>
      <c r="P229" s="3">
        <f t="shared" si="17"/>
        <v>4843.88</v>
      </c>
      <c r="Q229" s="3">
        <f t="shared" si="18"/>
        <v>1509.66</v>
      </c>
      <c r="R229" s="4">
        <f t="shared" si="19"/>
        <v>0.23760000000000001</v>
      </c>
      <c r="S229" s="2">
        <v>2</v>
      </c>
      <c r="T229" t="s">
        <v>46</v>
      </c>
      <c r="U229">
        <v>3</v>
      </c>
    </row>
    <row r="230" spans="1:21" x14ac:dyDescent="0.25">
      <c r="A230" s="1">
        <v>46231</v>
      </c>
      <c r="B230" t="s">
        <v>407</v>
      </c>
      <c r="C230" t="s">
        <v>112</v>
      </c>
      <c r="D230" t="s">
        <v>43</v>
      </c>
      <c r="E230" t="s">
        <v>25</v>
      </c>
      <c r="F230" t="s">
        <v>26</v>
      </c>
      <c r="G230" t="s">
        <v>51</v>
      </c>
      <c r="H230" t="s">
        <v>52</v>
      </c>
      <c r="I230" t="s">
        <v>60</v>
      </c>
      <c r="J230" s="2">
        <v>6</v>
      </c>
      <c r="K230" s="3">
        <v>250.92</v>
      </c>
      <c r="L230" s="3">
        <v>118.22</v>
      </c>
      <c r="M230" s="4">
        <v>3.49E-2</v>
      </c>
      <c r="N230" s="3">
        <f t="shared" si="15"/>
        <v>1505.52</v>
      </c>
      <c r="O230" s="3">
        <f t="shared" si="16"/>
        <v>1452.98</v>
      </c>
      <c r="P230" s="3">
        <f t="shared" si="17"/>
        <v>709.32</v>
      </c>
      <c r="Q230" s="3">
        <f t="shared" si="18"/>
        <v>743.66</v>
      </c>
      <c r="R230" s="4">
        <f t="shared" si="19"/>
        <v>0.51180000000000003</v>
      </c>
      <c r="S230" s="2">
        <v>14</v>
      </c>
      <c r="T230" t="s">
        <v>30</v>
      </c>
      <c r="U230">
        <v>4</v>
      </c>
    </row>
    <row r="231" spans="1:21" x14ac:dyDescent="0.25">
      <c r="A231" s="1">
        <v>46183</v>
      </c>
      <c r="B231" t="s">
        <v>408</v>
      </c>
      <c r="C231" t="s">
        <v>378</v>
      </c>
      <c r="D231" t="s">
        <v>121</v>
      </c>
      <c r="E231" t="s">
        <v>72</v>
      </c>
      <c r="F231" t="s">
        <v>26</v>
      </c>
      <c r="G231" t="s">
        <v>44</v>
      </c>
      <c r="H231" t="s">
        <v>73</v>
      </c>
      <c r="I231" t="s">
        <v>92</v>
      </c>
      <c r="J231" s="2">
        <v>4</v>
      </c>
      <c r="K231" s="3">
        <v>1715.15</v>
      </c>
      <c r="L231" s="3">
        <v>1144.02</v>
      </c>
      <c r="M231" s="4">
        <v>0.11749999999999999</v>
      </c>
      <c r="N231" s="3">
        <f t="shared" si="15"/>
        <v>6860.6</v>
      </c>
      <c r="O231" s="3">
        <f t="shared" si="16"/>
        <v>6054.48</v>
      </c>
      <c r="P231" s="3">
        <f t="shared" si="17"/>
        <v>4576.08</v>
      </c>
      <c r="Q231" s="3">
        <f t="shared" si="18"/>
        <v>1478.4</v>
      </c>
      <c r="R231" s="4">
        <f t="shared" si="19"/>
        <v>0.2442</v>
      </c>
      <c r="S231" s="2">
        <v>7</v>
      </c>
      <c r="T231" t="s">
        <v>46</v>
      </c>
      <c r="U231">
        <v>5</v>
      </c>
    </row>
    <row r="232" spans="1:21" x14ac:dyDescent="0.25">
      <c r="A232" s="1">
        <v>46095</v>
      </c>
      <c r="B232" t="s">
        <v>409</v>
      </c>
      <c r="C232" t="s">
        <v>233</v>
      </c>
      <c r="D232" t="s">
        <v>97</v>
      </c>
      <c r="E232" t="s">
        <v>57</v>
      </c>
      <c r="F232" t="s">
        <v>58</v>
      </c>
      <c r="G232" t="s">
        <v>27</v>
      </c>
      <c r="H232" t="s">
        <v>68</v>
      </c>
      <c r="I232" t="s">
        <v>74</v>
      </c>
      <c r="J232" s="2">
        <v>2</v>
      </c>
      <c r="K232" s="3">
        <v>1260.24</v>
      </c>
      <c r="L232" s="3">
        <v>788.01</v>
      </c>
      <c r="M232" s="4">
        <v>0.1459</v>
      </c>
      <c r="N232" s="3">
        <f t="shared" si="15"/>
        <v>2520.48</v>
      </c>
      <c r="O232" s="3">
        <f t="shared" si="16"/>
        <v>2152.7399999999998</v>
      </c>
      <c r="P232" s="3">
        <f t="shared" si="17"/>
        <v>1576.02</v>
      </c>
      <c r="Q232" s="3">
        <f t="shared" si="18"/>
        <v>576.72</v>
      </c>
      <c r="R232" s="4">
        <f t="shared" si="19"/>
        <v>0.26790000000000003</v>
      </c>
      <c r="S232" s="2">
        <v>10</v>
      </c>
      <c r="T232" t="s">
        <v>46</v>
      </c>
      <c r="U232">
        <v>4</v>
      </c>
    </row>
    <row r="233" spans="1:21" x14ac:dyDescent="0.25">
      <c r="A233" s="1">
        <v>46037</v>
      </c>
      <c r="B233" t="s">
        <v>410</v>
      </c>
      <c r="C233" t="s">
        <v>76</v>
      </c>
      <c r="D233" t="s">
        <v>121</v>
      </c>
      <c r="E233" t="s">
        <v>72</v>
      </c>
      <c r="F233" t="s">
        <v>26</v>
      </c>
      <c r="G233" t="s">
        <v>27</v>
      </c>
      <c r="H233" t="s">
        <v>86</v>
      </c>
      <c r="I233" t="s">
        <v>39</v>
      </c>
      <c r="J233" s="2">
        <v>5</v>
      </c>
      <c r="K233" s="3">
        <v>1964.51</v>
      </c>
      <c r="L233" s="3">
        <v>1289.1400000000001</v>
      </c>
      <c r="M233" s="4">
        <v>0</v>
      </c>
      <c r="N233" s="3">
        <f t="shared" si="15"/>
        <v>9822.5499999999993</v>
      </c>
      <c r="O233" s="3">
        <f t="shared" si="16"/>
        <v>9822.5499999999993</v>
      </c>
      <c r="P233" s="3">
        <f t="shared" si="17"/>
        <v>6445.7</v>
      </c>
      <c r="Q233" s="3">
        <f t="shared" si="18"/>
        <v>3376.85</v>
      </c>
      <c r="R233" s="4">
        <f t="shared" si="19"/>
        <v>0.34379999999999999</v>
      </c>
      <c r="S233" s="2">
        <v>4</v>
      </c>
      <c r="T233" t="s">
        <v>46</v>
      </c>
      <c r="U233">
        <v>4</v>
      </c>
    </row>
    <row r="234" spans="1:21" x14ac:dyDescent="0.25">
      <c r="A234" s="1">
        <v>46196</v>
      </c>
      <c r="B234" t="s">
        <v>411</v>
      </c>
      <c r="C234" t="s">
        <v>164</v>
      </c>
      <c r="D234" t="s">
        <v>63</v>
      </c>
      <c r="E234" t="s">
        <v>35</v>
      </c>
      <c r="F234" t="s">
        <v>36</v>
      </c>
      <c r="G234" t="s">
        <v>27</v>
      </c>
      <c r="H234" t="s">
        <v>28</v>
      </c>
      <c r="I234" t="s">
        <v>77</v>
      </c>
      <c r="J234" s="2">
        <v>1</v>
      </c>
      <c r="K234" s="3">
        <v>791.96</v>
      </c>
      <c r="L234" s="3">
        <v>464.99</v>
      </c>
      <c r="M234" s="4">
        <v>7.4899999999999994E-2</v>
      </c>
      <c r="N234" s="3">
        <f t="shared" si="15"/>
        <v>791.96</v>
      </c>
      <c r="O234" s="3">
        <f t="shared" si="16"/>
        <v>732.64</v>
      </c>
      <c r="P234" s="3">
        <f t="shared" si="17"/>
        <v>464.99</v>
      </c>
      <c r="Q234" s="3">
        <f t="shared" si="18"/>
        <v>267.64999999999998</v>
      </c>
      <c r="R234" s="4">
        <f t="shared" si="19"/>
        <v>0.36530000000000001</v>
      </c>
      <c r="S234" s="2">
        <v>4</v>
      </c>
      <c r="T234" t="s">
        <v>46</v>
      </c>
      <c r="U234">
        <v>4</v>
      </c>
    </row>
    <row r="235" spans="1:21" x14ac:dyDescent="0.25">
      <c r="A235" s="1">
        <v>46116</v>
      </c>
      <c r="B235" t="s">
        <v>412</v>
      </c>
      <c r="C235" t="s">
        <v>182</v>
      </c>
      <c r="D235" t="s">
        <v>85</v>
      </c>
      <c r="E235" t="s">
        <v>50</v>
      </c>
      <c r="F235" t="s">
        <v>36</v>
      </c>
      <c r="G235" t="s">
        <v>37</v>
      </c>
      <c r="H235" t="s">
        <v>104</v>
      </c>
      <c r="I235" t="s">
        <v>60</v>
      </c>
      <c r="J235" s="2">
        <v>4</v>
      </c>
      <c r="K235" s="3">
        <v>322.14</v>
      </c>
      <c r="L235" s="3">
        <v>138.93</v>
      </c>
      <c r="M235" s="4">
        <v>8.3000000000000004E-2</v>
      </c>
      <c r="N235" s="3">
        <f t="shared" si="15"/>
        <v>1288.56</v>
      </c>
      <c r="O235" s="3">
        <f t="shared" si="16"/>
        <v>1181.6099999999999</v>
      </c>
      <c r="P235" s="3">
        <f t="shared" si="17"/>
        <v>555.72</v>
      </c>
      <c r="Q235" s="3">
        <f t="shared" si="18"/>
        <v>625.89</v>
      </c>
      <c r="R235" s="4">
        <f t="shared" si="19"/>
        <v>0.52969999999999995</v>
      </c>
      <c r="S235" s="2">
        <v>9</v>
      </c>
      <c r="T235" t="s">
        <v>40</v>
      </c>
    </row>
    <row r="236" spans="1:21" x14ac:dyDescent="0.25">
      <c r="A236" s="1">
        <v>46219</v>
      </c>
      <c r="B236" t="s">
        <v>413</v>
      </c>
      <c r="C236" t="s">
        <v>401</v>
      </c>
      <c r="D236" t="s">
        <v>49</v>
      </c>
      <c r="E236" t="s">
        <v>50</v>
      </c>
      <c r="F236" t="s">
        <v>64</v>
      </c>
      <c r="G236" t="s">
        <v>51</v>
      </c>
      <c r="H236" t="s">
        <v>116</v>
      </c>
      <c r="I236" t="s">
        <v>53</v>
      </c>
      <c r="J236" s="2">
        <v>6</v>
      </c>
      <c r="K236" s="3">
        <v>2754.86</v>
      </c>
      <c r="L236" s="3">
        <v>1846.95</v>
      </c>
      <c r="M236" s="4">
        <v>7.1300000000000002E-2</v>
      </c>
      <c r="N236" s="3">
        <f t="shared" si="15"/>
        <v>16529.16</v>
      </c>
      <c r="O236" s="3">
        <f t="shared" si="16"/>
        <v>15350.63</v>
      </c>
      <c r="P236" s="3">
        <f t="shared" si="17"/>
        <v>11081.7</v>
      </c>
      <c r="Q236" s="3">
        <f t="shared" si="18"/>
        <v>4268.93</v>
      </c>
      <c r="R236" s="4">
        <f t="shared" si="19"/>
        <v>0.27810000000000001</v>
      </c>
      <c r="S236" s="2">
        <v>9</v>
      </c>
      <c r="T236" t="s">
        <v>46</v>
      </c>
      <c r="U236">
        <v>5</v>
      </c>
    </row>
    <row r="237" spans="1:21" x14ac:dyDescent="0.25">
      <c r="A237" s="1">
        <v>46102</v>
      </c>
      <c r="B237" t="s">
        <v>414</v>
      </c>
      <c r="C237" t="s">
        <v>164</v>
      </c>
      <c r="D237" t="s">
        <v>126</v>
      </c>
      <c r="E237" t="s">
        <v>57</v>
      </c>
      <c r="F237" t="s">
        <v>36</v>
      </c>
      <c r="G237" t="s">
        <v>27</v>
      </c>
      <c r="H237" t="s">
        <v>68</v>
      </c>
      <c r="I237" t="s">
        <v>92</v>
      </c>
      <c r="J237" s="2">
        <v>6</v>
      </c>
      <c r="K237" s="3">
        <v>1342.03</v>
      </c>
      <c r="L237" s="3">
        <v>751.76</v>
      </c>
      <c r="M237" s="4">
        <v>0</v>
      </c>
      <c r="N237" s="3">
        <f t="shared" si="15"/>
        <v>8052.18</v>
      </c>
      <c r="O237" s="3">
        <f t="shared" si="16"/>
        <v>8052.18</v>
      </c>
      <c r="P237" s="3">
        <f t="shared" si="17"/>
        <v>4510.5600000000004</v>
      </c>
      <c r="Q237" s="3">
        <f t="shared" si="18"/>
        <v>3541.62</v>
      </c>
      <c r="R237" s="4">
        <f t="shared" si="19"/>
        <v>0.43980000000000002</v>
      </c>
      <c r="S237" s="2">
        <v>3</v>
      </c>
      <c r="T237" t="s">
        <v>46</v>
      </c>
      <c r="U237">
        <v>3</v>
      </c>
    </row>
    <row r="238" spans="1:21" x14ac:dyDescent="0.25">
      <c r="A238" s="1">
        <v>46129</v>
      </c>
      <c r="B238" t="s">
        <v>415</v>
      </c>
      <c r="C238" t="s">
        <v>286</v>
      </c>
      <c r="D238" t="s">
        <v>130</v>
      </c>
      <c r="E238" t="s">
        <v>72</v>
      </c>
      <c r="F238" t="s">
        <v>58</v>
      </c>
      <c r="G238" t="s">
        <v>44</v>
      </c>
      <c r="H238" t="s">
        <v>124</v>
      </c>
      <c r="I238" t="s">
        <v>94</v>
      </c>
      <c r="J238" s="2">
        <v>4</v>
      </c>
      <c r="K238" s="3">
        <v>6074.07</v>
      </c>
      <c r="L238" s="3">
        <v>4352.92</v>
      </c>
      <c r="M238" s="4">
        <v>3.5000000000000003E-2</v>
      </c>
      <c r="N238" s="3">
        <f t="shared" si="15"/>
        <v>24296.28</v>
      </c>
      <c r="O238" s="3">
        <f t="shared" si="16"/>
        <v>23445.91</v>
      </c>
      <c r="P238" s="3">
        <f t="shared" si="17"/>
        <v>17411.68</v>
      </c>
      <c r="Q238" s="3">
        <f t="shared" si="18"/>
        <v>6034.23</v>
      </c>
      <c r="R238" s="4">
        <f t="shared" si="19"/>
        <v>0.25740000000000002</v>
      </c>
      <c r="S238" s="2">
        <v>3</v>
      </c>
      <c r="T238" t="s">
        <v>46</v>
      </c>
      <c r="U238">
        <v>2</v>
      </c>
    </row>
    <row r="239" spans="1:21" x14ac:dyDescent="0.25">
      <c r="A239" s="1">
        <v>46169</v>
      </c>
      <c r="B239" t="s">
        <v>416</v>
      </c>
      <c r="C239" t="s">
        <v>401</v>
      </c>
      <c r="D239" t="s">
        <v>113</v>
      </c>
      <c r="E239" t="s">
        <v>50</v>
      </c>
      <c r="F239" t="s">
        <v>64</v>
      </c>
      <c r="G239" t="s">
        <v>44</v>
      </c>
      <c r="H239" t="s">
        <v>124</v>
      </c>
      <c r="I239" t="s">
        <v>29</v>
      </c>
      <c r="J239" s="2">
        <v>2</v>
      </c>
      <c r="K239" s="3">
        <v>6191.32</v>
      </c>
      <c r="L239" s="3">
        <v>4323.8500000000004</v>
      </c>
      <c r="M239" s="4">
        <v>8.4000000000000005E-2</v>
      </c>
      <c r="N239" s="3">
        <f t="shared" si="15"/>
        <v>12382.64</v>
      </c>
      <c r="O239" s="3">
        <f t="shared" si="16"/>
        <v>11342.5</v>
      </c>
      <c r="P239" s="3">
        <f t="shared" si="17"/>
        <v>8647.7000000000007</v>
      </c>
      <c r="Q239" s="3">
        <f t="shared" si="18"/>
        <v>2694.8</v>
      </c>
      <c r="R239" s="4">
        <f t="shared" si="19"/>
        <v>0.23760000000000001</v>
      </c>
      <c r="S239" s="2">
        <v>4</v>
      </c>
      <c r="T239" t="s">
        <v>46</v>
      </c>
      <c r="U239">
        <v>5</v>
      </c>
    </row>
    <row r="240" spans="1:21" x14ac:dyDescent="0.25">
      <c r="A240" s="1">
        <v>46099</v>
      </c>
      <c r="B240" t="s">
        <v>417</v>
      </c>
      <c r="C240" t="s">
        <v>418</v>
      </c>
      <c r="D240" t="s">
        <v>101</v>
      </c>
      <c r="E240" t="s">
        <v>35</v>
      </c>
      <c r="F240" t="s">
        <v>36</v>
      </c>
      <c r="G240" t="s">
        <v>44</v>
      </c>
      <c r="H240" t="s">
        <v>124</v>
      </c>
      <c r="I240" t="s">
        <v>39</v>
      </c>
      <c r="J240" s="2">
        <v>6</v>
      </c>
      <c r="K240" s="3">
        <v>5987.96</v>
      </c>
      <c r="L240" s="3">
        <v>4441.3500000000004</v>
      </c>
      <c r="M240" s="4">
        <v>0</v>
      </c>
      <c r="N240" s="3">
        <f t="shared" si="15"/>
        <v>35927.760000000002</v>
      </c>
      <c r="O240" s="3">
        <f t="shared" si="16"/>
        <v>35927.760000000002</v>
      </c>
      <c r="P240" s="3">
        <f t="shared" si="17"/>
        <v>26648.1</v>
      </c>
      <c r="Q240" s="3">
        <f t="shared" si="18"/>
        <v>9279.66</v>
      </c>
      <c r="R240" s="4">
        <f t="shared" si="19"/>
        <v>0.25829999999999997</v>
      </c>
      <c r="S240" s="2">
        <v>11</v>
      </c>
      <c r="T240" t="s">
        <v>30</v>
      </c>
      <c r="U240">
        <v>4</v>
      </c>
    </row>
    <row r="241" spans="1:21" x14ac:dyDescent="0.25">
      <c r="A241" s="1">
        <v>46217</v>
      </c>
      <c r="B241" t="s">
        <v>419</v>
      </c>
      <c r="C241" t="s">
        <v>233</v>
      </c>
      <c r="D241" t="s">
        <v>43</v>
      </c>
      <c r="E241" t="s">
        <v>25</v>
      </c>
      <c r="F241" t="s">
        <v>58</v>
      </c>
      <c r="G241" t="s">
        <v>37</v>
      </c>
      <c r="H241" t="s">
        <v>178</v>
      </c>
      <c r="I241" t="s">
        <v>92</v>
      </c>
      <c r="J241" s="2">
        <v>2</v>
      </c>
      <c r="K241" s="3">
        <v>500.51</v>
      </c>
      <c r="L241" s="3">
        <v>246.95</v>
      </c>
      <c r="M241" s="4">
        <v>3.5000000000000003E-2</v>
      </c>
      <c r="N241" s="3">
        <f t="shared" si="15"/>
        <v>1001.02</v>
      </c>
      <c r="O241" s="3">
        <f t="shared" si="16"/>
        <v>965.98</v>
      </c>
      <c r="P241" s="3">
        <f t="shared" si="17"/>
        <v>493.9</v>
      </c>
      <c r="Q241" s="3">
        <f t="shared" si="18"/>
        <v>472.08</v>
      </c>
      <c r="R241" s="4">
        <f t="shared" si="19"/>
        <v>0.48870000000000002</v>
      </c>
      <c r="S241" s="2">
        <v>13</v>
      </c>
      <c r="T241" t="s">
        <v>30</v>
      </c>
      <c r="U241">
        <v>5</v>
      </c>
    </row>
    <row r="242" spans="1:21" x14ac:dyDescent="0.25">
      <c r="A242" s="1">
        <v>46156</v>
      </c>
      <c r="B242" t="s">
        <v>420</v>
      </c>
      <c r="C242" t="s">
        <v>118</v>
      </c>
      <c r="D242" t="s">
        <v>34</v>
      </c>
      <c r="E242" t="s">
        <v>35</v>
      </c>
      <c r="F242" t="s">
        <v>64</v>
      </c>
      <c r="G242" t="s">
        <v>37</v>
      </c>
      <c r="H242" t="s">
        <v>178</v>
      </c>
      <c r="I242" t="s">
        <v>87</v>
      </c>
      <c r="J242" s="2">
        <v>1</v>
      </c>
      <c r="K242" s="3">
        <v>519.91999999999996</v>
      </c>
      <c r="L242" s="3">
        <v>240.47</v>
      </c>
      <c r="M242" s="4">
        <v>9.0200000000000002E-2</v>
      </c>
      <c r="N242" s="3">
        <f t="shared" si="15"/>
        <v>519.91999999999996</v>
      </c>
      <c r="O242" s="3">
        <f t="shared" si="16"/>
        <v>473.02</v>
      </c>
      <c r="P242" s="3">
        <f t="shared" si="17"/>
        <v>240.47</v>
      </c>
      <c r="Q242" s="3">
        <f t="shared" si="18"/>
        <v>232.55</v>
      </c>
      <c r="R242" s="4">
        <f t="shared" si="19"/>
        <v>0.49159999999999998</v>
      </c>
      <c r="S242" s="2">
        <v>11</v>
      </c>
      <c r="T242" t="s">
        <v>30</v>
      </c>
      <c r="U242">
        <v>5</v>
      </c>
    </row>
    <row r="243" spans="1:21" x14ac:dyDescent="0.25">
      <c r="A243" s="1">
        <v>46153</v>
      </c>
      <c r="B243" t="s">
        <v>421</v>
      </c>
      <c r="C243" t="s">
        <v>164</v>
      </c>
      <c r="D243" t="s">
        <v>56</v>
      </c>
      <c r="E243" t="s">
        <v>57</v>
      </c>
      <c r="F243" t="s">
        <v>64</v>
      </c>
      <c r="G243" t="s">
        <v>44</v>
      </c>
      <c r="H243" t="s">
        <v>45</v>
      </c>
      <c r="I243" t="s">
        <v>87</v>
      </c>
      <c r="J243" s="2">
        <v>5</v>
      </c>
      <c r="K243" s="3">
        <v>384.48</v>
      </c>
      <c r="L243" s="3">
        <v>214.45</v>
      </c>
      <c r="M243" s="4">
        <v>7.6600000000000001E-2</v>
      </c>
      <c r="N243" s="3">
        <f t="shared" si="15"/>
        <v>1922.4</v>
      </c>
      <c r="O243" s="3">
        <f t="shared" si="16"/>
        <v>1775.14</v>
      </c>
      <c r="P243" s="3">
        <f t="shared" si="17"/>
        <v>1072.25</v>
      </c>
      <c r="Q243" s="3">
        <f t="shared" si="18"/>
        <v>702.89</v>
      </c>
      <c r="R243" s="4">
        <f t="shared" si="19"/>
        <v>0.39600000000000002</v>
      </c>
      <c r="S243" s="2">
        <v>6</v>
      </c>
      <c r="T243" t="s">
        <v>46</v>
      </c>
      <c r="U243">
        <v>2</v>
      </c>
    </row>
    <row r="244" spans="1:21" x14ac:dyDescent="0.25">
      <c r="A244" s="1">
        <v>46059</v>
      </c>
      <c r="B244" t="s">
        <v>422</v>
      </c>
      <c r="C244" t="s">
        <v>180</v>
      </c>
      <c r="D244" t="s">
        <v>34</v>
      </c>
      <c r="E244" t="s">
        <v>35</v>
      </c>
      <c r="F244" t="s">
        <v>64</v>
      </c>
      <c r="G244" t="s">
        <v>37</v>
      </c>
      <c r="H244" t="s">
        <v>178</v>
      </c>
      <c r="I244" t="s">
        <v>65</v>
      </c>
      <c r="J244" s="2">
        <v>8</v>
      </c>
      <c r="K244" s="3">
        <v>479.71</v>
      </c>
      <c r="L244" s="3">
        <v>232.93</v>
      </c>
      <c r="M244" s="4">
        <v>0.10979999999999999</v>
      </c>
      <c r="N244" s="3">
        <f t="shared" si="15"/>
        <v>3837.68</v>
      </c>
      <c r="O244" s="3">
        <f t="shared" si="16"/>
        <v>3416.3</v>
      </c>
      <c r="P244" s="3">
        <f t="shared" si="17"/>
        <v>1863.44</v>
      </c>
      <c r="Q244" s="3">
        <f t="shared" si="18"/>
        <v>1552.86</v>
      </c>
      <c r="R244" s="4">
        <f t="shared" si="19"/>
        <v>0.45450000000000002</v>
      </c>
      <c r="S244" s="2">
        <v>11</v>
      </c>
      <c r="T244" t="s">
        <v>30</v>
      </c>
      <c r="U244">
        <v>4</v>
      </c>
    </row>
    <row r="245" spans="1:21" x14ac:dyDescent="0.25">
      <c r="A245" s="1">
        <v>46232</v>
      </c>
      <c r="B245" t="s">
        <v>423</v>
      </c>
      <c r="C245" t="s">
        <v>142</v>
      </c>
      <c r="D245" t="s">
        <v>24</v>
      </c>
      <c r="E245" t="s">
        <v>25</v>
      </c>
      <c r="F245" t="s">
        <v>26</v>
      </c>
      <c r="G245" t="s">
        <v>37</v>
      </c>
      <c r="H245" t="s">
        <v>178</v>
      </c>
      <c r="I245" t="s">
        <v>74</v>
      </c>
      <c r="J245" s="2">
        <v>2</v>
      </c>
      <c r="K245" s="3">
        <v>491.07</v>
      </c>
      <c r="L245" s="3">
        <v>259.83</v>
      </c>
      <c r="M245" s="4">
        <v>0</v>
      </c>
      <c r="N245" s="3">
        <f t="shared" si="15"/>
        <v>982.14</v>
      </c>
      <c r="O245" s="3">
        <f t="shared" si="16"/>
        <v>982.14</v>
      </c>
      <c r="P245" s="3">
        <f t="shared" si="17"/>
        <v>519.66</v>
      </c>
      <c r="Q245" s="3">
        <f t="shared" si="18"/>
        <v>462.48</v>
      </c>
      <c r="R245" s="4">
        <f t="shared" si="19"/>
        <v>0.47089999999999999</v>
      </c>
      <c r="S245" s="2">
        <v>8</v>
      </c>
      <c r="T245" t="s">
        <v>46</v>
      </c>
      <c r="U245">
        <v>2</v>
      </c>
    </row>
    <row r="246" spans="1:21" x14ac:dyDescent="0.25">
      <c r="A246" s="1">
        <v>46167</v>
      </c>
      <c r="B246" t="s">
        <v>424</v>
      </c>
      <c r="C246" t="s">
        <v>243</v>
      </c>
      <c r="D246" t="s">
        <v>43</v>
      </c>
      <c r="E246" t="s">
        <v>25</v>
      </c>
      <c r="F246" t="s">
        <v>58</v>
      </c>
      <c r="G246" t="s">
        <v>44</v>
      </c>
      <c r="H246" t="s">
        <v>73</v>
      </c>
      <c r="I246" t="s">
        <v>77</v>
      </c>
      <c r="J246" s="2">
        <v>6</v>
      </c>
      <c r="K246" s="3">
        <v>1653.46</v>
      </c>
      <c r="L246" s="3">
        <v>1151.68</v>
      </c>
      <c r="M246" s="4">
        <v>3.5000000000000003E-2</v>
      </c>
      <c r="N246" s="3">
        <f t="shared" si="15"/>
        <v>9920.76</v>
      </c>
      <c r="O246" s="3">
        <f t="shared" si="16"/>
        <v>9573.5300000000007</v>
      </c>
      <c r="P246" s="3">
        <f t="shared" si="17"/>
        <v>6910.08</v>
      </c>
      <c r="Q246" s="3">
        <f t="shared" si="18"/>
        <v>2663.45</v>
      </c>
      <c r="R246" s="4">
        <f t="shared" si="19"/>
        <v>0.2782</v>
      </c>
      <c r="S246" s="2">
        <v>7</v>
      </c>
      <c r="T246" t="s">
        <v>46</v>
      </c>
      <c r="U246">
        <v>2</v>
      </c>
    </row>
    <row r="247" spans="1:21" x14ac:dyDescent="0.25">
      <c r="A247" s="1">
        <v>46072</v>
      </c>
      <c r="B247" t="s">
        <v>425</v>
      </c>
      <c r="C247" t="s">
        <v>317</v>
      </c>
      <c r="D247" t="s">
        <v>207</v>
      </c>
      <c r="E247" t="s">
        <v>35</v>
      </c>
      <c r="F247" t="s">
        <v>58</v>
      </c>
      <c r="G247" t="s">
        <v>51</v>
      </c>
      <c r="H247" t="s">
        <v>59</v>
      </c>
      <c r="I247" t="s">
        <v>92</v>
      </c>
      <c r="J247" s="2">
        <v>3</v>
      </c>
      <c r="K247" s="3">
        <v>2260.8000000000002</v>
      </c>
      <c r="L247" s="3">
        <v>1464.82</v>
      </c>
      <c r="M247" s="4">
        <v>3.5000000000000003E-2</v>
      </c>
      <c r="N247" s="3">
        <f t="shared" si="15"/>
        <v>6782.4</v>
      </c>
      <c r="O247" s="3">
        <f t="shared" si="16"/>
        <v>6545.02</v>
      </c>
      <c r="P247" s="3">
        <f t="shared" si="17"/>
        <v>4394.46</v>
      </c>
      <c r="Q247" s="3">
        <f t="shared" si="18"/>
        <v>2150.56</v>
      </c>
      <c r="R247" s="4">
        <f t="shared" si="19"/>
        <v>0.3286</v>
      </c>
      <c r="S247" s="2">
        <v>14</v>
      </c>
      <c r="T247" t="s">
        <v>30</v>
      </c>
      <c r="U247">
        <v>3</v>
      </c>
    </row>
    <row r="248" spans="1:21" x14ac:dyDescent="0.25">
      <c r="A248" s="1">
        <v>46025</v>
      </c>
      <c r="B248" t="s">
        <v>426</v>
      </c>
      <c r="C248" t="s">
        <v>286</v>
      </c>
      <c r="D248" t="s">
        <v>24</v>
      </c>
      <c r="E248" t="s">
        <v>25</v>
      </c>
      <c r="F248" t="s">
        <v>36</v>
      </c>
      <c r="G248" t="s">
        <v>44</v>
      </c>
      <c r="H248" t="s">
        <v>45</v>
      </c>
      <c r="I248" t="s">
        <v>65</v>
      </c>
      <c r="J248" s="2">
        <v>5</v>
      </c>
      <c r="K248" s="3">
        <v>374</v>
      </c>
      <c r="L248" s="3">
        <v>216.24</v>
      </c>
      <c r="M248" s="4">
        <v>0</v>
      </c>
      <c r="N248" s="3">
        <f t="shared" si="15"/>
        <v>1870</v>
      </c>
      <c r="O248" s="3">
        <f t="shared" si="16"/>
        <v>1870</v>
      </c>
      <c r="P248" s="3">
        <f t="shared" si="17"/>
        <v>1081.2</v>
      </c>
      <c r="Q248" s="3">
        <f t="shared" si="18"/>
        <v>788.8</v>
      </c>
      <c r="R248" s="4">
        <f t="shared" si="19"/>
        <v>0.42180000000000001</v>
      </c>
      <c r="S248" s="2">
        <v>11</v>
      </c>
      <c r="T248" t="s">
        <v>30</v>
      </c>
      <c r="U248">
        <v>3</v>
      </c>
    </row>
    <row r="249" spans="1:21" x14ac:dyDescent="0.25">
      <c r="A249" s="1">
        <v>46176</v>
      </c>
      <c r="B249" t="s">
        <v>427</v>
      </c>
      <c r="C249" t="s">
        <v>428</v>
      </c>
      <c r="D249" t="s">
        <v>126</v>
      </c>
      <c r="E249" t="s">
        <v>57</v>
      </c>
      <c r="F249" t="s">
        <v>58</v>
      </c>
      <c r="G249" t="s">
        <v>44</v>
      </c>
      <c r="H249" t="s">
        <v>124</v>
      </c>
      <c r="I249" t="s">
        <v>74</v>
      </c>
      <c r="J249" s="2">
        <v>6</v>
      </c>
      <c r="K249" s="3">
        <v>6181.22</v>
      </c>
      <c r="L249" s="3">
        <v>4469.38</v>
      </c>
      <c r="M249" s="4">
        <v>0.1183</v>
      </c>
      <c r="N249" s="3">
        <f t="shared" si="15"/>
        <v>37087.32</v>
      </c>
      <c r="O249" s="3">
        <f t="shared" si="16"/>
        <v>32699.89</v>
      </c>
      <c r="P249" s="3">
        <f t="shared" si="17"/>
        <v>26816.28</v>
      </c>
      <c r="Q249" s="3">
        <f t="shared" si="18"/>
        <v>5883.61</v>
      </c>
      <c r="R249" s="4">
        <f t="shared" si="19"/>
        <v>0.1799</v>
      </c>
      <c r="S249" s="2">
        <v>3</v>
      </c>
      <c r="T249" t="s">
        <v>46</v>
      </c>
      <c r="U249">
        <v>3</v>
      </c>
    </row>
    <row r="250" spans="1:21" x14ac:dyDescent="0.25">
      <c r="A250" s="1">
        <v>46047</v>
      </c>
      <c r="B250" t="s">
        <v>429</v>
      </c>
      <c r="C250" t="s">
        <v>211</v>
      </c>
      <c r="D250" t="s">
        <v>56</v>
      </c>
      <c r="E250" t="s">
        <v>57</v>
      </c>
      <c r="F250" t="s">
        <v>64</v>
      </c>
      <c r="G250" t="s">
        <v>44</v>
      </c>
      <c r="H250" t="s">
        <v>124</v>
      </c>
      <c r="I250" t="s">
        <v>29</v>
      </c>
      <c r="J250" s="2">
        <v>3</v>
      </c>
      <c r="K250" s="3">
        <v>5904.74</v>
      </c>
      <c r="L250" s="3">
        <v>4420.8599999999997</v>
      </c>
      <c r="M250" s="4">
        <v>0.1026</v>
      </c>
      <c r="N250" s="3">
        <f t="shared" si="15"/>
        <v>17714.22</v>
      </c>
      <c r="O250" s="3">
        <f t="shared" si="16"/>
        <v>15896.74</v>
      </c>
      <c r="P250" s="3">
        <f t="shared" si="17"/>
        <v>13262.58</v>
      </c>
      <c r="Q250" s="3">
        <f t="shared" si="18"/>
        <v>2634.16</v>
      </c>
      <c r="R250" s="4">
        <f t="shared" si="19"/>
        <v>0.16569999999999999</v>
      </c>
      <c r="S250" s="2">
        <v>3</v>
      </c>
      <c r="T250" t="s">
        <v>46</v>
      </c>
      <c r="U250">
        <v>4</v>
      </c>
    </row>
    <row r="251" spans="1:21" x14ac:dyDescent="0.25">
      <c r="A251" s="1">
        <v>46185</v>
      </c>
      <c r="B251" t="s">
        <v>430</v>
      </c>
      <c r="C251" t="s">
        <v>275</v>
      </c>
      <c r="D251" t="s">
        <v>56</v>
      </c>
      <c r="E251" t="s">
        <v>57</v>
      </c>
      <c r="F251" t="s">
        <v>58</v>
      </c>
      <c r="G251" t="s">
        <v>44</v>
      </c>
      <c r="H251" t="s">
        <v>73</v>
      </c>
      <c r="I251" t="s">
        <v>92</v>
      </c>
      <c r="J251" s="2">
        <v>5</v>
      </c>
      <c r="K251" s="3">
        <v>1620.89</v>
      </c>
      <c r="L251" s="3">
        <v>1076.6099999999999</v>
      </c>
      <c r="M251" s="4">
        <v>3.5000000000000003E-2</v>
      </c>
      <c r="N251" s="3">
        <f t="shared" si="15"/>
        <v>8104.45</v>
      </c>
      <c r="O251" s="3">
        <f t="shared" si="16"/>
        <v>7820.79</v>
      </c>
      <c r="P251" s="3">
        <f t="shared" si="17"/>
        <v>5383.05</v>
      </c>
      <c r="Q251" s="3">
        <f t="shared" si="18"/>
        <v>2437.7399999999998</v>
      </c>
      <c r="R251" s="4">
        <f t="shared" si="19"/>
        <v>0.31169999999999998</v>
      </c>
      <c r="S251" s="2">
        <v>5</v>
      </c>
      <c r="T251" t="s">
        <v>46</v>
      </c>
      <c r="U251">
        <v>5</v>
      </c>
    </row>
    <row r="252" spans="1:21" x14ac:dyDescent="0.25">
      <c r="A252" s="1">
        <v>46217</v>
      </c>
      <c r="B252" t="s">
        <v>431</v>
      </c>
      <c r="C252" t="s">
        <v>308</v>
      </c>
      <c r="D252" t="s">
        <v>130</v>
      </c>
      <c r="E252" t="s">
        <v>72</v>
      </c>
      <c r="F252" t="s">
        <v>64</v>
      </c>
      <c r="G252" t="s">
        <v>27</v>
      </c>
      <c r="H252" t="s">
        <v>68</v>
      </c>
      <c r="I252" t="s">
        <v>60</v>
      </c>
      <c r="J252" s="2">
        <v>3</v>
      </c>
      <c r="K252" s="3">
        <v>1241.97</v>
      </c>
      <c r="L252" s="3">
        <v>829.23</v>
      </c>
      <c r="M252" s="4">
        <v>0</v>
      </c>
      <c r="N252" s="3">
        <f t="shared" si="15"/>
        <v>3725.91</v>
      </c>
      <c r="O252" s="3">
        <f t="shared" si="16"/>
        <v>3725.91</v>
      </c>
      <c r="P252" s="3">
        <f t="shared" si="17"/>
        <v>2487.69</v>
      </c>
      <c r="Q252" s="3">
        <f t="shared" si="18"/>
        <v>1238.22</v>
      </c>
      <c r="R252" s="4">
        <f t="shared" si="19"/>
        <v>0.33229999999999998</v>
      </c>
      <c r="S252" s="2">
        <v>2</v>
      </c>
      <c r="T252" t="s">
        <v>46</v>
      </c>
      <c r="U252">
        <v>5</v>
      </c>
    </row>
    <row r="253" spans="1:21" x14ac:dyDescent="0.25">
      <c r="A253" s="1">
        <v>46068</v>
      </c>
      <c r="B253" t="s">
        <v>432</v>
      </c>
      <c r="C253" t="s">
        <v>433</v>
      </c>
      <c r="D253" t="s">
        <v>121</v>
      </c>
      <c r="E253" t="s">
        <v>72</v>
      </c>
      <c r="F253" t="s">
        <v>26</v>
      </c>
      <c r="G253" t="s">
        <v>37</v>
      </c>
      <c r="H253" t="s">
        <v>104</v>
      </c>
      <c r="I253" t="s">
        <v>39</v>
      </c>
      <c r="J253" s="2">
        <v>6</v>
      </c>
      <c r="K253" s="3">
        <v>324.12</v>
      </c>
      <c r="L253" s="3">
        <v>142.75</v>
      </c>
      <c r="M253" s="4">
        <v>6.8900000000000003E-2</v>
      </c>
      <c r="N253" s="3">
        <f t="shared" si="15"/>
        <v>1944.72</v>
      </c>
      <c r="O253" s="3">
        <f t="shared" si="16"/>
        <v>1810.73</v>
      </c>
      <c r="P253" s="3">
        <f t="shared" si="17"/>
        <v>856.5</v>
      </c>
      <c r="Q253" s="3">
        <f t="shared" si="18"/>
        <v>954.23</v>
      </c>
      <c r="R253" s="4">
        <f t="shared" si="19"/>
        <v>0.52700000000000002</v>
      </c>
      <c r="S253" s="2">
        <v>3</v>
      </c>
      <c r="T253" t="s">
        <v>46</v>
      </c>
      <c r="U253">
        <v>4</v>
      </c>
    </row>
    <row r="254" spans="1:21" x14ac:dyDescent="0.25">
      <c r="A254" s="1">
        <v>46122</v>
      </c>
      <c r="B254" t="s">
        <v>434</v>
      </c>
      <c r="C254" t="s">
        <v>266</v>
      </c>
      <c r="D254" t="s">
        <v>139</v>
      </c>
      <c r="E254" t="s">
        <v>72</v>
      </c>
      <c r="F254" t="s">
        <v>64</v>
      </c>
      <c r="G254" t="s">
        <v>51</v>
      </c>
      <c r="H254" t="s">
        <v>116</v>
      </c>
      <c r="I254" t="s">
        <v>65</v>
      </c>
      <c r="J254" s="2">
        <v>5</v>
      </c>
      <c r="K254" s="3">
        <v>2933</v>
      </c>
      <c r="L254" s="3">
        <v>1909.64</v>
      </c>
      <c r="M254" s="4">
        <v>8.6999999999999994E-2</v>
      </c>
      <c r="N254" s="3">
        <f t="shared" si="15"/>
        <v>14665</v>
      </c>
      <c r="O254" s="3">
        <f t="shared" si="16"/>
        <v>13389.15</v>
      </c>
      <c r="P254" s="3">
        <f t="shared" si="17"/>
        <v>9548.2000000000007</v>
      </c>
      <c r="Q254" s="3">
        <f t="shared" si="18"/>
        <v>3840.95</v>
      </c>
      <c r="R254" s="4">
        <f t="shared" si="19"/>
        <v>0.28689999999999999</v>
      </c>
      <c r="S254" s="2">
        <v>12</v>
      </c>
      <c r="T254" t="s">
        <v>30</v>
      </c>
      <c r="U254">
        <v>3</v>
      </c>
    </row>
    <row r="255" spans="1:21" x14ac:dyDescent="0.25">
      <c r="A255" s="1">
        <v>46084</v>
      </c>
      <c r="B255" t="s">
        <v>435</v>
      </c>
      <c r="C255" t="s">
        <v>23</v>
      </c>
      <c r="D255" t="s">
        <v>121</v>
      </c>
      <c r="E255" t="s">
        <v>72</v>
      </c>
      <c r="F255" t="s">
        <v>64</v>
      </c>
      <c r="G255" t="s">
        <v>37</v>
      </c>
      <c r="H255" t="s">
        <v>38</v>
      </c>
      <c r="I255" t="s">
        <v>77</v>
      </c>
      <c r="J255" s="2">
        <v>8</v>
      </c>
      <c r="K255" s="3">
        <v>441.6</v>
      </c>
      <c r="L255" s="3">
        <v>202.69</v>
      </c>
      <c r="M255" s="4">
        <v>0</v>
      </c>
      <c r="N255" s="3">
        <f t="shared" si="15"/>
        <v>3532.8</v>
      </c>
      <c r="O255" s="3">
        <f t="shared" si="16"/>
        <v>3532.8</v>
      </c>
      <c r="P255" s="3">
        <f t="shared" si="17"/>
        <v>1621.52</v>
      </c>
      <c r="Q255" s="3">
        <f t="shared" si="18"/>
        <v>1911.28</v>
      </c>
      <c r="R255" s="4">
        <f t="shared" si="19"/>
        <v>0.54100000000000004</v>
      </c>
      <c r="S255" s="2">
        <v>14</v>
      </c>
      <c r="T255" t="s">
        <v>30</v>
      </c>
      <c r="U255">
        <v>3</v>
      </c>
    </row>
    <row r="256" spans="1:21" x14ac:dyDescent="0.25">
      <c r="A256" s="1">
        <v>46065</v>
      </c>
      <c r="B256" t="s">
        <v>436</v>
      </c>
      <c r="C256" t="s">
        <v>164</v>
      </c>
      <c r="D256" t="s">
        <v>24</v>
      </c>
      <c r="E256" t="s">
        <v>25</v>
      </c>
      <c r="F256" t="s">
        <v>36</v>
      </c>
      <c r="G256" t="s">
        <v>51</v>
      </c>
      <c r="H256" t="s">
        <v>116</v>
      </c>
      <c r="I256" t="s">
        <v>39</v>
      </c>
      <c r="J256" s="2">
        <v>7</v>
      </c>
      <c r="K256" s="3">
        <v>2729.89</v>
      </c>
      <c r="L256" s="3">
        <v>1927.76</v>
      </c>
      <c r="M256" s="4">
        <v>9.8500000000000004E-2</v>
      </c>
      <c r="N256" s="3">
        <f t="shared" si="15"/>
        <v>19109.23</v>
      </c>
      <c r="O256" s="3">
        <f t="shared" si="16"/>
        <v>17226.97</v>
      </c>
      <c r="P256" s="3">
        <f t="shared" si="17"/>
        <v>13494.32</v>
      </c>
      <c r="Q256" s="3">
        <f t="shared" si="18"/>
        <v>3732.65</v>
      </c>
      <c r="R256" s="4">
        <f t="shared" si="19"/>
        <v>0.2167</v>
      </c>
      <c r="S256" s="2">
        <v>11</v>
      </c>
      <c r="T256" t="s">
        <v>30</v>
      </c>
      <c r="U256">
        <v>3</v>
      </c>
    </row>
    <row r="257" spans="1:21" x14ac:dyDescent="0.25">
      <c r="A257" s="1">
        <v>46133</v>
      </c>
      <c r="B257" t="s">
        <v>437</v>
      </c>
      <c r="C257" t="s">
        <v>433</v>
      </c>
      <c r="D257" t="s">
        <v>126</v>
      </c>
      <c r="E257" t="s">
        <v>57</v>
      </c>
      <c r="F257" t="s">
        <v>36</v>
      </c>
      <c r="G257" t="s">
        <v>37</v>
      </c>
      <c r="H257" t="s">
        <v>178</v>
      </c>
      <c r="I257" t="s">
        <v>94</v>
      </c>
      <c r="J257" s="2">
        <v>3</v>
      </c>
      <c r="K257" s="3">
        <v>524.11</v>
      </c>
      <c r="L257" s="3">
        <v>236.58</v>
      </c>
      <c r="M257" s="4">
        <v>5.4899999999999997E-2</v>
      </c>
      <c r="N257" s="3">
        <f t="shared" si="15"/>
        <v>1572.33</v>
      </c>
      <c r="O257" s="3">
        <f t="shared" si="16"/>
        <v>1486.01</v>
      </c>
      <c r="P257" s="3">
        <f t="shared" si="17"/>
        <v>709.74</v>
      </c>
      <c r="Q257" s="3">
        <f t="shared" si="18"/>
        <v>776.27</v>
      </c>
      <c r="R257" s="4">
        <f t="shared" si="19"/>
        <v>0.52239999999999998</v>
      </c>
      <c r="S257" s="2">
        <v>5</v>
      </c>
      <c r="T257" t="s">
        <v>46</v>
      </c>
      <c r="U257">
        <v>5</v>
      </c>
    </row>
    <row r="258" spans="1:21" x14ac:dyDescent="0.25">
      <c r="A258" s="1">
        <v>46220</v>
      </c>
      <c r="B258" t="s">
        <v>438</v>
      </c>
      <c r="C258" t="s">
        <v>418</v>
      </c>
      <c r="D258" t="s">
        <v>71</v>
      </c>
      <c r="E258" t="s">
        <v>72</v>
      </c>
      <c r="F258" t="s">
        <v>36</v>
      </c>
      <c r="G258" t="s">
        <v>27</v>
      </c>
      <c r="H258" t="s">
        <v>86</v>
      </c>
      <c r="I258" t="s">
        <v>53</v>
      </c>
      <c r="J258" s="2">
        <v>6</v>
      </c>
      <c r="K258" s="3">
        <v>1907.29</v>
      </c>
      <c r="L258" s="3">
        <v>1262.23</v>
      </c>
      <c r="M258" s="4">
        <v>0.1109</v>
      </c>
      <c r="N258" s="3">
        <f t="shared" ref="N258:N321" si="20">ROUND(J258*K258,2)</f>
        <v>11443.74</v>
      </c>
      <c r="O258" s="3">
        <f t="shared" ref="O258:O321" si="21">ROUND(N258*(1-M258),2)</f>
        <v>10174.629999999999</v>
      </c>
      <c r="P258" s="3">
        <f t="shared" ref="P258:P321" si="22">ROUND(J258*L258,2)</f>
        <v>7573.38</v>
      </c>
      <c r="Q258" s="3">
        <f t="shared" ref="Q258:Q321" si="23">ROUND(O258-P258,2)</f>
        <v>2601.25</v>
      </c>
      <c r="R258" s="4">
        <f t="shared" ref="R258:R321" si="24">IF(O258=0,0,ROUND(Q258/O258,4))</f>
        <v>0.25569999999999998</v>
      </c>
      <c r="S258" s="2">
        <v>14</v>
      </c>
      <c r="T258" t="s">
        <v>40</v>
      </c>
    </row>
    <row r="259" spans="1:21" x14ac:dyDescent="0.25">
      <c r="A259" s="1">
        <v>46048</v>
      </c>
      <c r="B259" t="s">
        <v>439</v>
      </c>
      <c r="C259" t="s">
        <v>392</v>
      </c>
      <c r="D259" t="s">
        <v>56</v>
      </c>
      <c r="E259" t="s">
        <v>57</v>
      </c>
      <c r="F259" t="s">
        <v>26</v>
      </c>
      <c r="G259" t="s">
        <v>27</v>
      </c>
      <c r="H259" t="s">
        <v>28</v>
      </c>
      <c r="I259" t="s">
        <v>29</v>
      </c>
      <c r="J259" s="2">
        <v>2</v>
      </c>
      <c r="K259" s="3">
        <v>785.9</v>
      </c>
      <c r="L259" s="3">
        <v>477.08</v>
      </c>
      <c r="M259" s="4">
        <v>8.2600000000000007E-2</v>
      </c>
      <c r="N259" s="3">
        <f t="shared" si="20"/>
        <v>1571.8</v>
      </c>
      <c r="O259" s="3">
        <f t="shared" si="21"/>
        <v>1441.97</v>
      </c>
      <c r="P259" s="3">
        <f t="shared" si="22"/>
        <v>954.16</v>
      </c>
      <c r="Q259" s="3">
        <f t="shared" si="23"/>
        <v>487.81</v>
      </c>
      <c r="R259" s="4">
        <f t="shared" si="24"/>
        <v>0.33829999999999999</v>
      </c>
      <c r="S259" s="2">
        <v>10</v>
      </c>
      <c r="T259" t="s">
        <v>46</v>
      </c>
      <c r="U259">
        <v>4</v>
      </c>
    </row>
    <row r="260" spans="1:21" x14ac:dyDescent="0.25">
      <c r="A260" s="1">
        <v>46158</v>
      </c>
      <c r="B260" t="s">
        <v>440</v>
      </c>
      <c r="C260" t="s">
        <v>381</v>
      </c>
      <c r="D260" t="s">
        <v>34</v>
      </c>
      <c r="E260" t="s">
        <v>35</v>
      </c>
      <c r="F260" t="s">
        <v>36</v>
      </c>
      <c r="G260" t="s">
        <v>44</v>
      </c>
      <c r="H260" t="s">
        <v>45</v>
      </c>
      <c r="I260" t="s">
        <v>77</v>
      </c>
      <c r="J260" s="2">
        <v>5</v>
      </c>
      <c r="K260" s="3">
        <v>374.76</v>
      </c>
      <c r="L260" s="3">
        <v>215.24</v>
      </c>
      <c r="M260" s="4">
        <v>0.12820000000000001</v>
      </c>
      <c r="N260" s="3">
        <f t="shared" si="20"/>
        <v>1873.8</v>
      </c>
      <c r="O260" s="3">
        <f t="shared" si="21"/>
        <v>1633.58</v>
      </c>
      <c r="P260" s="3">
        <f t="shared" si="22"/>
        <v>1076.2</v>
      </c>
      <c r="Q260" s="3">
        <f t="shared" si="23"/>
        <v>557.38</v>
      </c>
      <c r="R260" s="4">
        <f t="shared" si="24"/>
        <v>0.3412</v>
      </c>
      <c r="S260" s="2">
        <v>11</v>
      </c>
      <c r="T260" t="s">
        <v>30</v>
      </c>
      <c r="U260">
        <v>3</v>
      </c>
    </row>
    <row r="261" spans="1:21" x14ac:dyDescent="0.25">
      <c r="A261" s="1">
        <v>46152</v>
      </c>
      <c r="B261" t="s">
        <v>441</v>
      </c>
      <c r="C261" t="s">
        <v>42</v>
      </c>
      <c r="D261" t="s">
        <v>34</v>
      </c>
      <c r="E261" t="s">
        <v>35</v>
      </c>
      <c r="F261" t="s">
        <v>64</v>
      </c>
      <c r="G261" t="s">
        <v>44</v>
      </c>
      <c r="H261" t="s">
        <v>73</v>
      </c>
      <c r="I261" t="s">
        <v>60</v>
      </c>
      <c r="J261" s="2">
        <v>5</v>
      </c>
      <c r="K261" s="3">
        <v>1614.83</v>
      </c>
      <c r="L261" s="3">
        <v>1107.28</v>
      </c>
      <c r="M261" s="4">
        <v>0</v>
      </c>
      <c r="N261" s="3">
        <f t="shared" si="20"/>
        <v>8074.15</v>
      </c>
      <c r="O261" s="3">
        <f t="shared" si="21"/>
        <v>8074.15</v>
      </c>
      <c r="P261" s="3">
        <f t="shared" si="22"/>
        <v>5536.4</v>
      </c>
      <c r="Q261" s="3">
        <f t="shared" si="23"/>
        <v>2537.75</v>
      </c>
      <c r="R261" s="4">
        <f t="shared" si="24"/>
        <v>0.31430000000000002</v>
      </c>
      <c r="S261" s="2">
        <v>13</v>
      </c>
      <c r="T261" t="s">
        <v>30</v>
      </c>
      <c r="U261">
        <v>4</v>
      </c>
    </row>
    <row r="262" spans="1:21" x14ac:dyDescent="0.25">
      <c r="A262" s="1">
        <v>46177</v>
      </c>
      <c r="B262" t="s">
        <v>442</v>
      </c>
      <c r="C262" t="s">
        <v>162</v>
      </c>
      <c r="D262" t="s">
        <v>139</v>
      </c>
      <c r="E262" t="s">
        <v>72</v>
      </c>
      <c r="F262" t="s">
        <v>58</v>
      </c>
      <c r="G262" t="s">
        <v>44</v>
      </c>
      <c r="H262" t="s">
        <v>124</v>
      </c>
      <c r="I262" t="s">
        <v>94</v>
      </c>
      <c r="J262" s="2">
        <v>1</v>
      </c>
      <c r="K262" s="3">
        <v>5614.94</v>
      </c>
      <c r="L262" s="3">
        <v>4541.22</v>
      </c>
      <c r="M262" s="4">
        <v>9.5500000000000002E-2</v>
      </c>
      <c r="N262" s="3">
        <f t="shared" si="20"/>
        <v>5614.94</v>
      </c>
      <c r="O262" s="3">
        <f t="shared" si="21"/>
        <v>5078.71</v>
      </c>
      <c r="P262" s="3">
        <f t="shared" si="22"/>
        <v>4541.22</v>
      </c>
      <c r="Q262" s="3">
        <f t="shared" si="23"/>
        <v>537.49</v>
      </c>
      <c r="R262" s="4">
        <f t="shared" si="24"/>
        <v>0.10580000000000001</v>
      </c>
      <c r="S262" s="2">
        <v>12</v>
      </c>
      <c r="T262" t="s">
        <v>30</v>
      </c>
      <c r="U262">
        <v>5</v>
      </c>
    </row>
    <row r="263" spans="1:21" x14ac:dyDescent="0.25">
      <c r="A263" s="1">
        <v>46178</v>
      </c>
      <c r="B263" t="s">
        <v>443</v>
      </c>
      <c r="C263" t="s">
        <v>240</v>
      </c>
      <c r="D263" t="s">
        <v>130</v>
      </c>
      <c r="E263" t="s">
        <v>72</v>
      </c>
      <c r="F263" t="s">
        <v>36</v>
      </c>
      <c r="G263" t="s">
        <v>44</v>
      </c>
      <c r="H263" t="s">
        <v>45</v>
      </c>
      <c r="I263" t="s">
        <v>53</v>
      </c>
      <c r="J263" s="2">
        <v>6</v>
      </c>
      <c r="K263" s="3">
        <v>404.33</v>
      </c>
      <c r="L263" s="3">
        <v>224.26</v>
      </c>
      <c r="M263" s="4">
        <v>0</v>
      </c>
      <c r="N263" s="3">
        <f t="shared" si="20"/>
        <v>2425.98</v>
      </c>
      <c r="O263" s="3">
        <f t="shared" si="21"/>
        <v>2425.98</v>
      </c>
      <c r="P263" s="3">
        <f t="shared" si="22"/>
        <v>1345.56</v>
      </c>
      <c r="Q263" s="3">
        <f t="shared" si="23"/>
        <v>1080.42</v>
      </c>
      <c r="R263" s="4">
        <f t="shared" si="24"/>
        <v>0.44540000000000002</v>
      </c>
      <c r="S263" s="2">
        <v>7</v>
      </c>
      <c r="T263" t="s">
        <v>46</v>
      </c>
      <c r="U263">
        <v>4</v>
      </c>
    </row>
    <row r="264" spans="1:21" x14ac:dyDescent="0.25">
      <c r="A264" s="1">
        <v>46113</v>
      </c>
      <c r="B264" t="s">
        <v>444</v>
      </c>
      <c r="C264" t="s">
        <v>211</v>
      </c>
      <c r="D264" t="s">
        <v>24</v>
      </c>
      <c r="E264" t="s">
        <v>25</v>
      </c>
      <c r="F264" t="s">
        <v>36</v>
      </c>
      <c r="G264" t="s">
        <v>37</v>
      </c>
      <c r="H264" t="s">
        <v>178</v>
      </c>
      <c r="I264" t="s">
        <v>60</v>
      </c>
      <c r="J264" s="2">
        <v>3</v>
      </c>
      <c r="K264" s="3">
        <v>503.78</v>
      </c>
      <c r="L264" s="3">
        <v>242.44</v>
      </c>
      <c r="M264" s="4">
        <v>0.127</v>
      </c>
      <c r="N264" s="3">
        <f t="shared" si="20"/>
        <v>1511.34</v>
      </c>
      <c r="O264" s="3">
        <f t="shared" si="21"/>
        <v>1319.4</v>
      </c>
      <c r="P264" s="3">
        <f t="shared" si="22"/>
        <v>727.32</v>
      </c>
      <c r="Q264" s="3">
        <f t="shared" si="23"/>
        <v>592.08000000000004</v>
      </c>
      <c r="R264" s="4">
        <f t="shared" si="24"/>
        <v>0.44869999999999999</v>
      </c>
      <c r="S264" s="2">
        <v>3</v>
      </c>
      <c r="T264" t="s">
        <v>46</v>
      </c>
      <c r="U264">
        <v>3</v>
      </c>
    </row>
    <row r="265" spans="1:21" x14ac:dyDescent="0.25">
      <c r="A265" s="1">
        <v>46166</v>
      </c>
      <c r="B265" t="s">
        <v>445</v>
      </c>
      <c r="C265" t="s">
        <v>159</v>
      </c>
      <c r="D265" t="s">
        <v>24</v>
      </c>
      <c r="E265" t="s">
        <v>25</v>
      </c>
      <c r="F265" t="s">
        <v>36</v>
      </c>
      <c r="G265" t="s">
        <v>27</v>
      </c>
      <c r="H265" t="s">
        <v>86</v>
      </c>
      <c r="I265" t="s">
        <v>29</v>
      </c>
      <c r="J265" s="2">
        <v>2</v>
      </c>
      <c r="K265" s="3">
        <v>1859.71</v>
      </c>
      <c r="L265" s="3">
        <v>1273.3900000000001</v>
      </c>
      <c r="M265" s="4">
        <v>9.3899999999999997E-2</v>
      </c>
      <c r="N265" s="3">
        <f t="shared" si="20"/>
        <v>3719.42</v>
      </c>
      <c r="O265" s="3">
        <f t="shared" si="21"/>
        <v>3370.17</v>
      </c>
      <c r="P265" s="3">
        <f t="shared" si="22"/>
        <v>2546.7800000000002</v>
      </c>
      <c r="Q265" s="3">
        <f t="shared" si="23"/>
        <v>823.39</v>
      </c>
      <c r="R265" s="4">
        <f t="shared" si="24"/>
        <v>0.24429999999999999</v>
      </c>
      <c r="S265" s="2">
        <v>7</v>
      </c>
      <c r="T265" t="s">
        <v>46</v>
      </c>
      <c r="U265">
        <v>4</v>
      </c>
    </row>
    <row r="266" spans="1:21" x14ac:dyDescent="0.25">
      <c r="A266" s="1">
        <v>46085</v>
      </c>
      <c r="B266" t="s">
        <v>446</v>
      </c>
      <c r="C266" t="s">
        <v>447</v>
      </c>
      <c r="D266" t="s">
        <v>34</v>
      </c>
      <c r="E266" t="s">
        <v>35</v>
      </c>
      <c r="F266" t="s">
        <v>26</v>
      </c>
      <c r="G266" t="s">
        <v>51</v>
      </c>
      <c r="H266" t="s">
        <v>59</v>
      </c>
      <c r="I266" t="s">
        <v>74</v>
      </c>
      <c r="J266" s="2">
        <v>8</v>
      </c>
      <c r="K266" s="3">
        <v>2168.19</v>
      </c>
      <c r="L266" s="3">
        <v>1373.39</v>
      </c>
      <c r="M266" s="4">
        <v>0.10390000000000001</v>
      </c>
      <c r="N266" s="3">
        <f t="shared" si="20"/>
        <v>17345.52</v>
      </c>
      <c r="O266" s="3">
        <f t="shared" si="21"/>
        <v>15543.32</v>
      </c>
      <c r="P266" s="3">
        <f t="shared" si="22"/>
        <v>10987.12</v>
      </c>
      <c r="Q266" s="3">
        <f t="shared" si="23"/>
        <v>4556.2</v>
      </c>
      <c r="R266" s="4">
        <f t="shared" si="24"/>
        <v>0.29310000000000003</v>
      </c>
      <c r="S266" s="2">
        <v>10</v>
      </c>
      <c r="T266" t="s">
        <v>46</v>
      </c>
      <c r="U266">
        <v>3</v>
      </c>
    </row>
    <row r="267" spans="1:21" x14ac:dyDescent="0.25">
      <c r="A267" s="1">
        <v>46178</v>
      </c>
      <c r="B267" t="s">
        <v>448</v>
      </c>
      <c r="C267" t="s">
        <v>89</v>
      </c>
      <c r="D267" t="s">
        <v>63</v>
      </c>
      <c r="E267" t="s">
        <v>35</v>
      </c>
      <c r="F267" t="s">
        <v>26</v>
      </c>
      <c r="G267" t="s">
        <v>51</v>
      </c>
      <c r="H267" t="s">
        <v>59</v>
      </c>
      <c r="I267" t="s">
        <v>65</v>
      </c>
      <c r="J267" s="2">
        <v>3</v>
      </c>
      <c r="K267" s="3">
        <v>2157.31</v>
      </c>
      <c r="L267" s="3">
        <v>1410.3</v>
      </c>
      <c r="M267" s="4">
        <v>9.3100000000000002E-2</v>
      </c>
      <c r="N267" s="3">
        <f t="shared" si="20"/>
        <v>6471.93</v>
      </c>
      <c r="O267" s="3">
        <f t="shared" si="21"/>
        <v>5869.39</v>
      </c>
      <c r="P267" s="3">
        <f t="shared" si="22"/>
        <v>4230.8999999999996</v>
      </c>
      <c r="Q267" s="3">
        <f t="shared" si="23"/>
        <v>1638.49</v>
      </c>
      <c r="R267" s="4">
        <f t="shared" si="24"/>
        <v>0.2792</v>
      </c>
      <c r="S267" s="2">
        <v>10</v>
      </c>
      <c r="T267" t="s">
        <v>46</v>
      </c>
      <c r="U267">
        <v>3</v>
      </c>
    </row>
    <row r="268" spans="1:21" x14ac:dyDescent="0.25">
      <c r="A268" s="1">
        <v>46117</v>
      </c>
      <c r="B268" t="s">
        <v>449</v>
      </c>
      <c r="C268" t="s">
        <v>134</v>
      </c>
      <c r="D268" t="s">
        <v>24</v>
      </c>
      <c r="E268" t="s">
        <v>25</v>
      </c>
      <c r="F268" t="s">
        <v>26</v>
      </c>
      <c r="G268" t="s">
        <v>27</v>
      </c>
      <c r="H268" t="s">
        <v>86</v>
      </c>
      <c r="I268" t="s">
        <v>94</v>
      </c>
      <c r="J268" s="2">
        <v>5</v>
      </c>
      <c r="K268" s="3">
        <v>1949.75</v>
      </c>
      <c r="L268" s="3">
        <v>1252.5899999999999</v>
      </c>
      <c r="M268" s="4">
        <v>9.8599999999999993E-2</v>
      </c>
      <c r="N268" s="3">
        <f t="shared" si="20"/>
        <v>9748.75</v>
      </c>
      <c r="O268" s="3">
        <f t="shared" si="21"/>
        <v>8787.52</v>
      </c>
      <c r="P268" s="3">
        <f t="shared" si="22"/>
        <v>6262.95</v>
      </c>
      <c r="Q268" s="3">
        <f t="shared" si="23"/>
        <v>2524.5700000000002</v>
      </c>
      <c r="R268" s="4">
        <f t="shared" si="24"/>
        <v>0.2873</v>
      </c>
      <c r="S268" s="2">
        <v>10</v>
      </c>
      <c r="T268" t="s">
        <v>46</v>
      </c>
      <c r="U268">
        <v>4</v>
      </c>
    </row>
    <row r="269" spans="1:21" x14ac:dyDescent="0.25">
      <c r="A269" s="1">
        <v>46137</v>
      </c>
      <c r="B269" t="s">
        <v>450</v>
      </c>
      <c r="C269" t="s">
        <v>288</v>
      </c>
      <c r="D269" t="s">
        <v>139</v>
      </c>
      <c r="E269" t="s">
        <v>72</v>
      </c>
      <c r="F269" t="s">
        <v>26</v>
      </c>
      <c r="G269" t="s">
        <v>44</v>
      </c>
      <c r="H269" t="s">
        <v>124</v>
      </c>
      <c r="I269" t="s">
        <v>77</v>
      </c>
      <c r="J269" s="2">
        <v>4</v>
      </c>
      <c r="K269" s="3">
        <v>5605.62</v>
      </c>
      <c r="L269" s="3">
        <v>4368.2299999999996</v>
      </c>
      <c r="M269" s="4">
        <v>0</v>
      </c>
      <c r="N269" s="3">
        <f t="shared" si="20"/>
        <v>22422.48</v>
      </c>
      <c r="O269" s="3">
        <f t="shared" si="21"/>
        <v>22422.48</v>
      </c>
      <c r="P269" s="3">
        <f t="shared" si="22"/>
        <v>17472.919999999998</v>
      </c>
      <c r="Q269" s="3">
        <f t="shared" si="23"/>
        <v>4949.5600000000004</v>
      </c>
      <c r="R269" s="4">
        <f t="shared" si="24"/>
        <v>0.22070000000000001</v>
      </c>
      <c r="S269" s="2">
        <v>5</v>
      </c>
      <c r="T269" t="s">
        <v>46</v>
      </c>
      <c r="U269">
        <v>2</v>
      </c>
    </row>
    <row r="270" spans="1:21" x14ac:dyDescent="0.25">
      <c r="A270" s="1">
        <v>46189</v>
      </c>
      <c r="B270" t="s">
        <v>451</v>
      </c>
      <c r="C270" t="s">
        <v>84</v>
      </c>
      <c r="D270" t="s">
        <v>121</v>
      </c>
      <c r="E270" t="s">
        <v>72</v>
      </c>
      <c r="F270" t="s">
        <v>26</v>
      </c>
      <c r="G270" t="s">
        <v>27</v>
      </c>
      <c r="H270" t="s">
        <v>86</v>
      </c>
      <c r="I270" t="s">
        <v>74</v>
      </c>
      <c r="J270" s="2">
        <v>6</v>
      </c>
      <c r="K270" s="3">
        <v>1900.61</v>
      </c>
      <c r="L270" s="3">
        <v>1250.69</v>
      </c>
      <c r="M270" s="4">
        <v>0</v>
      </c>
      <c r="N270" s="3">
        <f t="shared" si="20"/>
        <v>11403.66</v>
      </c>
      <c r="O270" s="3">
        <f t="shared" si="21"/>
        <v>11403.66</v>
      </c>
      <c r="P270" s="3">
        <f t="shared" si="22"/>
        <v>7504.14</v>
      </c>
      <c r="Q270" s="3">
        <f t="shared" si="23"/>
        <v>3899.52</v>
      </c>
      <c r="R270" s="4">
        <f t="shared" si="24"/>
        <v>0.34200000000000003</v>
      </c>
      <c r="S270" s="2">
        <v>14</v>
      </c>
      <c r="T270" t="s">
        <v>30</v>
      </c>
      <c r="U270">
        <v>2</v>
      </c>
    </row>
    <row r="271" spans="1:21" x14ac:dyDescent="0.25">
      <c r="A271" s="1">
        <v>46189</v>
      </c>
      <c r="B271" t="s">
        <v>452</v>
      </c>
      <c r="C271" t="s">
        <v>297</v>
      </c>
      <c r="D271" t="s">
        <v>121</v>
      </c>
      <c r="E271" t="s">
        <v>72</v>
      </c>
      <c r="F271" t="s">
        <v>64</v>
      </c>
      <c r="G271" t="s">
        <v>51</v>
      </c>
      <c r="H271" t="s">
        <v>116</v>
      </c>
      <c r="I271" t="s">
        <v>65</v>
      </c>
      <c r="J271" s="2">
        <v>5</v>
      </c>
      <c r="K271" s="3">
        <v>2905.78</v>
      </c>
      <c r="L271" s="3">
        <v>1849.43</v>
      </c>
      <c r="M271" s="4">
        <v>0.1216</v>
      </c>
      <c r="N271" s="3">
        <f t="shared" si="20"/>
        <v>14528.9</v>
      </c>
      <c r="O271" s="3">
        <f t="shared" si="21"/>
        <v>12762.19</v>
      </c>
      <c r="P271" s="3">
        <f t="shared" si="22"/>
        <v>9247.15</v>
      </c>
      <c r="Q271" s="3">
        <f t="shared" si="23"/>
        <v>3515.04</v>
      </c>
      <c r="R271" s="4">
        <f t="shared" si="24"/>
        <v>0.27539999999999998</v>
      </c>
      <c r="S271" s="2">
        <v>3</v>
      </c>
      <c r="T271" t="s">
        <v>46</v>
      </c>
      <c r="U271">
        <v>4</v>
      </c>
    </row>
    <row r="272" spans="1:21" x14ac:dyDescent="0.25">
      <c r="A272" s="1">
        <v>46166</v>
      </c>
      <c r="B272" t="s">
        <v>453</v>
      </c>
      <c r="C272" t="s">
        <v>271</v>
      </c>
      <c r="D272" t="s">
        <v>24</v>
      </c>
      <c r="E272" t="s">
        <v>25</v>
      </c>
      <c r="F272" t="s">
        <v>26</v>
      </c>
      <c r="G272" t="s">
        <v>37</v>
      </c>
      <c r="H272" t="s">
        <v>104</v>
      </c>
      <c r="I272" t="s">
        <v>92</v>
      </c>
      <c r="J272" s="2">
        <v>7</v>
      </c>
      <c r="K272" s="3">
        <v>319.93</v>
      </c>
      <c r="L272" s="3">
        <v>141.18</v>
      </c>
      <c r="M272" s="4">
        <v>0</v>
      </c>
      <c r="N272" s="3">
        <f t="shared" si="20"/>
        <v>2239.5100000000002</v>
      </c>
      <c r="O272" s="3">
        <f t="shared" si="21"/>
        <v>2239.5100000000002</v>
      </c>
      <c r="P272" s="3">
        <f t="shared" si="22"/>
        <v>988.26</v>
      </c>
      <c r="Q272" s="3">
        <f t="shared" si="23"/>
        <v>1251.25</v>
      </c>
      <c r="R272" s="4">
        <f t="shared" si="24"/>
        <v>0.55869999999999997</v>
      </c>
      <c r="S272" s="2">
        <v>12</v>
      </c>
      <c r="T272" t="s">
        <v>30</v>
      </c>
      <c r="U272">
        <v>5</v>
      </c>
    </row>
    <row r="273" spans="1:21" x14ac:dyDescent="0.25">
      <c r="A273" s="1">
        <v>46186</v>
      </c>
      <c r="B273" t="s">
        <v>454</v>
      </c>
      <c r="C273" t="s">
        <v>392</v>
      </c>
      <c r="D273" t="s">
        <v>56</v>
      </c>
      <c r="E273" t="s">
        <v>57</v>
      </c>
      <c r="F273" t="s">
        <v>36</v>
      </c>
      <c r="G273" t="s">
        <v>44</v>
      </c>
      <c r="H273" t="s">
        <v>124</v>
      </c>
      <c r="I273" t="s">
        <v>87</v>
      </c>
      <c r="J273" s="2">
        <v>2</v>
      </c>
      <c r="K273" s="3">
        <v>6166.38</v>
      </c>
      <c r="L273" s="3">
        <v>4211.33</v>
      </c>
      <c r="M273" s="4">
        <v>0</v>
      </c>
      <c r="N273" s="3">
        <f t="shared" si="20"/>
        <v>12332.76</v>
      </c>
      <c r="O273" s="3">
        <f t="shared" si="21"/>
        <v>12332.76</v>
      </c>
      <c r="P273" s="3">
        <f t="shared" si="22"/>
        <v>8422.66</v>
      </c>
      <c r="Q273" s="3">
        <f t="shared" si="23"/>
        <v>3910.1</v>
      </c>
      <c r="R273" s="4">
        <f t="shared" si="24"/>
        <v>0.317</v>
      </c>
      <c r="S273" s="2">
        <v>6</v>
      </c>
      <c r="T273" t="s">
        <v>46</v>
      </c>
      <c r="U273">
        <v>4</v>
      </c>
    </row>
    <row r="274" spans="1:21" x14ac:dyDescent="0.25">
      <c r="A274" s="1">
        <v>46084</v>
      </c>
      <c r="B274" t="s">
        <v>455</v>
      </c>
      <c r="C274" t="s">
        <v>456</v>
      </c>
      <c r="D274" t="s">
        <v>139</v>
      </c>
      <c r="E274" t="s">
        <v>72</v>
      </c>
      <c r="F274" t="s">
        <v>58</v>
      </c>
      <c r="G274" t="s">
        <v>27</v>
      </c>
      <c r="H274" t="s">
        <v>28</v>
      </c>
      <c r="I274" t="s">
        <v>39</v>
      </c>
      <c r="J274" s="2">
        <v>5</v>
      </c>
      <c r="K274" s="3">
        <v>814.53</v>
      </c>
      <c r="L274" s="3">
        <v>453.8</v>
      </c>
      <c r="M274" s="4">
        <v>3.5000000000000003E-2</v>
      </c>
      <c r="N274" s="3">
        <f t="shared" si="20"/>
        <v>4072.65</v>
      </c>
      <c r="O274" s="3">
        <f t="shared" si="21"/>
        <v>3930.11</v>
      </c>
      <c r="P274" s="3">
        <f t="shared" si="22"/>
        <v>2269</v>
      </c>
      <c r="Q274" s="3">
        <f t="shared" si="23"/>
        <v>1661.11</v>
      </c>
      <c r="R274" s="4">
        <f t="shared" si="24"/>
        <v>0.42270000000000002</v>
      </c>
      <c r="S274" s="2">
        <v>10</v>
      </c>
      <c r="T274" t="s">
        <v>46</v>
      </c>
      <c r="U274">
        <v>5</v>
      </c>
    </row>
    <row r="275" spans="1:21" x14ac:dyDescent="0.25">
      <c r="A275" s="1">
        <v>46119</v>
      </c>
      <c r="B275" t="s">
        <v>457</v>
      </c>
      <c r="C275" t="s">
        <v>138</v>
      </c>
      <c r="D275" t="s">
        <v>85</v>
      </c>
      <c r="E275" t="s">
        <v>50</v>
      </c>
      <c r="F275" t="s">
        <v>58</v>
      </c>
      <c r="G275" t="s">
        <v>44</v>
      </c>
      <c r="H275" t="s">
        <v>73</v>
      </c>
      <c r="I275" t="s">
        <v>92</v>
      </c>
      <c r="J275" s="2">
        <v>5</v>
      </c>
      <c r="K275" s="3">
        <v>1698.44</v>
      </c>
      <c r="L275" s="3">
        <v>1060.24</v>
      </c>
      <c r="M275" s="4">
        <v>4.1599999999999998E-2</v>
      </c>
      <c r="N275" s="3">
        <f t="shared" si="20"/>
        <v>8492.2000000000007</v>
      </c>
      <c r="O275" s="3">
        <f t="shared" si="21"/>
        <v>8138.92</v>
      </c>
      <c r="P275" s="3">
        <f t="shared" si="22"/>
        <v>5301.2</v>
      </c>
      <c r="Q275" s="3">
        <f t="shared" si="23"/>
        <v>2837.72</v>
      </c>
      <c r="R275" s="4">
        <f t="shared" si="24"/>
        <v>0.34870000000000001</v>
      </c>
      <c r="S275" s="2">
        <v>12</v>
      </c>
      <c r="T275" t="s">
        <v>30</v>
      </c>
      <c r="U275">
        <v>2</v>
      </c>
    </row>
    <row r="276" spans="1:21" x14ac:dyDescent="0.25">
      <c r="A276" s="1">
        <v>46192</v>
      </c>
      <c r="B276" t="s">
        <v>458</v>
      </c>
      <c r="C276" t="s">
        <v>164</v>
      </c>
      <c r="D276" t="s">
        <v>24</v>
      </c>
      <c r="E276" t="s">
        <v>25</v>
      </c>
      <c r="F276" t="s">
        <v>36</v>
      </c>
      <c r="G276" t="s">
        <v>27</v>
      </c>
      <c r="H276" t="s">
        <v>28</v>
      </c>
      <c r="I276" t="s">
        <v>77</v>
      </c>
      <c r="J276" s="2">
        <v>4</v>
      </c>
      <c r="K276" s="3">
        <v>773.57</v>
      </c>
      <c r="L276" s="3">
        <v>453.11</v>
      </c>
      <c r="M276" s="4">
        <v>3.2800000000000003E-2</v>
      </c>
      <c r="N276" s="3">
        <f t="shared" si="20"/>
        <v>3094.28</v>
      </c>
      <c r="O276" s="3">
        <f t="shared" si="21"/>
        <v>2992.79</v>
      </c>
      <c r="P276" s="3">
        <f t="shared" si="22"/>
        <v>1812.44</v>
      </c>
      <c r="Q276" s="3">
        <f t="shared" si="23"/>
        <v>1180.3499999999999</v>
      </c>
      <c r="R276" s="4">
        <f t="shared" si="24"/>
        <v>0.39439999999999997</v>
      </c>
      <c r="S276" s="2">
        <v>6</v>
      </c>
      <c r="T276" t="s">
        <v>46</v>
      </c>
      <c r="U276">
        <v>4</v>
      </c>
    </row>
    <row r="277" spans="1:21" x14ac:dyDescent="0.25">
      <c r="A277" s="1">
        <v>46062</v>
      </c>
      <c r="B277" t="s">
        <v>459</v>
      </c>
      <c r="C277" t="s">
        <v>233</v>
      </c>
      <c r="D277" t="s">
        <v>207</v>
      </c>
      <c r="E277" t="s">
        <v>35</v>
      </c>
      <c r="F277" t="s">
        <v>26</v>
      </c>
      <c r="G277" t="s">
        <v>51</v>
      </c>
      <c r="H277" t="s">
        <v>52</v>
      </c>
      <c r="I277" t="s">
        <v>39</v>
      </c>
      <c r="J277" s="2">
        <v>5</v>
      </c>
      <c r="K277" s="3">
        <v>274.86</v>
      </c>
      <c r="L277" s="3">
        <v>118.62</v>
      </c>
      <c r="M277" s="4">
        <v>8.4500000000000006E-2</v>
      </c>
      <c r="N277" s="3">
        <f t="shared" si="20"/>
        <v>1374.3</v>
      </c>
      <c r="O277" s="3">
        <f t="shared" si="21"/>
        <v>1258.17</v>
      </c>
      <c r="P277" s="3">
        <f t="shared" si="22"/>
        <v>593.1</v>
      </c>
      <c r="Q277" s="3">
        <f t="shared" si="23"/>
        <v>665.07</v>
      </c>
      <c r="R277" s="4">
        <f t="shared" si="24"/>
        <v>0.52859999999999996</v>
      </c>
      <c r="S277" s="2">
        <v>3</v>
      </c>
      <c r="T277" t="s">
        <v>46</v>
      </c>
      <c r="U277">
        <v>3</v>
      </c>
    </row>
    <row r="278" spans="1:21" x14ac:dyDescent="0.25">
      <c r="A278" s="1">
        <v>46229</v>
      </c>
      <c r="B278" t="s">
        <v>460</v>
      </c>
      <c r="C278" t="s">
        <v>235</v>
      </c>
      <c r="D278" t="s">
        <v>49</v>
      </c>
      <c r="E278" t="s">
        <v>50</v>
      </c>
      <c r="F278" t="s">
        <v>64</v>
      </c>
      <c r="G278" t="s">
        <v>37</v>
      </c>
      <c r="H278" t="s">
        <v>104</v>
      </c>
      <c r="I278" t="s">
        <v>39</v>
      </c>
      <c r="J278" s="2">
        <v>1</v>
      </c>
      <c r="K278" s="3">
        <v>318.94</v>
      </c>
      <c r="L278" s="3">
        <v>135.26</v>
      </c>
      <c r="M278" s="4">
        <v>5.3E-3</v>
      </c>
      <c r="N278" s="3">
        <f t="shared" si="20"/>
        <v>318.94</v>
      </c>
      <c r="O278" s="3">
        <f t="shared" si="21"/>
        <v>317.25</v>
      </c>
      <c r="P278" s="3">
        <f t="shared" si="22"/>
        <v>135.26</v>
      </c>
      <c r="Q278" s="3">
        <f t="shared" si="23"/>
        <v>181.99</v>
      </c>
      <c r="R278" s="4">
        <f t="shared" si="24"/>
        <v>0.5736</v>
      </c>
      <c r="S278" s="2">
        <v>8</v>
      </c>
      <c r="T278" t="s">
        <v>46</v>
      </c>
      <c r="U278">
        <v>5</v>
      </c>
    </row>
    <row r="279" spans="1:21" x14ac:dyDescent="0.25">
      <c r="A279" s="1">
        <v>46152</v>
      </c>
      <c r="B279" t="s">
        <v>461</v>
      </c>
      <c r="C279" t="s">
        <v>375</v>
      </c>
      <c r="D279" t="s">
        <v>71</v>
      </c>
      <c r="E279" t="s">
        <v>72</v>
      </c>
      <c r="F279" t="s">
        <v>36</v>
      </c>
      <c r="G279" t="s">
        <v>44</v>
      </c>
      <c r="H279" t="s">
        <v>124</v>
      </c>
      <c r="I279" t="s">
        <v>74</v>
      </c>
      <c r="J279" s="2">
        <v>4</v>
      </c>
      <c r="K279" s="3">
        <v>6073.8</v>
      </c>
      <c r="L279" s="3">
        <v>4405.05</v>
      </c>
      <c r="M279" s="4">
        <v>2.9499999999999998E-2</v>
      </c>
      <c r="N279" s="3">
        <f t="shared" si="20"/>
        <v>24295.200000000001</v>
      </c>
      <c r="O279" s="3">
        <f t="shared" si="21"/>
        <v>23578.49</v>
      </c>
      <c r="P279" s="3">
        <f t="shared" si="22"/>
        <v>17620.2</v>
      </c>
      <c r="Q279" s="3">
        <f t="shared" si="23"/>
        <v>5958.29</v>
      </c>
      <c r="R279" s="4">
        <f t="shared" si="24"/>
        <v>0.25269999999999998</v>
      </c>
      <c r="S279" s="2">
        <v>13</v>
      </c>
      <c r="T279" t="s">
        <v>30</v>
      </c>
      <c r="U279">
        <v>4</v>
      </c>
    </row>
    <row r="280" spans="1:21" x14ac:dyDescent="0.25">
      <c r="A280" s="1">
        <v>46094</v>
      </c>
      <c r="B280" t="s">
        <v>462</v>
      </c>
      <c r="C280" t="s">
        <v>150</v>
      </c>
      <c r="D280" t="s">
        <v>34</v>
      </c>
      <c r="E280" t="s">
        <v>35</v>
      </c>
      <c r="F280" t="s">
        <v>36</v>
      </c>
      <c r="G280" t="s">
        <v>37</v>
      </c>
      <c r="H280" t="s">
        <v>104</v>
      </c>
      <c r="I280" t="s">
        <v>77</v>
      </c>
      <c r="J280" s="2">
        <v>7</v>
      </c>
      <c r="K280" s="3">
        <v>319.08</v>
      </c>
      <c r="L280" s="3">
        <v>132.01</v>
      </c>
      <c r="M280" s="4">
        <v>0.1011</v>
      </c>
      <c r="N280" s="3">
        <f t="shared" si="20"/>
        <v>2233.56</v>
      </c>
      <c r="O280" s="3">
        <f t="shared" si="21"/>
        <v>2007.75</v>
      </c>
      <c r="P280" s="3">
        <f t="shared" si="22"/>
        <v>924.07</v>
      </c>
      <c r="Q280" s="3">
        <f t="shared" si="23"/>
        <v>1083.68</v>
      </c>
      <c r="R280" s="4">
        <f t="shared" si="24"/>
        <v>0.53969999999999996</v>
      </c>
      <c r="S280" s="2">
        <v>11</v>
      </c>
      <c r="T280" t="s">
        <v>30</v>
      </c>
      <c r="U280">
        <v>5</v>
      </c>
    </row>
    <row r="281" spans="1:21" x14ac:dyDescent="0.25">
      <c r="A281" s="1">
        <v>46168</v>
      </c>
      <c r="B281" t="s">
        <v>463</v>
      </c>
      <c r="C281" t="s">
        <v>464</v>
      </c>
      <c r="D281" t="s">
        <v>139</v>
      </c>
      <c r="E281" t="s">
        <v>72</v>
      </c>
      <c r="F281" t="s">
        <v>36</v>
      </c>
      <c r="G281" t="s">
        <v>27</v>
      </c>
      <c r="H281" t="s">
        <v>86</v>
      </c>
      <c r="I281" t="s">
        <v>74</v>
      </c>
      <c r="J281" s="2">
        <v>3</v>
      </c>
      <c r="K281" s="3">
        <v>1953.21</v>
      </c>
      <c r="L281" s="3">
        <v>1225.79</v>
      </c>
      <c r="M281" s="4">
        <v>0.1061</v>
      </c>
      <c r="N281" s="3">
        <f t="shared" si="20"/>
        <v>5859.63</v>
      </c>
      <c r="O281" s="3">
        <f t="shared" si="21"/>
        <v>5237.92</v>
      </c>
      <c r="P281" s="3">
        <f t="shared" si="22"/>
        <v>3677.37</v>
      </c>
      <c r="Q281" s="3">
        <f t="shared" si="23"/>
        <v>1560.55</v>
      </c>
      <c r="R281" s="4">
        <f t="shared" si="24"/>
        <v>0.2979</v>
      </c>
      <c r="S281" s="2">
        <v>7</v>
      </c>
      <c r="T281" t="s">
        <v>46</v>
      </c>
      <c r="U281">
        <v>3</v>
      </c>
    </row>
    <row r="282" spans="1:21" x14ac:dyDescent="0.25">
      <c r="A282" s="1">
        <v>46193</v>
      </c>
      <c r="B282" t="s">
        <v>465</v>
      </c>
      <c r="C282" t="s">
        <v>466</v>
      </c>
      <c r="D282" t="s">
        <v>113</v>
      </c>
      <c r="E282" t="s">
        <v>50</v>
      </c>
      <c r="F282" t="s">
        <v>26</v>
      </c>
      <c r="G282" t="s">
        <v>37</v>
      </c>
      <c r="H282" t="s">
        <v>178</v>
      </c>
      <c r="I282" t="s">
        <v>65</v>
      </c>
      <c r="J282" s="2">
        <v>4</v>
      </c>
      <c r="K282" s="3">
        <v>487.15</v>
      </c>
      <c r="L282" s="3">
        <v>233.63</v>
      </c>
      <c r="M282" s="4">
        <v>2.63E-2</v>
      </c>
      <c r="N282" s="3">
        <f t="shared" si="20"/>
        <v>1948.6</v>
      </c>
      <c r="O282" s="3">
        <f t="shared" si="21"/>
        <v>1897.35</v>
      </c>
      <c r="P282" s="3">
        <f t="shared" si="22"/>
        <v>934.52</v>
      </c>
      <c r="Q282" s="3">
        <f t="shared" si="23"/>
        <v>962.83</v>
      </c>
      <c r="R282" s="4">
        <f t="shared" si="24"/>
        <v>0.50749999999999995</v>
      </c>
      <c r="S282" s="2">
        <v>7</v>
      </c>
      <c r="T282" t="s">
        <v>46</v>
      </c>
      <c r="U282">
        <v>5</v>
      </c>
    </row>
    <row r="283" spans="1:21" x14ac:dyDescent="0.25">
      <c r="A283" s="1">
        <v>46190</v>
      </c>
      <c r="B283" t="s">
        <v>467</v>
      </c>
      <c r="C283" t="s">
        <v>466</v>
      </c>
      <c r="D283" t="s">
        <v>71</v>
      </c>
      <c r="E283" t="s">
        <v>72</v>
      </c>
      <c r="F283" t="s">
        <v>64</v>
      </c>
      <c r="G283" t="s">
        <v>37</v>
      </c>
      <c r="H283" t="s">
        <v>104</v>
      </c>
      <c r="I283" t="s">
        <v>39</v>
      </c>
      <c r="J283" s="2">
        <v>4</v>
      </c>
      <c r="K283" s="3">
        <v>328.21</v>
      </c>
      <c r="L283" s="3">
        <v>142.18</v>
      </c>
      <c r="M283" s="4">
        <v>0.1119</v>
      </c>
      <c r="N283" s="3">
        <f t="shared" si="20"/>
        <v>1312.84</v>
      </c>
      <c r="O283" s="3">
        <f t="shared" si="21"/>
        <v>1165.93</v>
      </c>
      <c r="P283" s="3">
        <f t="shared" si="22"/>
        <v>568.72</v>
      </c>
      <c r="Q283" s="3">
        <f t="shared" si="23"/>
        <v>597.21</v>
      </c>
      <c r="R283" s="4">
        <f t="shared" si="24"/>
        <v>0.51219999999999999</v>
      </c>
      <c r="S283" s="2">
        <v>6</v>
      </c>
      <c r="T283" t="s">
        <v>46</v>
      </c>
      <c r="U283">
        <v>3</v>
      </c>
    </row>
    <row r="284" spans="1:21" x14ac:dyDescent="0.25">
      <c r="A284" s="1">
        <v>46052</v>
      </c>
      <c r="B284" t="s">
        <v>468</v>
      </c>
      <c r="C284" t="s">
        <v>180</v>
      </c>
      <c r="D284" t="s">
        <v>139</v>
      </c>
      <c r="E284" t="s">
        <v>72</v>
      </c>
      <c r="F284" t="s">
        <v>36</v>
      </c>
      <c r="G284" t="s">
        <v>51</v>
      </c>
      <c r="H284" t="s">
        <v>59</v>
      </c>
      <c r="I284" t="s">
        <v>92</v>
      </c>
      <c r="J284" s="2">
        <v>8</v>
      </c>
      <c r="K284" s="3">
        <v>2317.8000000000002</v>
      </c>
      <c r="L284" s="3">
        <v>1522.62</v>
      </c>
      <c r="M284" s="4">
        <v>8.09E-2</v>
      </c>
      <c r="N284" s="3">
        <f t="shared" si="20"/>
        <v>18542.400000000001</v>
      </c>
      <c r="O284" s="3">
        <f t="shared" si="21"/>
        <v>17042.32</v>
      </c>
      <c r="P284" s="3">
        <f t="shared" si="22"/>
        <v>12180.96</v>
      </c>
      <c r="Q284" s="3">
        <f t="shared" si="23"/>
        <v>4861.3599999999997</v>
      </c>
      <c r="R284" s="4">
        <f t="shared" si="24"/>
        <v>0.2853</v>
      </c>
      <c r="S284" s="2">
        <v>11</v>
      </c>
      <c r="T284" t="s">
        <v>30</v>
      </c>
      <c r="U284">
        <v>3</v>
      </c>
    </row>
    <row r="285" spans="1:21" x14ac:dyDescent="0.25">
      <c r="A285" s="1">
        <v>46039</v>
      </c>
      <c r="B285" t="s">
        <v>469</v>
      </c>
      <c r="C285" t="s">
        <v>315</v>
      </c>
      <c r="D285" t="s">
        <v>71</v>
      </c>
      <c r="E285" t="s">
        <v>72</v>
      </c>
      <c r="F285" t="s">
        <v>26</v>
      </c>
      <c r="G285" t="s">
        <v>37</v>
      </c>
      <c r="H285" t="s">
        <v>178</v>
      </c>
      <c r="I285" t="s">
        <v>74</v>
      </c>
      <c r="J285" s="2">
        <v>1</v>
      </c>
      <c r="K285" s="3">
        <v>540.08000000000004</v>
      </c>
      <c r="L285" s="3">
        <v>246.08</v>
      </c>
      <c r="M285" s="4">
        <v>7.6200000000000004E-2</v>
      </c>
      <c r="N285" s="3">
        <f t="shared" si="20"/>
        <v>540.08000000000004</v>
      </c>
      <c r="O285" s="3">
        <f t="shared" si="21"/>
        <v>498.93</v>
      </c>
      <c r="P285" s="3">
        <f t="shared" si="22"/>
        <v>246.08</v>
      </c>
      <c r="Q285" s="3">
        <f t="shared" si="23"/>
        <v>252.85</v>
      </c>
      <c r="R285" s="4">
        <f t="shared" si="24"/>
        <v>0.50680000000000003</v>
      </c>
      <c r="S285" s="2">
        <v>11</v>
      </c>
      <c r="T285" t="s">
        <v>30</v>
      </c>
      <c r="U285">
        <v>4</v>
      </c>
    </row>
    <row r="286" spans="1:21" x14ac:dyDescent="0.25">
      <c r="A286" s="1">
        <v>46132</v>
      </c>
      <c r="B286" t="s">
        <v>470</v>
      </c>
      <c r="C286" t="s">
        <v>251</v>
      </c>
      <c r="D286" t="s">
        <v>56</v>
      </c>
      <c r="E286" t="s">
        <v>57</v>
      </c>
      <c r="F286" t="s">
        <v>58</v>
      </c>
      <c r="G286" t="s">
        <v>51</v>
      </c>
      <c r="H286" t="s">
        <v>52</v>
      </c>
      <c r="I286" t="s">
        <v>87</v>
      </c>
      <c r="J286" s="2">
        <v>2</v>
      </c>
      <c r="K286" s="3">
        <v>273.20999999999998</v>
      </c>
      <c r="L286" s="3">
        <v>117.3</v>
      </c>
      <c r="M286" s="4">
        <v>3.5000000000000003E-2</v>
      </c>
      <c r="N286" s="3">
        <f t="shared" si="20"/>
        <v>546.41999999999996</v>
      </c>
      <c r="O286" s="3">
        <f t="shared" si="21"/>
        <v>527.29999999999995</v>
      </c>
      <c r="P286" s="3">
        <f t="shared" si="22"/>
        <v>234.6</v>
      </c>
      <c r="Q286" s="3">
        <f t="shared" si="23"/>
        <v>292.7</v>
      </c>
      <c r="R286" s="4">
        <f t="shared" si="24"/>
        <v>0.55510000000000004</v>
      </c>
      <c r="S286" s="2">
        <v>6</v>
      </c>
      <c r="T286" t="s">
        <v>46</v>
      </c>
      <c r="U286">
        <v>5</v>
      </c>
    </row>
    <row r="287" spans="1:21" x14ac:dyDescent="0.25">
      <c r="A287" s="1">
        <v>46211</v>
      </c>
      <c r="B287" t="s">
        <v>471</v>
      </c>
      <c r="C287" t="s">
        <v>428</v>
      </c>
      <c r="D287" t="s">
        <v>207</v>
      </c>
      <c r="E287" t="s">
        <v>35</v>
      </c>
      <c r="F287" t="s">
        <v>64</v>
      </c>
      <c r="G287" t="s">
        <v>37</v>
      </c>
      <c r="H287" t="s">
        <v>38</v>
      </c>
      <c r="I287" t="s">
        <v>94</v>
      </c>
      <c r="J287" s="2">
        <v>5</v>
      </c>
      <c r="K287" s="3">
        <v>411.32</v>
      </c>
      <c r="L287" s="3">
        <v>188.08</v>
      </c>
      <c r="M287" s="4">
        <v>0</v>
      </c>
      <c r="N287" s="3">
        <f t="shared" si="20"/>
        <v>2056.6</v>
      </c>
      <c r="O287" s="3">
        <f t="shared" si="21"/>
        <v>2056.6</v>
      </c>
      <c r="P287" s="3">
        <f t="shared" si="22"/>
        <v>940.4</v>
      </c>
      <c r="Q287" s="3">
        <f t="shared" si="23"/>
        <v>1116.2</v>
      </c>
      <c r="R287" s="4">
        <f t="shared" si="24"/>
        <v>0.54269999999999996</v>
      </c>
      <c r="S287" s="2">
        <v>12</v>
      </c>
      <c r="T287" t="s">
        <v>30</v>
      </c>
      <c r="U287">
        <v>4</v>
      </c>
    </row>
    <row r="288" spans="1:21" x14ac:dyDescent="0.25">
      <c r="A288" s="1">
        <v>46123</v>
      </c>
      <c r="B288" t="s">
        <v>472</v>
      </c>
      <c r="C288" t="s">
        <v>55</v>
      </c>
      <c r="D288" t="s">
        <v>113</v>
      </c>
      <c r="E288" t="s">
        <v>50</v>
      </c>
      <c r="F288" t="s">
        <v>64</v>
      </c>
      <c r="G288" t="s">
        <v>51</v>
      </c>
      <c r="H288" t="s">
        <v>116</v>
      </c>
      <c r="I288" t="s">
        <v>39</v>
      </c>
      <c r="J288" s="2">
        <v>5</v>
      </c>
      <c r="K288" s="3">
        <v>2762.78</v>
      </c>
      <c r="L288" s="3">
        <v>1829.35</v>
      </c>
      <c r="M288" s="4">
        <v>0</v>
      </c>
      <c r="N288" s="3">
        <f t="shared" si="20"/>
        <v>13813.9</v>
      </c>
      <c r="O288" s="3">
        <f t="shared" si="21"/>
        <v>13813.9</v>
      </c>
      <c r="P288" s="3">
        <f t="shared" si="22"/>
        <v>9146.75</v>
      </c>
      <c r="Q288" s="3">
        <f t="shared" si="23"/>
        <v>4667.1499999999996</v>
      </c>
      <c r="R288" s="4">
        <f t="shared" si="24"/>
        <v>0.33789999999999998</v>
      </c>
      <c r="S288" s="2">
        <v>5</v>
      </c>
      <c r="T288" t="s">
        <v>46</v>
      </c>
      <c r="U288">
        <v>5</v>
      </c>
    </row>
    <row r="289" spans="1:22" x14ac:dyDescent="0.25">
      <c r="A289" s="1">
        <v>46137</v>
      </c>
      <c r="B289" t="s">
        <v>473</v>
      </c>
      <c r="C289" t="s">
        <v>275</v>
      </c>
      <c r="D289" t="s">
        <v>126</v>
      </c>
      <c r="E289" t="s">
        <v>57</v>
      </c>
      <c r="F289" t="s">
        <v>36</v>
      </c>
      <c r="G289" t="s">
        <v>51</v>
      </c>
      <c r="H289" t="s">
        <v>116</v>
      </c>
      <c r="I289" t="s">
        <v>29</v>
      </c>
      <c r="J289" s="2">
        <v>8</v>
      </c>
      <c r="K289" s="3">
        <v>2886.86</v>
      </c>
      <c r="L289" s="3">
        <v>1897.93</v>
      </c>
      <c r="M289" s="4">
        <v>0</v>
      </c>
      <c r="N289" s="3">
        <f t="shared" si="20"/>
        <v>23094.880000000001</v>
      </c>
      <c r="O289" s="3">
        <f t="shared" si="21"/>
        <v>23094.880000000001</v>
      </c>
      <c r="P289" s="3">
        <f t="shared" si="22"/>
        <v>15183.44</v>
      </c>
      <c r="Q289" s="3">
        <f t="shared" si="23"/>
        <v>7911.44</v>
      </c>
      <c r="R289" s="4">
        <f t="shared" si="24"/>
        <v>0.34260000000000002</v>
      </c>
      <c r="S289" s="2">
        <v>10</v>
      </c>
      <c r="T289" t="s">
        <v>46</v>
      </c>
      <c r="U289">
        <v>5</v>
      </c>
    </row>
    <row r="290" spans="1:22" x14ac:dyDescent="0.25">
      <c r="A290" s="1">
        <v>46170</v>
      </c>
      <c r="B290" t="s">
        <v>474</v>
      </c>
      <c r="C290" t="s">
        <v>148</v>
      </c>
      <c r="D290" t="s">
        <v>139</v>
      </c>
      <c r="E290" t="s">
        <v>72</v>
      </c>
      <c r="F290" t="s">
        <v>64</v>
      </c>
      <c r="G290" t="s">
        <v>37</v>
      </c>
      <c r="H290" t="s">
        <v>104</v>
      </c>
      <c r="I290" t="s">
        <v>87</v>
      </c>
      <c r="J290" s="2">
        <v>7</v>
      </c>
      <c r="K290" s="3">
        <v>304.44</v>
      </c>
      <c r="L290" s="3">
        <v>146.37</v>
      </c>
      <c r="M290" s="4">
        <v>0</v>
      </c>
      <c r="N290" s="3">
        <f t="shared" si="20"/>
        <v>2131.08</v>
      </c>
      <c r="O290" s="3">
        <f t="shared" si="21"/>
        <v>2131.08</v>
      </c>
      <c r="P290" s="3">
        <f t="shared" si="22"/>
        <v>1024.5899999999999</v>
      </c>
      <c r="Q290" s="3">
        <f t="shared" si="23"/>
        <v>1106.49</v>
      </c>
      <c r="R290" s="4">
        <f t="shared" si="24"/>
        <v>0.51919999999999999</v>
      </c>
      <c r="S290" s="2">
        <v>7</v>
      </c>
      <c r="T290" t="s">
        <v>46</v>
      </c>
      <c r="U290">
        <v>5</v>
      </c>
    </row>
    <row r="291" spans="1:22" x14ac:dyDescent="0.25">
      <c r="A291" s="1">
        <v>46040</v>
      </c>
      <c r="B291" t="s">
        <v>475</v>
      </c>
      <c r="C291" t="s">
        <v>476</v>
      </c>
      <c r="D291" t="s">
        <v>24</v>
      </c>
      <c r="E291" t="s">
        <v>25</v>
      </c>
      <c r="F291" t="s">
        <v>58</v>
      </c>
      <c r="G291" t="s">
        <v>27</v>
      </c>
      <c r="H291" t="s">
        <v>86</v>
      </c>
      <c r="I291" t="s">
        <v>39</v>
      </c>
      <c r="J291" s="2">
        <v>2</v>
      </c>
      <c r="K291" s="3">
        <v>1897.19</v>
      </c>
      <c r="L291" s="3">
        <v>1237.6500000000001</v>
      </c>
      <c r="M291" s="4">
        <v>3.5000000000000003E-2</v>
      </c>
      <c r="N291" s="3">
        <f t="shared" si="20"/>
        <v>3794.38</v>
      </c>
      <c r="O291" s="3">
        <f t="shared" si="21"/>
        <v>3661.58</v>
      </c>
      <c r="P291" s="3">
        <f t="shared" si="22"/>
        <v>2475.3000000000002</v>
      </c>
      <c r="Q291" s="3">
        <f t="shared" si="23"/>
        <v>1186.28</v>
      </c>
      <c r="R291" s="4">
        <f t="shared" si="24"/>
        <v>0.32400000000000001</v>
      </c>
      <c r="S291" s="2">
        <v>10</v>
      </c>
      <c r="T291" t="s">
        <v>46</v>
      </c>
      <c r="U291">
        <v>4</v>
      </c>
    </row>
    <row r="292" spans="1:22" x14ac:dyDescent="0.25">
      <c r="A292" s="1">
        <v>46069</v>
      </c>
      <c r="B292" t="s">
        <v>477</v>
      </c>
      <c r="C292" t="s">
        <v>251</v>
      </c>
      <c r="D292" t="s">
        <v>121</v>
      </c>
      <c r="E292" t="s">
        <v>72</v>
      </c>
      <c r="F292" t="s">
        <v>64</v>
      </c>
      <c r="G292" t="s">
        <v>44</v>
      </c>
      <c r="H292" t="s">
        <v>73</v>
      </c>
      <c r="I292" t="s">
        <v>74</v>
      </c>
      <c r="J292" s="2">
        <v>4</v>
      </c>
      <c r="K292" s="3">
        <v>1598.04</v>
      </c>
      <c r="L292" s="3">
        <v>1162.49</v>
      </c>
      <c r="M292" s="4">
        <v>0</v>
      </c>
      <c r="N292" s="3">
        <f t="shared" si="20"/>
        <v>6392.16</v>
      </c>
      <c r="O292" s="3">
        <f t="shared" si="21"/>
        <v>6392.16</v>
      </c>
      <c r="P292" s="3">
        <f t="shared" si="22"/>
        <v>4649.96</v>
      </c>
      <c r="Q292" s="3">
        <f t="shared" si="23"/>
        <v>1742.2</v>
      </c>
      <c r="R292" s="4">
        <f t="shared" si="24"/>
        <v>0.27260000000000001</v>
      </c>
      <c r="S292" s="2">
        <v>11</v>
      </c>
      <c r="T292" t="s">
        <v>30</v>
      </c>
      <c r="U292">
        <v>4</v>
      </c>
    </row>
    <row r="293" spans="1:22" x14ac:dyDescent="0.25">
      <c r="A293" s="1">
        <v>46179</v>
      </c>
      <c r="B293" t="s">
        <v>478</v>
      </c>
      <c r="C293" t="s">
        <v>62</v>
      </c>
      <c r="D293" t="s">
        <v>207</v>
      </c>
      <c r="E293" t="s">
        <v>35</v>
      </c>
      <c r="F293" t="s">
        <v>58</v>
      </c>
      <c r="G293" t="s">
        <v>27</v>
      </c>
      <c r="H293" t="s">
        <v>68</v>
      </c>
      <c r="I293" t="s">
        <v>65</v>
      </c>
      <c r="J293" s="2">
        <v>1</v>
      </c>
      <c r="K293" s="3">
        <v>1256.7</v>
      </c>
      <c r="L293" s="3">
        <v>744.18</v>
      </c>
      <c r="M293" s="4">
        <v>0.16370000000000001</v>
      </c>
      <c r="N293" s="3">
        <f t="shared" si="20"/>
        <v>1256.7</v>
      </c>
      <c r="O293" s="3">
        <f t="shared" si="21"/>
        <v>1050.98</v>
      </c>
      <c r="P293" s="3">
        <f t="shared" si="22"/>
        <v>744.18</v>
      </c>
      <c r="Q293" s="3">
        <f t="shared" si="23"/>
        <v>306.8</v>
      </c>
      <c r="R293" s="4">
        <f t="shared" si="24"/>
        <v>0.29189999999999999</v>
      </c>
      <c r="S293" s="2">
        <v>14</v>
      </c>
      <c r="T293" t="s">
        <v>30</v>
      </c>
      <c r="U293">
        <v>2</v>
      </c>
    </row>
    <row r="294" spans="1:22" x14ac:dyDescent="0.25">
      <c r="A294" s="1">
        <v>46190</v>
      </c>
      <c r="B294" t="s">
        <v>479</v>
      </c>
      <c r="C294" t="s">
        <v>480</v>
      </c>
      <c r="D294" t="s">
        <v>24</v>
      </c>
      <c r="E294" t="s">
        <v>25</v>
      </c>
      <c r="F294" t="s">
        <v>58</v>
      </c>
      <c r="G294" t="s">
        <v>51</v>
      </c>
      <c r="H294" t="s">
        <v>52</v>
      </c>
      <c r="I294" t="s">
        <v>92</v>
      </c>
      <c r="J294" s="2">
        <v>3</v>
      </c>
      <c r="K294" s="3">
        <v>250.27</v>
      </c>
      <c r="L294" s="3">
        <v>123.38</v>
      </c>
      <c r="M294" s="4">
        <v>3.5000000000000003E-2</v>
      </c>
      <c r="N294" s="3">
        <f t="shared" si="20"/>
        <v>750.81</v>
      </c>
      <c r="O294" s="3">
        <f t="shared" si="21"/>
        <v>724.53</v>
      </c>
      <c r="P294" s="3">
        <f t="shared" si="22"/>
        <v>370.14</v>
      </c>
      <c r="Q294" s="3">
        <f t="shared" si="23"/>
        <v>354.39</v>
      </c>
      <c r="R294" s="4">
        <f t="shared" si="24"/>
        <v>0.48909999999999998</v>
      </c>
      <c r="S294" s="2">
        <v>28</v>
      </c>
      <c r="T294" t="s">
        <v>30</v>
      </c>
      <c r="U294">
        <v>1</v>
      </c>
      <c r="V294" t="s">
        <v>208</v>
      </c>
    </row>
    <row r="295" spans="1:22" x14ac:dyDescent="0.25">
      <c r="A295" s="1">
        <v>46149</v>
      </c>
      <c r="B295" t="s">
        <v>481</v>
      </c>
      <c r="C295" t="s">
        <v>218</v>
      </c>
      <c r="D295" t="s">
        <v>34</v>
      </c>
      <c r="E295" t="s">
        <v>35</v>
      </c>
      <c r="F295" t="s">
        <v>64</v>
      </c>
      <c r="G295" t="s">
        <v>37</v>
      </c>
      <c r="H295" t="s">
        <v>178</v>
      </c>
      <c r="I295" t="s">
        <v>39</v>
      </c>
      <c r="J295" s="2">
        <v>6</v>
      </c>
      <c r="K295" s="3">
        <v>491.26</v>
      </c>
      <c r="L295" s="3">
        <v>231.81</v>
      </c>
      <c r="M295" s="4">
        <v>0</v>
      </c>
      <c r="N295" s="3">
        <f t="shared" si="20"/>
        <v>2947.56</v>
      </c>
      <c r="O295" s="3">
        <f t="shared" si="21"/>
        <v>2947.56</v>
      </c>
      <c r="P295" s="3">
        <f t="shared" si="22"/>
        <v>1390.86</v>
      </c>
      <c r="Q295" s="3">
        <f t="shared" si="23"/>
        <v>1556.7</v>
      </c>
      <c r="R295" s="4">
        <f t="shared" si="24"/>
        <v>0.52810000000000001</v>
      </c>
      <c r="S295" s="2">
        <v>14</v>
      </c>
      <c r="T295" t="s">
        <v>30</v>
      </c>
      <c r="U295">
        <v>3</v>
      </c>
    </row>
    <row r="296" spans="1:22" x14ac:dyDescent="0.25">
      <c r="A296" s="1">
        <v>46034</v>
      </c>
      <c r="B296" t="s">
        <v>482</v>
      </c>
      <c r="C296" t="s">
        <v>401</v>
      </c>
      <c r="D296" t="s">
        <v>130</v>
      </c>
      <c r="E296" t="s">
        <v>72</v>
      </c>
      <c r="F296" t="s">
        <v>64</v>
      </c>
      <c r="G296" t="s">
        <v>27</v>
      </c>
      <c r="H296" t="s">
        <v>68</v>
      </c>
      <c r="I296" t="s">
        <v>87</v>
      </c>
      <c r="J296" s="2">
        <v>3</v>
      </c>
      <c r="K296" s="3">
        <v>1224.51</v>
      </c>
      <c r="L296" s="3">
        <v>819.92</v>
      </c>
      <c r="M296" s="4">
        <v>0</v>
      </c>
      <c r="N296" s="3">
        <f t="shared" si="20"/>
        <v>3673.53</v>
      </c>
      <c r="O296" s="3">
        <f t="shared" si="21"/>
        <v>3673.53</v>
      </c>
      <c r="P296" s="3">
        <f t="shared" si="22"/>
        <v>2459.7600000000002</v>
      </c>
      <c r="Q296" s="3">
        <f t="shared" si="23"/>
        <v>1213.77</v>
      </c>
      <c r="R296" s="4">
        <f t="shared" si="24"/>
        <v>0.33040000000000003</v>
      </c>
      <c r="S296" s="2">
        <v>3</v>
      </c>
      <c r="T296" t="s">
        <v>46</v>
      </c>
      <c r="U296">
        <v>4</v>
      </c>
    </row>
    <row r="297" spans="1:22" x14ac:dyDescent="0.25">
      <c r="A297" s="1">
        <v>46176</v>
      </c>
      <c r="B297" t="s">
        <v>483</v>
      </c>
      <c r="C297" t="s">
        <v>48</v>
      </c>
      <c r="D297" t="s">
        <v>85</v>
      </c>
      <c r="E297" t="s">
        <v>50</v>
      </c>
      <c r="F297" t="s">
        <v>26</v>
      </c>
      <c r="G297" t="s">
        <v>51</v>
      </c>
      <c r="H297" t="s">
        <v>52</v>
      </c>
      <c r="I297" t="s">
        <v>94</v>
      </c>
      <c r="J297" s="2">
        <v>3</v>
      </c>
      <c r="K297" s="3">
        <v>263.04000000000002</v>
      </c>
      <c r="L297" s="3">
        <v>116.95</v>
      </c>
      <c r="M297" s="4">
        <v>2.81E-2</v>
      </c>
      <c r="N297" s="3">
        <f t="shared" si="20"/>
        <v>789.12</v>
      </c>
      <c r="O297" s="3">
        <f t="shared" si="21"/>
        <v>766.95</v>
      </c>
      <c r="P297" s="3">
        <f t="shared" si="22"/>
        <v>350.85</v>
      </c>
      <c r="Q297" s="3">
        <f t="shared" si="23"/>
        <v>416.1</v>
      </c>
      <c r="R297" s="4">
        <f t="shared" si="24"/>
        <v>0.54249999999999998</v>
      </c>
      <c r="S297" s="2">
        <v>2</v>
      </c>
      <c r="T297" t="s">
        <v>40</v>
      </c>
    </row>
    <row r="298" spans="1:22" x14ac:dyDescent="0.25">
      <c r="A298" s="1">
        <v>46168</v>
      </c>
      <c r="B298" t="s">
        <v>484</v>
      </c>
      <c r="C298" t="s">
        <v>112</v>
      </c>
      <c r="D298" t="s">
        <v>34</v>
      </c>
      <c r="E298" t="s">
        <v>35</v>
      </c>
      <c r="F298" t="s">
        <v>36</v>
      </c>
      <c r="G298" t="s">
        <v>51</v>
      </c>
      <c r="H298" t="s">
        <v>52</v>
      </c>
      <c r="I298" t="s">
        <v>94</v>
      </c>
      <c r="J298" s="2">
        <v>1</v>
      </c>
      <c r="K298" s="3">
        <v>257.69</v>
      </c>
      <c r="L298" s="3">
        <v>117.92</v>
      </c>
      <c r="M298" s="4">
        <v>0</v>
      </c>
      <c r="N298" s="3">
        <f t="shared" si="20"/>
        <v>257.69</v>
      </c>
      <c r="O298" s="3">
        <f t="shared" si="21"/>
        <v>257.69</v>
      </c>
      <c r="P298" s="3">
        <f t="shared" si="22"/>
        <v>117.92</v>
      </c>
      <c r="Q298" s="3">
        <f t="shared" si="23"/>
        <v>139.77000000000001</v>
      </c>
      <c r="R298" s="4">
        <f t="shared" si="24"/>
        <v>0.54239999999999999</v>
      </c>
      <c r="S298" s="2">
        <v>13</v>
      </c>
      <c r="T298" t="s">
        <v>30</v>
      </c>
      <c r="U298">
        <v>2</v>
      </c>
    </row>
    <row r="299" spans="1:22" x14ac:dyDescent="0.25">
      <c r="A299" s="1">
        <v>46129</v>
      </c>
      <c r="B299" t="s">
        <v>485</v>
      </c>
      <c r="C299" t="s">
        <v>136</v>
      </c>
      <c r="D299" t="s">
        <v>207</v>
      </c>
      <c r="E299" t="s">
        <v>35</v>
      </c>
      <c r="F299" t="s">
        <v>58</v>
      </c>
      <c r="G299" t="s">
        <v>37</v>
      </c>
      <c r="H299" t="s">
        <v>178</v>
      </c>
      <c r="I299" t="s">
        <v>65</v>
      </c>
      <c r="J299" s="2">
        <v>1</v>
      </c>
      <c r="K299" s="3">
        <v>513.1</v>
      </c>
      <c r="L299" s="3">
        <v>249.44</v>
      </c>
      <c r="M299" s="4">
        <v>7.0599999999999996E-2</v>
      </c>
      <c r="N299" s="3">
        <f t="shared" si="20"/>
        <v>513.1</v>
      </c>
      <c r="O299" s="3">
        <f t="shared" si="21"/>
        <v>476.88</v>
      </c>
      <c r="P299" s="3">
        <f t="shared" si="22"/>
        <v>249.44</v>
      </c>
      <c r="Q299" s="3">
        <f t="shared" si="23"/>
        <v>227.44</v>
      </c>
      <c r="R299" s="4">
        <f t="shared" si="24"/>
        <v>0.47689999999999999</v>
      </c>
      <c r="S299" s="2">
        <v>8</v>
      </c>
      <c r="T299" t="s">
        <v>46</v>
      </c>
      <c r="U299">
        <v>4</v>
      </c>
    </row>
    <row r="300" spans="1:22" x14ac:dyDescent="0.25">
      <c r="A300" s="1">
        <v>46191</v>
      </c>
      <c r="B300" t="s">
        <v>486</v>
      </c>
      <c r="C300" t="s">
        <v>231</v>
      </c>
      <c r="D300" t="s">
        <v>101</v>
      </c>
      <c r="E300" t="s">
        <v>35</v>
      </c>
      <c r="F300" t="s">
        <v>36</v>
      </c>
      <c r="G300" t="s">
        <v>51</v>
      </c>
      <c r="H300" t="s">
        <v>116</v>
      </c>
      <c r="I300" t="s">
        <v>53</v>
      </c>
      <c r="J300" s="2">
        <v>2</v>
      </c>
      <c r="K300" s="3">
        <v>2683.6</v>
      </c>
      <c r="L300" s="3">
        <v>1779.29</v>
      </c>
      <c r="M300" s="4">
        <v>0</v>
      </c>
      <c r="N300" s="3">
        <f t="shared" si="20"/>
        <v>5367.2</v>
      </c>
      <c r="O300" s="3">
        <f t="shared" si="21"/>
        <v>5367.2</v>
      </c>
      <c r="P300" s="3">
        <f t="shared" si="22"/>
        <v>3558.58</v>
      </c>
      <c r="Q300" s="3">
        <f t="shared" si="23"/>
        <v>1808.62</v>
      </c>
      <c r="R300" s="4">
        <f t="shared" si="24"/>
        <v>0.33700000000000002</v>
      </c>
      <c r="S300" s="2">
        <v>11</v>
      </c>
      <c r="T300" t="s">
        <v>30</v>
      </c>
      <c r="U300">
        <v>4</v>
      </c>
    </row>
    <row r="301" spans="1:22" x14ac:dyDescent="0.25">
      <c r="A301" s="1">
        <v>46205</v>
      </c>
      <c r="B301" t="s">
        <v>487</v>
      </c>
      <c r="C301" t="s">
        <v>375</v>
      </c>
      <c r="D301" t="s">
        <v>126</v>
      </c>
      <c r="E301" t="s">
        <v>57</v>
      </c>
      <c r="F301" t="s">
        <v>36</v>
      </c>
      <c r="G301" t="s">
        <v>51</v>
      </c>
      <c r="H301" t="s">
        <v>59</v>
      </c>
      <c r="I301" t="s">
        <v>65</v>
      </c>
      <c r="J301" s="2">
        <v>8</v>
      </c>
      <c r="K301" s="3">
        <v>2284.81</v>
      </c>
      <c r="L301" s="3">
        <v>1472.39</v>
      </c>
      <c r="M301" s="4">
        <v>0</v>
      </c>
      <c r="N301" s="3">
        <f t="shared" si="20"/>
        <v>18278.48</v>
      </c>
      <c r="O301" s="3">
        <f t="shared" si="21"/>
        <v>18278.48</v>
      </c>
      <c r="P301" s="3">
        <f t="shared" si="22"/>
        <v>11779.12</v>
      </c>
      <c r="Q301" s="3">
        <f t="shared" si="23"/>
        <v>6499.36</v>
      </c>
      <c r="R301" s="4">
        <f t="shared" si="24"/>
        <v>0.35560000000000003</v>
      </c>
      <c r="S301" s="2">
        <v>13</v>
      </c>
      <c r="T301" t="s">
        <v>30</v>
      </c>
      <c r="U301">
        <v>4</v>
      </c>
    </row>
    <row r="302" spans="1:22" x14ac:dyDescent="0.25">
      <c r="A302" s="1">
        <v>46072</v>
      </c>
      <c r="B302" t="s">
        <v>488</v>
      </c>
      <c r="C302" t="s">
        <v>214</v>
      </c>
      <c r="D302" t="s">
        <v>139</v>
      </c>
      <c r="E302" t="s">
        <v>72</v>
      </c>
      <c r="F302" t="s">
        <v>64</v>
      </c>
      <c r="G302" t="s">
        <v>44</v>
      </c>
      <c r="H302" t="s">
        <v>73</v>
      </c>
      <c r="I302" t="s">
        <v>60</v>
      </c>
      <c r="J302" s="2">
        <v>4</v>
      </c>
      <c r="K302" s="3">
        <v>1755.12</v>
      </c>
      <c r="L302" s="3">
        <v>1159.28</v>
      </c>
      <c r="M302" s="4">
        <v>0</v>
      </c>
      <c r="N302" s="3">
        <f t="shared" si="20"/>
        <v>7020.48</v>
      </c>
      <c r="O302" s="3">
        <f t="shared" si="21"/>
        <v>7020.48</v>
      </c>
      <c r="P302" s="3">
        <f t="shared" si="22"/>
        <v>4637.12</v>
      </c>
      <c r="Q302" s="3">
        <f t="shared" si="23"/>
        <v>2383.36</v>
      </c>
      <c r="R302" s="4">
        <f t="shared" si="24"/>
        <v>0.33950000000000002</v>
      </c>
      <c r="S302" s="2">
        <v>4</v>
      </c>
      <c r="T302" t="s">
        <v>46</v>
      </c>
      <c r="U302">
        <v>3</v>
      </c>
    </row>
    <row r="303" spans="1:22" x14ac:dyDescent="0.25">
      <c r="A303" s="1">
        <v>46157</v>
      </c>
      <c r="B303" t="s">
        <v>489</v>
      </c>
      <c r="C303" t="s">
        <v>134</v>
      </c>
      <c r="D303" t="s">
        <v>56</v>
      </c>
      <c r="E303" t="s">
        <v>57</v>
      </c>
      <c r="F303" t="s">
        <v>36</v>
      </c>
      <c r="G303" t="s">
        <v>44</v>
      </c>
      <c r="H303" t="s">
        <v>45</v>
      </c>
      <c r="I303" t="s">
        <v>53</v>
      </c>
      <c r="J303" s="2">
        <v>7</v>
      </c>
      <c r="K303" s="3">
        <v>379.63</v>
      </c>
      <c r="L303" s="3">
        <v>204.77</v>
      </c>
      <c r="M303" s="4">
        <v>0</v>
      </c>
      <c r="N303" s="3">
        <f t="shared" si="20"/>
        <v>2657.41</v>
      </c>
      <c r="O303" s="3">
        <f t="shared" si="21"/>
        <v>2657.41</v>
      </c>
      <c r="P303" s="3">
        <f t="shared" si="22"/>
        <v>1433.39</v>
      </c>
      <c r="Q303" s="3">
        <f t="shared" si="23"/>
        <v>1224.02</v>
      </c>
      <c r="R303" s="4">
        <f t="shared" si="24"/>
        <v>0.46060000000000001</v>
      </c>
      <c r="S303" s="2">
        <v>12</v>
      </c>
      <c r="T303" t="s">
        <v>30</v>
      </c>
      <c r="U303">
        <v>2</v>
      </c>
    </row>
    <row r="304" spans="1:22" x14ac:dyDescent="0.25">
      <c r="A304" s="1">
        <v>46060</v>
      </c>
      <c r="B304" t="s">
        <v>490</v>
      </c>
      <c r="C304" t="s">
        <v>329</v>
      </c>
      <c r="D304" t="s">
        <v>71</v>
      </c>
      <c r="E304" t="s">
        <v>72</v>
      </c>
      <c r="F304" t="s">
        <v>64</v>
      </c>
      <c r="G304" t="s">
        <v>51</v>
      </c>
      <c r="H304" t="s">
        <v>116</v>
      </c>
      <c r="I304" t="s">
        <v>74</v>
      </c>
      <c r="J304" s="2">
        <v>5</v>
      </c>
      <c r="K304" s="3">
        <v>2837.98</v>
      </c>
      <c r="L304" s="3">
        <v>1904.37</v>
      </c>
      <c r="M304" s="4">
        <v>0</v>
      </c>
      <c r="N304" s="3">
        <f t="shared" si="20"/>
        <v>14189.9</v>
      </c>
      <c r="O304" s="3">
        <f t="shared" si="21"/>
        <v>14189.9</v>
      </c>
      <c r="P304" s="3">
        <f t="shared" si="22"/>
        <v>9521.85</v>
      </c>
      <c r="Q304" s="3">
        <f t="shared" si="23"/>
        <v>4668.05</v>
      </c>
      <c r="R304" s="4">
        <f t="shared" si="24"/>
        <v>0.32900000000000001</v>
      </c>
      <c r="S304" s="2">
        <v>7</v>
      </c>
      <c r="T304" t="s">
        <v>46</v>
      </c>
      <c r="U304">
        <v>3</v>
      </c>
    </row>
    <row r="305" spans="1:21" x14ac:dyDescent="0.25">
      <c r="A305" s="1">
        <v>46083</v>
      </c>
      <c r="B305" t="s">
        <v>491</v>
      </c>
      <c r="C305" t="s">
        <v>433</v>
      </c>
      <c r="D305" t="s">
        <v>130</v>
      </c>
      <c r="E305" t="s">
        <v>72</v>
      </c>
      <c r="F305" t="s">
        <v>26</v>
      </c>
      <c r="G305" t="s">
        <v>37</v>
      </c>
      <c r="H305" t="s">
        <v>104</v>
      </c>
      <c r="I305" t="s">
        <v>39</v>
      </c>
      <c r="J305" s="2">
        <v>3</v>
      </c>
      <c r="K305" s="3">
        <v>314.52999999999997</v>
      </c>
      <c r="L305" s="3">
        <v>143.6</v>
      </c>
      <c r="M305" s="4">
        <v>9.3299999999999994E-2</v>
      </c>
      <c r="N305" s="3">
        <f t="shared" si="20"/>
        <v>943.59</v>
      </c>
      <c r="O305" s="3">
        <f t="shared" si="21"/>
        <v>855.55</v>
      </c>
      <c r="P305" s="3">
        <f t="shared" si="22"/>
        <v>430.8</v>
      </c>
      <c r="Q305" s="3">
        <f t="shared" si="23"/>
        <v>424.75</v>
      </c>
      <c r="R305" s="4">
        <f t="shared" si="24"/>
        <v>0.4965</v>
      </c>
      <c r="S305" s="2">
        <v>4</v>
      </c>
      <c r="T305" t="s">
        <v>46</v>
      </c>
      <c r="U305">
        <v>5</v>
      </c>
    </row>
    <row r="306" spans="1:21" x14ac:dyDescent="0.25">
      <c r="A306" s="1">
        <v>46076</v>
      </c>
      <c r="B306" t="s">
        <v>492</v>
      </c>
      <c r="C306" t="s">
        <v>214</v>
      </c>
      <c r="D306" t="s">
        <v>121</v>
      </c>
      <c r="E306" t="s">
        <v>72</v>
      </c>
      <c r="F306" t="s">
        <v>26</v>
      </c>
      <c r="G306" t="s">
        <v>37</v>
      </c>
      <c r="H306" t="s">
        <v>38</v>
      </c>
      <c r="I306" t="s">
        <v>74</v>
      </c>
      <c r="J306" s="2">
        <v>7</v>
      </c>
      <c r="K306" s="3">
        <v>444.23</v>
      </c>
      <c r="L306" s="3">
        <v>190.22</v>
      </c>
      <c r="M306" s="4">
        <v>1.8100000000000002E-2</v>
      </c>
      <c r="N306" s="3">
        <f t="shared" si="20"/>
        <v>3109.61</v>
      </c>
      <c r="O306" s="3">
        <f t="shared" si="21"/>
        <v>3053.33</v>
      </c>
      <c r="P306" s="3">
        <f t="shared" si="22"/>
        <v>1331.54</v>
      </c>
      <c r="Q306" s="3">
        <f t="shared" si="23"/>
        <v>1721.79</v>
      </c>
      <c r="R306" s="4">
        <f t="shared" si="24"/>
        <v>0.56389999999999996</v>
      </c>
      <c r="S306" s="2">
        <v>8</v>
      </c>
      <c r="T306" t="s">
        <v>46</v>
      </c>
      <c r="U306">
        <v>4</v>
      </c>
    </row>
    <row r="307" spans="1:21" x14ac:dyDescent="0.25">
      <c r="A307" s="1">
        <v>46127</v>
      </c>
      <c r="B307" t="s">
        <v>493</v>
      </c>
      <c r="C307" t="s">
        <v>190</v>
      </c>
      <c r="D307" t="s">
        <v>43</v>
      </c>
      <c r="E307" t="s">
        <v>25</v>
      </c>
      <c r="F307" t="s">
        <v>64</v>
      </c>
      <c r="G307" t="s">
        <v>44</v>
      </c>
      <c r="H307" t="s">
        <v>124</v>
      </c>
      <c r="I307" t="s">
        <v>53</v>
      </c>
      <c r="J307" s="2">
        <v>1</v>
      </c>
      <c r="K307" s="3">
        <v>5679.88</v>
      </c>
      <c r="L307" s="3">
        <v>4534.78</v>
      </c>
      <c r="M307" s="4">
        <v>0</v>
      </c>
      <c r="N307" s="3">
        <f t="shared" si="20"/>
        <v>5679.88</v>
      </c>
      <c r="O307" s="3">
        <f t="shared" si="21"/>
        <v>5679.88</v>
      </c>
      <c r="P307" s="3">
        <f t="shared" si="22"/>
        <v>4534.78</v>
      </c>
      <c r="Q307" s="3">
        <f t="shared" si="23"/>
        <v>1145.0999999999999</v>
      </c>
      <c r="R307" s="4">
        <f t="shared" si="24"/>
        <v>0.2016</v>
      </c>
      <c r="S307" s="2">
        <v>13</v>
      </c>
      <c r="T307" t="s">
        <v>30</v>
      </c>
      <c r="U307">
        <v>3</v>
      </c>
    </row>
    <row r="308" spans="1:21" x14ac:dyDescent="0.25">
      <c r="A308" s="1">
        <v>46229</v>
      </c>
      <c r="B308" t="s">
        <v>494</v>
      </c>
      <c r="C308" t="s">
        <v>381</v>
      </c>
      <c r="D308" t="s">
        <v>101</v>
      </c>
      <c r="E308" t="s">
        <v>35</v>
      </c>
      <c r="F308" t="s">
        <v>26</v>
      </c>
      <c r="G308" t="s">
        <v>27</v>
      </c>
      <c r="H308" t="s">
        <v>28</v>
      </c>
      <c r="I308" t="s">
        <v>77</v>
      </c>
      <c r="J308" s="2">
        <v>6</v>
      </c>
      <c r="K308" s="3">
        <v>766.68</v>
      </c>
      <c r="L308" s="3">
        <v>450.6</v>
      </c>
      <c r="M308" s="4">
        <v>4.82E-2</v>
      </c>
      <c r="N308" s="3">
        <f t="shared" si="20"/>
        <v>4600.08</v>
      </c>
      <c r="O308" s="3">
        <f t="shared" si="21"/>
        <v>4378.3599999999997</v>
      </c>
      <c r="P308" s="3">
        <f t="shared" si="22"/>
        <v>2703.6</v>
      </c>
      <c r="Q308" s="3">
        <f t="shared" si="23"/>
        <v>1674.76</v>
      </c>
      <c r="R308" s="4">
        <f t="shared" si="24"/>
        <v>0.38250000000000001</v>
      </c>
      <c r="S308" s="2">
        <v>11</v>
      </c>
      <c r="T308" t="s">
        <v>30</v>
      </c>
      <c r="U308">
        <v>4</v>
      </c>
    </row>
    <row r="309" spans="1:21" x14ac:dyDescent="0.25">
      <c r="A309" s="1">
        <v>46063</v>
      </c>
      <c r="B309" t="s">
        <v>495</v>
      </c>
      <c r="C309" t="s">
        <v>123</v>
      </c>
      <c r="D309" t="s">
        <v>49</v>
      </c>
      <c r="E309" t="s">
        <v>50</v>
      </c>
      <c r="F309" t="s">
        <v>36</v>
      </c>
      <c r="G309" t="s">
        <v>44</v>
      </c>
      <c r="H309" t="s">
        <v>124</v>
      </c>
      <c r="I309" t="s">
        <v>74</v>
      </c>
      <c r="J309" s="2">
        <v>3</v>
      </c>
      <c r="K309" s="3">
        <v>5964.34</v>
      </c>
      <c r="L309" s="3">
        <v>4483.09</v>
      </c>
      <c r="M309" s="4">
        <v>0</v>
      </c>
      <c r="N309" s="3">
        <f t="shared" si="20"/>
        <v>17893.02</v>
      </c>
      <c r="O309" s="3">
        <f t="shared" si="21"/>
        <v>17893.02</v>
      </c>
      <c r="P309" s="3">
        <f t="shared" si="22"/>
        <v>13449.27</v>
      </c>
      <c r="Q309" s="3">
        <f t="shared" si="23"/>
        <v>4443.75</v>
      </c>
      <c r="R309" s="4">
        <f t="shared" si="24"/>
        <v>0.24840000000000001</v>
      </c>
      <c r="S309" s="2">
        <v>10</v>
      </c>
      <c r="T309" t="s">
        <v>46</v>
      </c>
      <c r="U309">
        <v>2</v>
      </c>
    </row>
    <row r="310" spans="1:21" x14ac:dyDescent="0.25">
      <c r="A310" s="1">
        <v>46135</v>
      </c>
      <c r="B310" t="s">
        <v>496</v>
      </c>
      <c r="C310" t="s">
        <v>112</v>
      </c>
      <c r="D310" t="s">
        <v>34</v>
      </c>
      <c r="E310" t="s">
        <v>35</v>
      </c>
      <c r="F310" t="s">
        <v>64</v>
      </c>
      <c r="G310" t="s">
        <v>44</v>
      </c>
      <c r="H310" t="s">
        <v>45</v>
      </c>
      <c r="I310" t="s">
        <v>39</v>
      </c>
      <c r="J310" s="2">
        <v>1</v>
      </c>
      <c r="K310" s="3">
        <v>377.44</v>
      </c>
      <c r="L310" s="3">
        <v>213.65</v>
      </c>
      <c r="M310" s="4">
        <v>0</v>
      </c>
      <c r="N310" s="3">
        <f t="shared" si="20"/>
        <v>377.44</v>
      </c>
      <c r="O310" s="3">
        <f t="shared" si="21"/>
        <v>377.44</v>
      </c>
      <c r="P310" s="3">
        <f t="shared" si="22"/>
        <v>213.65</v>
      </c>
      <c r="Q310" s="3">
        <f t="shared" si="23"/>
        <v>163.79</v>
      </c>
      <c r="R310" s="4">
        <f t="shared" si="24"/>
        <v>0.43390000000000001</v>
      </c>
      <c r="S310" s="2">
        <v>6</v>
      </c>
      <c r="T310" t="s">
        <v>46</v>
      </c>
      <c r="U310">
        <v>2</v>
      </c>
    </row>
    <row r="311" spans="1:21" x14ac:dyDescent="0.25">
      <c r="A311" s="1">
        <v>46024</v>
      </c>
      <c r="B311" t="s">
        <v>497</v>
      </c>
      <c r="C311" t="s">
        <v>216</v>
      </c>
      <c r="D311" t="s">
        <v>43</v>
      </c>
      <c r="E311" t="s">
        <v>25</v>
      </c>
      <c r="F311" t="s">
        <v>64</v>
      </c>
      <c r="G311" t="s">
        <v>44</v>
      </c>
      <c r="H311" t="s">
        <v>73</v>
      </c>
      <c r="I311" t="s">
        <v>53</v>
      </c>
      <c r="J311" s="2">
        <v>2</v>
      </c>
      <c r="K311" s="3">
        <v>1750.5</v>
      </c>
      <c r="L311" s="3">
        <v>1095.46</v>
      </c>
      <c r="M311" s="4">
        <v>4.2900000000000001E-2</v>
      </c>
      <c r="N311" s="3">
        <f t="shared" si="20"/>
        <v>3501</v>
      </c>
      <c r="O311" s="3">
        <f t="shared" si="21"/>
        <v>3350.81</v>
      </c>
      <c r="P311" s="3">
        <f t="shared" si="22"/>
        <v>2190.92</v>
      </c>
      <c r="Q311" s="3">
        <f t="shared" si="23"/>
        <v>1159.8900000000001</v>
      </c>
      <c r="R311" s="4">
        <f t="shared" si="24"/>
        <v>0.34620000000000001</v>
      </c>
      <c r="S311" s="2">
        <v>6</v>
      </c>
      <c r="T311" t="s">
        <v>46</v>
      </c>
      <c r="U311">
        <v>3</v>
      </c>
    </row>
    <row r="312" spans="1:21" x14ac:dyDescent="0.25">
      <c r="A312" s="1">
        <v>46185</v>
      </c>
      <c r="B312" t="s">
        <v>498</v>
      </c>
      <c r="C312" t="s">
        <v>132</v>
      </c>
      <c r="D312" t="s">
        <v>49</v>
      </c>
      <c r="E312" t="s">
        <v>50</v>
      </c>
      <c r="F312" t="s">
        <v>36</v>
      </c>
      <c r="G312" t="s">
        <v>37</v>
      </c>
      <c r="H312" t="s">
        <v>104</v>
      </c>
      <c r="I312" t="s">
        <v>39</v>
      </c>
      <c r="J312" s="2">
        <v>1</v>
      </c>
      <c r="K312" s="3">
        <v>300.98</v>
      </c>
      <c r="L312" s="3">
        <v>131.82</v>
      </c>
      <c r="M312" s="4">
        <v>2.23E-2</v>
      </c>
      <c r="N312" s="3">
        <f t="shared" si="20"/>
        <v>300.98</v>
      </c>
      <c r="O312" s="3">
        <f t="shared" si="21"/>
        <v>294.27</v>
      </c>
      <c r="P312" s="3">
        <f t="shared" si="22"/>
        <v>131.82</v>
      </c>
      <c r="Q312" s="3">
        <f t="shared" si="23"/>
        <v>162.44999999999999</v>
      </c>
      <c r="R312" s="4">
        <f t="shared" si="24"/>
        <v>0.55200000000000005</v>
      </c>
      <c r="S312" s="2">
        <v>2</v>
      </c>
      <c r="T312" t="s">
        <v>46</v>
      </c>
      <c r="U312">
        <v>4</v>
      </c>
    </row>
    <row r="313" spans="1:21" x14ac:dyDescent="0.25">
      <c r="A313" s="1">
        <v>46193</v>
      </c>
      <c r="B313" t="s">
        <v>499</v>
      </c>
      <c r="C313" t="s">
        <v>500</v>
      </c>
      <c r="D313" t="s">
        <v>85</v>
      </c>
      <c r="E313" t="s">
        <v>50</v>
      </c>
      <c r="F313" t="s">
        <v>64</v>
      </c>
      <c r="G313" t="s">
        <v>37</v>
      </c>
      <c r="H313" t="s">
        <v>104</v>
      </c>
      <c r="I313" t="s">
        <v>65</v>
      </c>
      <c r="J313" s="2">
        <v>5</v>
      </c>
      <c r="K313" s="3">
        <v>323.62</v>
      </c>
      <c r="L313" s="3">
        <v>139.5</v>
      </c>
      <c r="M313" s="4">
        <v>9.8799999999999999E-2</v>
      </c>
      <c r="N313" s="3">
        <f t="shared" si="20"/>
        <v>1618.1</v>
      </c>
      <c r="O313" s="3">
        <f t="shared" si="21"/>
        <v>1458.23</v>
      </c>
      <c r="P313" s="3">
        <f t="shared" si="22"/>
        <v>697.5</v>
      </c>
      <c r="Q313" s="3">
        <f t="shared" si="23"/>
        <v>760.73</v>
      </c>
      <c r="R313" s="4">
        <f t="shared" si="24"/>
        <v>0.52170000000000005</v>
      </c>
      <c r="S313" s="2">
        <v>13</v>
      </c>
      <c r="T313" t="s">
        <v>30</v>
      </c>
      <c r="U313">
        <v>4</v>
      </c>
    </row>
    <row r="314" spans="1:21" x14ac:dyDescent="0.25">
      <c r="A314" s="1">
        <v>46069</v>
      </c>
      <c r="B314" t="s">
        <v>501</v>
      </c>
      <c r="C314" t="s">
        <v>150</v>
      </c>
      <c r="D314" t="s">
        <v>71</v>
      </c>
      <c r="E314" t="s">
        <v>72</v>
      </c>
      <c r="F314" t="s">
        <v>58</v>
      </c>
      <c r="G314" t="s">
        <v>44</v>
      </c>
      <c r="H314" t="s">
        <v>124</v>
      </c>
      <c r="I314" t="s">
        <v>87</v>
      </c>
      <c r="J314" s="2">
        <v>2</v>
      </c>
      <c r="K314" s="3">
        <v>6054</v>
      </c>
      <c r="L314" s="3">
        <v>4437.3</v>
      </c>
      <c r="M314" s="4">
        <v>3.5000000000000003E-2</v>
      </c>
      <c r="N314" s="3">
        <f t="shared" si="20"/>
        <v>12108</v>
      </c>
      <c r="O314" s="3">
        <f t="shared" si="21"/>
        <v>11684.22</v>
      </c>
      <c r="P314" s="3">
        <f t="shared" si="22"/>
        <v>8874.6</v>
      </c>
      <c r="Q314" s="3">
        <f t="shared" si="23"/>
        <v>2809.62</v>
      </c>
      <c r="R314" s="4">
        <f t="shared" si="24"/>
        <v>0.24049999999999999</v>
      </c>
      <c r="S314" s="2">
        <v>5</v>
      </c>
      <c r="T314" t="s">
        <v>46</v>
      </c>
      <c r="U314">
        <v>3</v>
      </c>
    </row>
    <row r="315" spans="1:21" x14ac:dyDescent="0.25">
      <c r="A315" s="1">
        <v>46125</v>
      </c>
      <c r="B315" t="s">
        <v>502</v>
      </c>
      <c r="C315" t="s">
        <v>378</v>
      </c>
      <c r="D315" t="s">
        <v>85</v>
      </c>
      <c r="E315" t="s">
        <v>50</v>
      </c>
      <c r="F315" t="s">
        <v>36</v>
      </c>
      <c r="G315" t="s">
        <v>27</v>
      </c>
      <c r="H315" t="s">
        <v>28</v>
      </c>
      <c r="I315" t="s">
        <v>92</v>
      </c>
      <c r="J315" s="2">
        <v>4</v>
      </c>
      <c r="K315" s="3">
        <v>831.24</v>
      </c>
      <c r="L315" s="3">
        <v>459.33</v>
      </c>
      <c r="M315" s="4">
        <v>4.2099999999999999E-2</v>
      </c>
      <c r="N315" s="3">
        <f t="shared" si="20"/>
        <v>3324.96</v>
      </c>
      <c r="O315" s="3">
        <f t="shared" si="21"/>
        <v>3184.98</v>
      </c>
      <c r="P315" s="3">
        <f t="shared" si="22"/>
        <v>1837.32</v>
      </c>
      <c r="Q315" s="3">
        <f t="shared" si="23"/>
        <v>1347.66</v>
      </c>
      <c r="R315" s="4">
        <f t="shared" si="24"/>
        <v>0.42309999999999998</v>
      </c>
      <c r="S315" s="2">
        <v>5</v>
      </c>
      <c r="T315" t="s">
        <v>46</v>
      </c>
      <c r="U315">
        <v>4</v>
      </c>
    </row>
    <row r="316" spans="1:21" x14ac:dyDescent="0.25">
      <c r="A316" s="1">
        <v>46075</v>
      </c>
      <c r="B316" t="s">
        <v>503</v>
      </c>
      <c r="C316" t="s">
        <v>174</v>
      </c>
      <c r="D316" t="s">
        <v>101</v>
      </c>
      <c r="E316" t="s">
        <v>35</v>
      </c>
      <c r="F316" t="s">
        <v>64</v>
      </c>
      <c r="G316" t="s">
        <v>37</v>
      </c>
      <c r="H316" t="s">
        <v>104</v>
      </c>
      <c r="I316" t="s">
        <v>77</v>
      </c>
      <c r="J316" s="2">
        <v>2</v>
      </c>
      <c r="K316" s="3">
        <v>313.37</v>
      </c>
      <c r="L316" s="3">
        <v>137.01</v>
      </c>
      <c r="M316" s="4">
        <v>0.11940000000000001</v>
      </c>
      <c r="N316" s="3">
        <f t="shared" si="20"/>
        <v>626.74</v>
      </c>
      <c r="O316" s="3">
        <f t="shared" si="21"/>
        <v>551.91</v>
      </c>
      <c r="P316" s="3">
        <f t="shared" si="22"/>
        <v>274.02</v>
      </c>
      <c r="Q316" s="3">
        <f t="shared" si="23"/>
        <v>277.89</v>
      </c>
      <c r="R316" s="4">
        <f t="shared" si="24"/>
        <v>0.50349999999999995</v>
      </c>
      <c r="S316" s="2">
        <v>13</v>
      </c>
      <c r="T316" t="s">
        <v>30</v>
      </c>
      <c r="U316">
        <v>3</v>
      </c>
    </row>
    <row r="317" spans="1:21" x14ac:dyDescent="0.25">
      <c r="A317" s="1">
        <v>46221</v>
      </c>
      <c r="B317" t="s">
        <v>504</v>
      </c>
      <c r="C317" t="s">
        <v>211</v>
      </c>
      <c r="D317" t="s">
        <v>63</v>
      </c>
      <c r="E317" t="s">
        <v>35</v>
      </c>
      <c r="F317" t="s">
        <v>36</v>
      </c>
      <c r="G317" t="s">
        <v>51</v>
      </c>
      <c r="H317" t="s">
        <v>59</v>
      </c>
      <c r="I317" t="s">
        <v>87</v>
      </c>
      <c r="J317" s="2">
        <v>2</v>
      </c>
      <c r="K317" s="3">
        <v>2204.9</v>
      </c>
      <c r="L317" s="3">
        <v>1356.08</v>
      </c>
      <c r="M317" s="4">
        <v>0.11609999999999999</v>
      </c>
      <c r="N317" s="3">
        <f t="shared" si="20"/>
        <v>4409.8</v>
      </c>
      <c r="O317" s="3">
        <f t="shared" si="21"/>
        <v>3897.82</v>
      </c>
      <c r="P317" s="3">
        <f t="shared" si="22"/>
        <v>2712.16</v>
      </c>
      <c r="Q317" s="3">
        <f t="shared" si="23"/>
        <v>1185.6600000000001</v>
      </c>
      <c r="R317" s="4">
        <f t="shared" si="24"/>
        <v>0.30420000000000003</v>
      </c>
      <c r="S317" s="2">
        <v>13</v>
      </c>
      <c r="T317" t="s">
        <v>30</v>
      </c>
      <c r="U317">
        <v>2</v>
      </c>
    </row>
    <row r="318" spans="1:21" x14ac:dyDescent="0.25">
      <c r="A318" s="1">
        <v>46077</v>
      </c>
      <c r="B318" t="s">
        <v>505</v>
      </c>
      <c r="C318" t="s">
        <v>190</v>
      </c>
      <c r="D318" t="s">
        <v>126</v>
      </c>
      <c r="E318" t="s">
        <v>57</v>
      </c>
      <c r="F318" t="s">
        <v>64</v>
      </c>
      <c r="G318" t="s">
        <v>51</v>
      </c>
      <c r="H318" t="s">
        <v>116</v>
      </c>
      <c r="I318" t="s">
        <v>65</v>
      </c>
      <c r="J318" s="2">
        <v>3</v>
      </c>
      <c r="K318" s="3">
        <v>2925.12</v>
      </c>
      <c r="L318" s="3">
        <v>1814.65</v>
      </c>
      <c r="M318" s="4">
        <v>5.3600000000000002E-2</v>
      </c>
      <c r="N318" s="3">
        <f t="shared" si="20"/>
        <v>8775.36</v>
      </c>
      <c r="O318" s="3">
        <f t="shared" si="21"/>
        <v>8305</v>
      </c>
      <c r="P318" s="3">
        <f t="shared" si="22"/>
        <v>5443.95</v>
      </c>
      <c r="Q318" s="3">
        <f t="shared" si="23"/>
        <v>2861.05</v>
      </c>
      <c r="R318" s="4">
        <f t="shared" si="24"/>
        <v>0.34449999999999997</v>
      </c>
      <c r="S318" s="2">
        <v>14</v>
      </c>
      <c r="T318" t="s">
        <v>30</v>
      </c>
      <c r="U318">
        <v>4</v>
      </c>
    </row>
    <row r="319" spans="1:21" x14ac:dyDescent="0.25">
      <c r="A319" s="1">
        <v>46195</v>
      </c>
      <c r="B319" t="s">
        <v>506</v>
      </c>
      <c r="C319" t="s">
        <v>211</v>
      </c>
      <c r="D319" t="s">
        <v>101</v>
      </c>
      <c r="E319" t="s">
        <v>35</v>
      </c>
      <c r="F319" t="s">
        <v>58</v>
      </c>
      <c r="G319" t="s">
        <v>27</v>
      </c>
      <c r="H319" t="s">
        <v>86</v>
      </c>
      <c r="I319" t="s">
        <v>53</v>
      </c>
      <c r="J319" s="2">
        <v>4</v>
      </c>
      <c r="K319" s="3">
        <v>1967.05</v>
      </c>
      <c r="L319" s="3">
        <v>1225.83</v>
      </c>
      <c r="M319" s="4">
        <v>3.5000000000000003E-2</v>
      </c>
      <c r="N319" s="3">
        <f t="shared" si="20"/>
        <v>7868.2</v>
      </c>
      <c r="O319" s="3">
        <f t="shared" si="21"/>
        <v>7592.81</v>
      </c>
      <c r="P319" s="3">
        <f t="shared" si="22"/>
        <v>4903.32</v>
      </c>
      <c r="Q319" s="3">
        <f t="shared" si="23"/>
        <v>2689.49</v>
      </c>
      <c r="R319" s="4">
        <f t="shared" si="24"/>
        <v>0.35420000000000001</v>
      </c>
      <c r="S319" s="2">
        <v>14</v>
      </c>
      <c r="T319" t="s">
        <v>30</v>
      </c>
      <c r="U319">
        <v>4</v>
      </c>
    </row>
    <row r="320" spans="1:21" x14ac:dyDescent="0.25">
      <c r="A320" s="1">
        <v>46162</v>
      </c>
      <c r="B320" t="s">
        <v>507</v>
      </c>
      <c r="C320" t="s">
        <v>375</v>
      </c>
      <c r="D320" t="s">
        <v>49</v>
      </c>
      <c r="E320" t="s">
        <v>50</v>
      </c>
      <c r="F320" t="s">
        <v>58</v>
      </c>
      <c r="G320" t="s">
        <v>51</v>
      </c>
      <c r="H320" t="s">
        <v>59</v>
      </c>
      <c r="I320" t="s">
        <v>53</v>
      </c>
      <c r="J320" s="2">
        <v>4</v>
      </c>
      <c r="K320" s="3">
        <v>2205.41</v>
      </c>
      <c r="L320" s="3">
        <v>1383.5</v>
      </c>
      <c r="M320" s="4">
        <v>3.5000000000000003E-2</v>
      </c>
      <c r="N320" s="3">
        <f t="shared" si="20"/>
        <v>8821.64</v>
      </c>
      <c r="O320" s="3">
        <f t="shared" si="21"/>
        <v>8512.8799999999992</v>
      </c>
      <c r="P320" s="3">
        <f t="shared" si="22"/>
        <v>5534</v>
      </c>
      <c r="Q320" s="3">
        <f t="shared" si="23"/>
        <v>2978.88</v>
      </c>
      <c r="R320" s="4">
        <f t="shared" si="24"/>
        <v>0.34989999999999999</v>
      </c>
      <c r="S320" s="2">
        <v>12</v>
      </c>
      <c r="T320" t="s">
        <v>30</v>
      </c>
      <c r="U320">
        <v>3</v>
      </c>
    </row>
    <row r="321" spans="1:21" x14ac:dyDescent="0.25">
      <c r="A321" s="1">
        <v>46084</v>
      </c>
      <c r="B321" t="s">
        <v>508</v>
      </c>
      <c r="C321" t="s">
        <v>118</v>
      </c>
      <c r="D321" t="s">
        <v>139</v>
      </c>
      <c r="E321" t="s">
        <v>72</v>
      </c>
      <c r="F321" t="s">
        <v>26</v>
      </c>
      <c r="G321" t="s">
        <v>37</v>
      </c>
      <c r="H321" t="s">
        <v>178</v>
      </c>
      <c r="I321" t="s">
        <v>39</v>
      </c>
      <c r="J321" s="2">
        <v>5</v>
      </c>
      <c r="K321" s="3">
        <v>514.52</v>
      </c>
      <c r="L321" s="3">
        <v>257.31</v>
      </c>
      <c r="M321" s="4">
        <v>0</v>
      </c>
      <c r="N321" s="3">
        <f t="shared" si="20"/>
        <v>2572.6</v>
      </c>
      <c r="O321" s="3">
        <f t="shared" si="21"/>
        <v>2572.6</v>
      </c>
      <c r="P321" s="3">
        <f t="shared" si="22"/>
        <v>1286.55</v>
      </c>
      <c r="Q321" s="3">
        <f t="shared" si="23"/>
        <v>1286.05</v>
      </c>
      <c r="R321" s="4">
        <f t="shared" si="24"/>
        <v>0.49990000000000001</v>
      </c>
      <c r="S321" s="2">
        <v>9</v>
      </c>
      <c r="T321" t="s">
        <v>46</v>
      </c>
      <c r="U321">
        <v>4</v>
      </c>
    </row>
    <row r="322" spans="1:21" x14ac:dyDescent="0.25">
      <c r="A322" s="1">
        <v>46200</v>
      </c>
      <c r="B322" t="s">
        <v>509</v>
      </c>
      <c r="C322" t="s">
        <v>356</v>
      </c>
      <c r="D322" t="s">
        <v>24</v>
      </c>
      <c r="E322" t="s">
        <v>25</v>
      </c>
      <c r="F322" t="s">
        <v>36</v>
      </c>
      <c r="G322" t="s">
        <v>37</v>
      </c>
      <c r="H322" t="s">
        <v>104</v>
      </c>
      <c r="I322" t="s">
        <v>65</v>
      </c>
      <c r="J322" s="2">
        <v>3</v>
      </c>
      <c r="K322" s="3">
        <v>336.51</v>
      </c>
      <c r="L322" s="3">
        <v>145.25</v>
      </c>
      <c r="M322" s="4">
        <v>0.1048</v>
      </c>
      <c r="N322" s="3">
        <f t="shared" ref="N322:N385" si="25">ROUND(J322*K322,2)</f>
        <v>1009.53</v>
      </c>
      <c r="O322" s="3">
        <f t="shared" ref="O322:O385" si="26">ROUND(N322*(1-M322),2)</f>
        <v>903.73</v>
      </c>
      <c r="P322" s="3">
        <f t="shared" ref="P322:P385" si="27">ROUND(J322*L322,2)</f>
        <v>435.75</v>
      </c>
      <c r="Q322" s="3">
        <f t="shared" ref="Q322:Q385" si="28">ROUND(O322-P322,2)</f>
        <v>467.98</v>
      </c>
      <c r="R322" s="4">
        <f t="shared" ref="R322:R385" si="29">IF(O322=0,0,ROUND(Q322/O322,4))</f>
        <v>0.51780000000000004</v>
      </c>
      <c r="S322" s="2">
        <v>4</v>
      </c>
      <c r="T322" t="s">
        <v>46</v>
      </c>
      <c r="U322">
        <v>3</v>
      </c>
    </row>
    <row r="323" spans="1:21" x14ac:dyDescent="0.25">
      <c r="A323" s="1">
        <v>46136</v>
      </c>
      <c r="B323" t="s">
        <v>510</v>
      </c>
      <c r="C323" t="s">
        <v>150</v>
      </c>
      <c r="D323" t="s">
        <v>101</v>
      </c>
      <c r="E323" t="s">
        <v>35</v>
      </c>
      <c r="F323" t="s">
        <v>58</v>
      </c>
      <c r="G323" t="s">
        <v>44</v>
      </c>
      <c r="H323" t="s">
        <v>45</v>
      </c>
      <c r="I323" t="s">
        <v>29</v>
      </c>
      <c r="J323" s="2">
        <v>5</v>
      </c>
      <c r="K323" s="3">
        <v>411.29</v>
      </c>
      <c r="L323" s="3">
        <v>204.6</v>
      </c>
      <c r="M323" s="4">
        <v>3.5000000000000003E-2</v>
      </c>
      <c r="N323" s="3">
        <f t="shared" si="25"/>
        <v>2056.4499999999998</v>
      </c>
      <c r="O323" s="3">
        <f t="shared" si="26"/>
        <v>1984.47</v>
      </c>
      <c r="P323" s="3">
        <f t="shared" si="27"/>
        <v>1023</v>
      </c>
      <c r="Q323" s="3">
        <f t="shared" si="28"/>
        <v>961.47</v>
      </c>
      <c r="R323" s="4">
        <f t="shared" si="29"/>
        <v>0.48449999999999999</v>
      </c>
      <c r="S323" s="2">
        <v>3</v>
      </c>
      <c r="T323" t="s">
        <v>46</v>
      </c>
      <c r="U323">
        <v>2</v>
      </c>
    </row>
    <row r="324" spans="1:21" x14ac:dyDescent="0.25">
      <c r="A324" s="1">
        <v>46128</v>
      </c>
      <c r="B324" t="s">
        <v>511</v>
      </c>
      <c r="C324" t="s">
        <v>103</v>
      </c>
      <c r="D324" t="s">
        <v>24</v>
      </c>
      <c r="E324" t="s">
        <v>25</v>
      </c>
      <c r="F324" t="s">
        <v>64</v>
      </c>
      <c r="G324" t="s">
        <v>51</v>
      </c>
      <c r="H324" t="s">
        <v>59</v>
      </c>
      <c r="I324" t="s">
        <v>29</v>
      </c>
      <c r="J324" s="2">
        <v>5</v>
      </c>
      <c r="K324" s="3">
        <v>2125.2800000000002</v>
      </c>
      <c r="L324" s="3">
        <v>1476.36</v>
      </c>
      <c r="M324" s="4">
        <v>0</v>
      </c>
      <c r="N324" s="3">
        <f t="shared" si="25"/>
        <v>10626.4</v>
      </c>
      <c r="O324" s="3">
        <f t="shared" si="26"/>
        <v>10626.4</v>
      </c>
      <c r="P324" s="3">
        <f t="shared" si="27"/>
        <v>7381.8</v>
      </c>
      <c r="Q324" s="3">
        <f t="shared" si="28"/>
        <v>3244.6</v>
      </c>
      <c r="R324" s="4">
        <f t="shared" si="29"/>
        <v>0.30530000000000002</v>
      </c>
      <c r="S324" s="2">
        <v>9</v>
      </c>
      <c r="T324" t="s">
        <v>46</v>
      </c>
      <c r="U324">
        <v>4</v>
      </c>
    </row>
    <row r="325" spans="1:21" x14ac:dyDescent="0.25">
      <c r="A325" s="1">
        <v>46085</v>
      </c>
      <c r="B325" t="s">
        <v>512</v>
      </c>
      <c r="C325" t="s">
        <v>182</v>
      </c>
      <c r="D325" t="s">
        <v>101</v>
      </c>
      <c r="E325" t="s">
        <v>35</v>
      </c>
      <c r="F325" t="s">
        <v>36</v>
      </c>
      <c r="G325" t="s">
        <v>37</v>
      </c>
      <c r="H325" t="s">
        <v>38</v>
      </c>
      <c r="I325" t="s">
        <v>53</v>
      </c>
      <c r="J325" s="2">
        <v>6</v>
      </c>
      <c r="K325" s="3">
        <v>444.09</v>
      </c>
      <c r="L325" s="3">
        <v>183.35</v>
      </c>
      <c r="M325" s="4">
        <v>5.7999999999999996E-3</v>
      </c>
      <c r="N325" s="3">
        <f t="shared" si="25"/>
        <v>2664.54</v>
      </c>
      <c r="O325" s="3">
        <f t="shared" si="26"/>
        <v>2649.09</v>
      </c>
      <c r="P325" s="3">
        <f t="shared" si="27"/>
        <v>1100.0999999999999</v>
      </c>
      <c r="Q325" s="3">
        <f t="shared" si="28"/>
        <v>1548.99</v>
      </c>
      <c r="R325" s="4">
        <f t="shared" si="29"/>
        <v>0.5847</v>
      </c>
      <c r="S325" s="2">
        <v>6</v>
      </c>
      <c r="T325" t="s">
        <v>46</v>
      </c>
      <c r="U325">
        <v>2</v>
      </c>
    </row>
    <row r="326" spans="1:21" x14ac:dyDescent="0.25">
      <c r="A326" s="1">
        <v>46170</v>
      </c>
      <c r="B326" t="s">
        <v>513</v>
      </c>
      <c r="C326" t="s">
        <v>514</v>
      </c>
      <c r="D326" t="s">
        <v>121</v>
      </c>
      <c r="E326" t="s">
        <v>72</v>
      </c>
      <c r="F326" t="s">
        <v>26</v>
      </c>
      <c r="G326" t="s">
        <v>27</v>
      </c>
      <c r="H326" t="s">
        <v>68</v>
      </c>
      <c r="I326" t="s">
        <v>87</v>
      </c>
      <c r="J326" s="2">
        <v>2</v>
      </c>
      <c r="K326" s="3">
        <v>1301.6500000000001</v>
      </c>
      <c r="L326" s="3">
        <v>774.93</v>
      </c>
      <c r="M326" s="4">
        <v>2.9100000000000001E-2</v>
      </c>
      <c r="N326" s="3">
        <f t="shared" si="25"/>
        <v>2603.3000000000002</v>
      </c>
      <c r="O326" s="3">
        <f t="shared" si="26"/>
        <v>2527.54</v>
      </c>
      <c r="P326" s="3">
        <f t="shared" si="27"/>
        <v>1549.86</v>
      </c>
      <c r="Q326" s="3">
        <f t="shared" si="28"/>
        <v>977.68</v>
      </c>
      <c r="R326" s="4">
        <f t="shared" si="29"/>
        <v>0.38679999999999998</v>
      </c>
      <c r="S326" s="2">
        <v>11</v>
      </c>
      <c r="T326" t="s">
        <v>30</v>
      </c>
      <c r="U326">
        <v>3</v>
      </c>
    </row>
    <row r="327" spans="1:21" x14ac:dyDescent="0.25">
      <c r="A327" s="1">
        <v>46102</v>
      </c>
      <c r="B327" t="s">
        <v>515</v>
      </c>
      <c r="C327" t="s">
        <v>201</v>
      </c>
      <c r="D327" t="s">
        <v>24</v>
      </c>
      <c r="E327" t="s">
        <v>25</v>
      </c>
      <c r="F327" t="s">
        <v>58</v>
      </c>
      <c r="G327" t="s">
        <v>51</v>
      </c>
      <c r="H327" t="s">
        <v>116</v>
      </c>
      <c r="I327" t="s">
        <v>74</v>
      </c>
      <c r="J327" s="2">
        <v>1</v>
      </c>
      <c r="K327" s="3">
        <v>2722.74</v>
      </c>
      <c r="L327" s="3">
        <v>1954.22</v>
      </c>
      <c r="M327" s="4">
        <v>6.3799999999999996E-2</v>
      </c>
      <c r="N327" s="3">
        <f t="shared" si="25"/>
        <v>2722.74</v>
      </c>
      <c r="O327" s="3">
        <f t="shared" si="26"/>
        <v>2549.0300000000002</v>
      </c>
      <c r="P327" s="3">
        <f t="shared" si="27"/>
        <v>1954.22</v>
      </c>
      <c r="Q327" s="3">
        <f t="shared" si="28"/>
        <v>594.80999999999995</v>
      </c>
      <c r="R327" s="4">
        <f t="shared" si="29"/>
        <v>0.23330000000000001</v>
      </c>
      <c r="S327" s="2">
        <v>5</v>
      </c>
      <c r="T327" t="s">
        <v>46</v>
      </c>
      <c r="U327">
        <v>2</v>
      </c>
    </row>
    <row r="328" spans="1:21" x14ac:dyDescent="0.25">
      <c r="A328" s="1">
        <v>46049</v>
      </c>
      <c r="B328" t="s">
        <v>516</v>
      </c>
      <c r="C328" t="s">
        <v>329</v>
      </c>
      <c r="D328" t="s">
        <v>139</v>
      </c>
      <c r="E328" t="s">
        <v>72</v>
      </c>
      <c r="F328" t="s">
        <v>26</v>
      </c>
      <c r="G328" t="s">
        <v>37</v>
      </c>
      <c r="H328" t="s">
        <v>38</v>
      </c>
      <c r="I328" t="s">
        <v>53</v>
      </c>
      <c r="J328" s="2">
        <v>1</v>
      </c>
      <c r="K328" s="3">
        <v>417.6</v>
      </c>
      <c r="L328" s="3">
        <v>191.09</v>
      </c>
      <c r="M328" s="4">
        <v>4.7E-2</v>
      </c>
      <c r="N328" s="3">
        <f t="shared" si="25"/>
        <v>417.6</v>
      </c>
      <c r="O328" s="3">
        <f t="shared" si="26"/>
        <v>397.97</v>
      </c>
      <c r="P328" s="3">
        <f t="shared" si="27"/>
        <v>191.09</v>
      </c>
      <c r="Q328" s="3">
        <f t="shared" si="28"/>
        <v>206.88</v>
      </c>
      <c r="R328" s="4">
        <f t="shared" si="29"/>
        <v>0.51980000000000004</v>
      </c>
      <c r="S328" s="2">
        <v>9</v>
      </c>
      <c r="T328" t="s">
        <v>46</v>
      </c>
      <c r="U328">
        <v>2</v>
      </c>
    </row>
    <row r="329" spans="1:21" x14ac:dyDescent="0.25">
      <c r="A329" s="1">
        <v>46217</v>
      </c>
      <c r="B329" t="s">
        <v>517</v>
      </c>
      <c r="C329" t="s">
        <v>288</v>
      </c>
      <c r="D329" t="s">
        <v>130</v>
      </c>
      <c r="E329" t="s">
        <v>72</v>
      </c>
      <c r="F329" t="s">
        <v>26</v>
      </c>
      <c r="G329" t="s">
        <v>44</v>
      </c>
      <c r="H329" t="s">
        <v>45</v>
      </c>
      <c r="I329" t="s">
        <v>92</v>
      </c>
      <c r="J329" s="2">
        <v>3</v>
      </c>
      <c r="K329" s="3">
        <v>374.88</v>
      </c>
      <c r="L329" s="3">
        <v>209.02</v>
      </c>
      <c r="M329" s="4">
        <v>0.10829999999999999</v>
      </c>
      <c r="N329" s="3">
        <f t="shared" si="25"/>
        <v>1124.6400000000001</v>
      </c>
      <c r="O329" s="3">
        <f t="shared" si="26"/>
        <v>1002.84</v>
      </c>
      <c r="P329" s="3">
        <f t="shared" si="27"/>
        <v>627.05999999999995</v>
      </c>
      <c r="Q329" s="3">
        <f t="shared" si="28"/>
        <v>375.78</v>
      </c>
      <c r="R329" s="4">
        <f t="shared" si="29"/>
        <v>0.37469999999999998</v>
      </c>
      <c r="S329" s="2">
        <v>12</v>
      </c>
      <c r="T329" t="s">
        <v>40</v>
      </c>
    </row>
    <row r="330" spans="1:21" x14ac:dyDescent="0.25">
      <c r="A330" s="1">
        <v>46229</v>
      </c>
      <c r="B330" t="s">
        <v>518</v>
      </c>
      <c r="C330" t="s">
        <v>392</v>
      </c>
      <c r="D330" t="s">
        <v>101</v>
      </c>
      <c r="E330" t="s">
        <v>35</v>
      </c>
      <c r="F330" t="s">
        <v>36</v>
      </c>
      <c r="G330" t="s">
        <v>27</v>
      </c>
      <c r="H330" t="s">
        <v>28</v>
      </c>
      <c r="I330" t="s">
        <v>77</v>
      </c>
      <c r="J330" s="2">
        <v>7</v>
      </c>
      <c r="K330" s="3">
        <v>781.19</v>
      </c>
      <c r="L330" s="3">
        <v>466.26</v>
      </c>
      <c r="M330" s="4">
        <v>0.11119999999999999</v>
      </c>
      <c r="N330" s="3">
        <f t="shared" si="25"/>
        <v>5468.33</v>
      </c>
      <c r="O330" s="3">
        <f t="shared" si="26"/>
        <v>4860.25</v>
      </c>
      <c r="P330" s="3">
        <f t="shared" si="27"/>
        <v>3263.82</v>
      </c>
      <c r="Q330" s="3">
        <f t="shared" si="28"/>
        <v>1596.43</v>
      </c>
      <c r="R330" s="4">
        <f t="shared" si="29"/>
        <v>0.32850000000000001</v>
      </c>
      <c r="S330" s="2">
        <v>7</v>
      </c>
      <c r="T330" t="s">
        <v>46</v>
      </c>
      <c r="U330">
        <v>2</v>
      </c>
    </row>
    <row r="331" spans="1:21" x14ac:dyDescent="0.25">
      <c r="A331" s="1">
        <v>46200</v>
      </c>
      <c r="B331" t="s">
        <v>519</v>
      </c>
      <c r="C331" t="s">
        <v>520</v>
      </c>
      <c r="D331" t="s">
        <v>139</v>
      </c>
      <c r="E331" t="s">
        <v>72</v>
      </c>
      <c r="F331" t="s">
        <v>58</v>
      </c>
      <c r="G331" t="s">
        <v>51</v>
      </c>
      <c r="H331" t="s">
        <v>59</v>
      </c>
      <c r="I331" t="s">
        <v>53</v>
      </c>
      <c r="J331" s="2">
        <v>6</v>
      </c>
      <c r="K331" s="3">
        <v>2068.65</v>
      </c>
      <c r="L331" s="3">
        <v>1415.89</v>
      </c>
      <c r="M331" s="4">
        <v>3.9699999999999999E-2</v>
      </c>
      <c r="N331" s="3">
        <f t="shared" si="25"/>
        <v>12411.9</v>
      </c>
      <c r="O331" s="3">
        <f t="shared" si="26"/>
        <v>11919.15</v>
      </c>
      <c r="P331" s="3">
        <f t="shared" si="27"/>
        <v>8495.34</v>
      </c>
      <c r="Q331" s="3">
        <f t="shared" si="28"/>
        <v>3423.81</v>
      </c>
      <c r="R331" s="4">
        <f t="shared" si="29"/>
        <v>0.2873</v>
      </c>
      <c r="S331" s="2">
        <v>11</v>
      </c>
      <c r="T331" t="s">
        <v>30</v>
      </c>
      <c r="U331">
        <v>3</v>
      </c>
    </row>
    <row r="332" spans="1:21" x14ac:dyDescent="0.25">
      <c r="A332" s="1">
        <v>46074</v>
      </c>
      <c r="B332" t="s">
        <v>521</v>
      </c>
      <c r="C332" t="s">
        <v>129</v>
      </c>
      <c r="D332" t="s">
        <v>113</v>
      </c>
      <c r="E332" t="s">
        <v>50</v>
      </c>
      <c r="F332" t="s">
        <v>58</v>
      </c>
      <c r="G332" t="s">
        <v>51</v>
      </c>
      <c r="H332" t="s">
        <v>116</v>
      </c>
      <c r="I332" t="s">
        <v>87</v>
      </c>
      <c r="J332" s="2">
        <v>4</v>
      </c>
      <c r="K332" s="3">
        <v>2717.11</v>
      </c>
      <c r="L332" s="3">
        <v>1802.49</v>
      </c>
      <c r="M332" s="4">
        <v>0.1177</v>
      </c>
      <c r="N332" s="3">
        <f t="shared" si="25"/>
        <v>10868.44</v>
      </c>
      <c r="O332" s="3">
        <f t="shared" si="26"/>
        <v>9589.2199999999993</v>
      </c>
      <c r="P332" s="3">
        <f t="shared" si="27"/>
        <v>7209.96</v>
      </c>
      <c r="Q332" s="3">
        <f t="shared" si="28"/>
        <v>2379.2600000000002</v>
      </c>
      <c r="R332" s="4">
        <f t="shared" si="29"/>
        <v>0.24809999999999999</v>
      </c>
      <c r="S332" s="2">
        <v>3</v>
      </c>
      <c r="T332" t="s">
        <v>46</v>
      </c>
      <c r="U332">
        <v>2</v>
      </c>
    </row>
    <row r="333" spans="1:21" x14ac:dyDescent="0.25">
      <c r="A333" s="1">
        <v>46225</v>
      </c>
      <c r="B333" t="s">
        <v>522</v>
      </c>
      <c r="C333" t="s">
        <v>523</v>
      </c>
      <c r="D333" t="s">
        <v>130</v>
      </c>
      <c r="E333" t="s">
        <v>72</v>
      </c>
      <c r="F333" t="s">
        <v>26</v>
      </c>
      <c r="G333" t="s">
        <v>37</v>
      </c>
      <c r="H333" t="s">
        <v>38</v>
      </c>
      <c r="I333" t="s">
        <v>29</v>
      </c>
      <c r="J333" s="2">
        <v>3</v>
      </c>
      <c r="K333" s="3">
        <v>426.72</v>
      </c>
      <c r="L333" s="3">
        <v>203.54</v>
      </c>
      <c r="M333" s="4">
        <v>5.1999999999999998E-3</v>
      </c>
      <c r="N333" s="3">
        <f t="shared" si="25"/>
        <v>1280.1600000000001</v>
      </c>
      <c r="O333" s="3">
        <f t="shared" si="26"/>
        <v>1273.5</v>
      </c>
      <c r="P333" s="3">
        <f t="shared" si="27"/>
        <v>610.62</v>
      </c>
      <c r="Q333" s="3">
        <f t="shared" si="28"/>
        <v>662.88</v>
      </c>
      <c r="R333" s="4">
        <f t="shared" si="29"/>
        <v>0.52049999999999996</v>
      </c>
      <c r="S333" s="2">
        <v>5</v>
      </c>
      <c r="T333" t="s">
        <v>46</v>
      </c>
      <c r="U333">
        <v>2</v>
      </c>
    </row>
    <row r="334" spans="1:21" x14ac:dyDescent="0.25">
      <c r="A334" s="1">
        <v>46051</v>
      </c>
      <c r="B334" t="s">
        <v>524</v>
      </c>
      <c r="C334" t="s">
        <v>525</v>
      </c>
      <c r="D334" t="s">
        <v>34</v>
      </c>
      <c r="E334" t="s">
        <v>35</v>
      </c>
      <c r="F334" t="s">
        <v>58</v>
      </c>
      <c r="G334" t="s">
        <v>37</v>
      </c>
      <c r="H334" t="s">
        <v>104</v>
      </c>
      <c r="I334" t="s">
        <v>87</v>
      </c>
      <c r="J334" s="2">
        <v>8</v>
      </c>
      <c r="K334" s="3">
        <v>336.66</v>
      </c>
      <c r="L334" s="3">
        <v>130.5</v>
      </c>
      <c r="M334" s="4">
        <v>0.16159999999999999</v>
      </c>
      <c r="N334" s="3">
        <f t="shared" si="25"/>
        <v>2693.28</v>
      </c>
      <c r="O334" s="3">
        <f t="shared" si="26"/>
        <v>2258.0500000000002</v>
      </c>
      <c r="P334" s="3">
        <f t="shared" si="27"/>
        <v>1044</v>
      </c>
      <c r="Q334" s="3">
        <f t="shared" si="28"/>
        <v>1214.05</v>
      </c>
      <c r="R334" s="4">
        <f t="shared" si="29"/>
        <v>0.53769999999999996</v>
      </c>
      <c r="S334" s="2">
        <v>11</v>
      </c>
      <c r="T334" t="s">
        <v>30</v>
      </c>
      <c r="U334">
        <v>4</v>
      </c>
    </row>
    <row r="335" spans="1:21" x14ac:dyDescent="0.25">
      <c r="A335" s="1">
        <v>46229</v>
      </c>
      <c r="B335" t="s">
        <v>526</v>
      </c>
      <c r="C335" t="s">
        <v>527</v>
      </c>
      <c r="D335" t="s">
        <v>126</v>
      </c>
      <c r="E335" t="s">
        <v>57</v>
      </c>
      <c r="F335" t="s">
        <v>26</v>
      </c>
      <c r="G335" t="s">
        <v>27</v>
      </c>
      <c r="H335" t="s">
        <v>86</v>
      </c>
      <c r="I335" t="s">
        <v>87</v>
      </c>
      <c r="J335" s="2">
        <v>4</v>
      </c>
      <c r="K335" s="3">
        <v>1788.63</v>
      </c>
      <c r="L335" s="3">
        <v>1218.8499999999999</v>
      </c>
      <c r="M335" s="4">
        <v>4.0500000000000001E-2</v>
      </c>
      <c r="N335" s="3">
        <f t="shared" si="25"/>
        <v>7154.52</v>
      </c>
      <c r="O335" s="3">
        <f t="shared" si="26"/>
        <v>6864.76</v>
      </c>
      <c r="P335" s="3">
        <f t="shared" si="27"/>
        <v>4875.3999999999996</v>
      </c>
      <c r="Q335" s="3">
        <f t="shared" si="28"/>
        <v>1989.36</v>
      </c>
      <c r="R335" s="4">
        <f t="shared" si="29"/>
        <v>0.2898</v>
      </c>
      <c r="S335" s="2">
        <v>11</v>
      </c>
      <c r="T335" t="s">
        <v>30</v>
      </c>
      <c r="U335">
        <v>5</v>
      </c>
    </row>
    <row r="336" spans="1:21" x14ac:dyDescent="0.25">
      <c r="A336" s="1">
        <v>46156</v>
      </c>
      <c r="B336" t="s">
        <v>528</v>
      </c>
      <c r="C336" t="s">
        <v>91</v>
      </c>
      <c r="D336" t="s">
        <v>113</v>
      </c>
      <c r="E336" t="s">
        <v>50</v>
      </c>
      <c r="F336" t="s">
        <v>26</v>
      </c>
      <c r="G336" t="s">
        <v>37</v>
      </c>
      <c r="H336" t="s">
        <v>38</v>
      </c>
      <c r="I336" t="s">
        <v>94</v>
      </c>
      <c r="J336" s="2">
        <v>2</v>
      </c>
      <c r="K336" s="3">
        <v>437.87</v>
      </c>
      <c r="L336" s="3">
        <v>192.29</v>
      </c>
      <c r="M336" s="4">
        <v>8.1799999999999998E-2</v>
      </c>
      <c r="N336" s="3">
        <f t="shared" si="25"/>
        <v>875.74</v>
      </c>
      <c r="O336" s="3">
        <f t="shared" si="26"/>
        <v>804.1</v>
      </c>
      <c r="P336" s="3">
        <f t="shared" si="27"/>
        <v>384.58</v>
      </c>
      <c r="Q336" s="3">
        <f t="shared" si="28"/>
        <v>419.52</v>
      </c>
      <c r="R336" s="4">
        <f t="shared" si="29"/>
        <v>0.52170000000000005</v>
      </c>
      <c r="S336" s="2">
        <v>11</v>
      </c>
      <c r="T336" t="s">
        <v>30</v>
      </c>
      <c r="U336">
        <v>5</v>
      </c>
    </row>
    <row r="337" spans="1:21" x14ac:dyDescent="0.25">
      <c r="A337" s="1">
        <v>46234</v>
      </c>
      <c r="B337" t="s">
        <v>529</v>
      </c>
      <c r="C337" t="s">
        <v>235</v>
      </c>
      <c r="D337" t="s">
        <v>85</v>
      </c>
      <c r="E337" t="s">
        <v>50</v>
      </c>
      <c r="F337" t="s">
        <v>36</v>
      </c>
      <c r="G337" t="s">
        <v>37</v>
      </c>
      <c r="H337" t="s">
        <v>104</v>
      </c>
      <c r="I337" t="s">
        <v>77</v>
      </c>
      <c r="J337" s="2">
        <v>5</v>
      </c>
      <c r="K337" s="3">
        <v>333.08</v>
      </c>
      <c r="L337" s="3">
        <v>131.26</v>
      </c>
      <c r="M337" s="4">
        <v>0</v>
      </c>
      <c r="N337" s="3">
        <f t="shared" si="25"/>
        <v>1665.4</v>
      </c>
      <c r="O337" s="3">
        <f t="shared" si="26"/>
        <v>1665.4</v>
      </c>
      <c r="P337" s="3">
        <f t="shared" si="27"/>
        <v>656.3</v>
      </c>
      <c r="Q337" s="3">
        <f t="shared" si="28"/>
        <v>1009.1</v>
      </c>
      <c r="R337" s="4">
        <f t="shared" si="29"/>
        <v>0.60589999999999999</v>
      </c>
      <c r="S337" s="2">
        <v>12</v>
      </c>
      <c r="T337" t="s">
        <v>30</v>
      </c>
      <c r="U337">
        <v>3</v>
      </c>
    </row>
    <row r="338" spans="1:21" x14ac:dyDescent="0.25">
      <c r="A338" s="1">
        <v>46195</v>
      </c>
      <c r="B338" t="s">
        <v>530</v>
      </c>
      <c r="C338" t="s">
        <v>331</v>
      </c>
      <c r="D338" t="s">
        <v>139</v>
      </c>
      <c r="E338" t="s">
        <v>72</v>
      </c>
      <c r="F338" t="s">
        <v>36</v>
      </c>
      <c r="G338" t="s">
        <v>51</v>
      </c>
      <c r="H338" t="s">
        <v>52</v>
      </c>
      <c r="I338" t="s">
        <v>39</v>
      </c>
      <c r="J338" s="2">
        <v>3</v>
      </c>
      <c r="K338" s="3">
        <v>247.83</v>
      </c>
      <c r="L338" s="3">
        <v>120.27</v>
      </c>
      <c r="M338" s="4">
        <v>5.9700000000000003E-2</v>
      </c>
      <c r="N338" s="3">
        <f t="shared" si="25"/>
        <v>743.49</v>
      </c>
      <c r="O338" s="3">
        <f t="shared" si="26"/>
        <v>699.1</v>
      </c>
      <c r="P338" s="3">
        <f t="shared" si="27"/>
        <v>360.81</v>
      </c>
      <c r="Q338" s="3">
        <f t="shared" si="28"/>
        <v>338.29</v>
      </c>
      <c r="R338" s="4">
        <f t="shared" si="29"/>
        <v>0.4839</v>
      </c>
      <c r="S338" s="2">
        <v>3</v>
      </c>
      <c r="T338" t="s">
        <v>46</v>
      </c>
      <c r="U338">
        <v>3</v>
      </c>
    </row>
    <row r="339" spans="1:21" x14ac:dyDescent="0.25">
      <c r="A339" s="1">
        <v>46173</v>
      </c>
      <c r="B339" t="s">
        <v>531</v>
      </c>
      <c r="C339" t="s">
        <v>233</v>
      </c>
      <c r="D339" t="s">
        <v>56</v>
      </c>
      <c r="E339" t="s">
        <v>57</v>
      </c>
      <c r="F339" t="s">
        <v>64</v>
      </c>
      <c r="G339" t="s">
        <v>27</v>
      </c>
      <c r="H339" t="s">
        <v>86</v>
      </c>
      <c r="I339" t="s">
        <v>87</v>
      </c>
      <c r="J339" s="2">
        <v>1</v>
      </c>
      <c r="K339" s="3">
        <v>1943.56</v>
      </c>
      <c r="L339" s="3">
        <v>1149.53</v>
      </c>
      <c r="M339" s="4">
        <v>0</v>
      </c>
      <c r="N339" s="3">
        <f t="shared" si="25"/>
        <v>1943.56</v>
      </c>
      <c r="O339" s="3">
        <f t="shared" si="26"/>
        <v>1943.56</v>
      </c>
      <c r="P339" s="3">
        <f t="shared" si="27"/>
        <v>1149.53</v>
      </c>
      <c r="Q339" s="3">
        <f t="shared" si="28"/>
        <v>794.03</v>
      </c>
      <c r="R339" s="4">
        <f t="shared" si="29"/>
        <v>0.40849999999999997</v>
      </c>
      <c r="S339" s="2">
        <v>4</v>
      </c>
      <c r="T339" t="s">
        <v>46</v>
      </c>
      <c r="U339">
        <v>3</v>
      </c>
    </row>
    <row r="340" spans="1:21" x14ac:dyDescent="0.25">
      <c r="A340" s="1">
        <v>46150</v>
      </c>
      <c r="B340" t="s">
        <v>532</v>
      </c>
      <c r="C340" t="s">
        <v>168</v>
      </c>
      <c r="D340" t="s">
        <v>139</v>
      </c>
      <c r="E340" t="s">
        <v>72</v>
      </c>
      <c r="F340" t="s">
        <v>64</v>
      </c>
      <c r="G340" t="s">
        <v>27</v>
      </c>
      <c r="H340" t="s">
        <v>28</v>
      </c>
      <c r="I340" t="s">
        <v>39</v>
      </c>
      <c r="J340" s="2">
        <v>5</v>
      </c>
      <c r="K340" s="3">
        <v>756.13</v>
      </c>
      <c r="L340" s="3">
        <v>457.29</v>
      </c>
      <c r="M340" s="4">
        <v>0</v>
      </c>
      <c r="N340" s="3">
        <f t="shared" si="25"/>
        <v>3780.65</v>
      </c>
      <c r="O340" s="3">
        <f t="shared" si="26"/>
        <v>3780.65</v>
      </c>
      <c r="P340" s="3">
        <f t="shared" si="27"/>
        <v>2286.4499999999998</v>
      </c>
      <c r="Q340" s="3">
        <f t="shared" si="28"/>
        <v>1494.2</v>
      </c>
      <c r="R340" s="4">
        <f t="shared" si="29"/>
        <v>0.3952</v>
      </c>
      <c r="S340" s="2">
        <v>10</v>
      </c>
      <c r="T340" t="s">
        <v>46</v>
      </c>
      <c r="U340">
        <v>5</v>
      </c>
    </row>
    <row r="341" spans="1:21" x14ac:dyDescent="0.25">
      <c r="A341" s="1">
        <v>46148</v>
      </c>
      <c r="B341" t="s">
        <v>533</v>
      </c>
      <c r="C341" t="s">
        <v>162</v>
      </c>
      <c r="D341" t="s">
        <v>34</v>
      </c>
      <c r="E341" t="s">
        <v>35</v>
      </c>
      <c r="F341" t="s">
        <v>36</v>
      </c>
      <c r="G341" t="s">
        <v>44</v>
      </c>
      <c r="H341" t="s">
        <v>73</v>
      </c>
      <c r="I341" t="s">
        <v>77</v>
      </c>
      <c r="J341" s="2">
        <v>3</v>
      </c>
      <c r="K341" s="3">
        <v>1708.93</v>
      </c>
      <c r="L341" s="3">
        <v>1046.19</v>
      </c>
      <c r="M341" s="4">
        <v>0.10780000000000001</v>
      </c>
      <c r="N341" s="3">
        <f t="shared" si="25"/>
        <v>5126.79</v>
      </c>
      <c r="O341" s="3">
        <f t="shared" si="26"/>
        <v>4574.12</v>
      </c>
      <c r="P341" s="3">
        <f t="shared" si="27"/>
        <v>3138.57</v>
      </c>
      <c r="Q341" s="3">
        <f t="shared" si="28"/>
        <v>1435.55</v>
      </c>
      <c r="R341" s="4">
        <f t="shared" si="29"/>
        <v>0.31380000000000002</v>
      </c>
      <c r="S341" s="2">
        <v>7</v>
      </c>
      <c r="T341" t="s">
        <v>46</v>
      </c>
      <c r="U341">
        <v>2</v>
      </c>
    </row>
    <row r="342" spans="1:21" x14ac:dyDescent="0.25">
      <c r="A342" s="1">
        <v>46212</v>
      </c>
      <c r="B342" t="s">
        <v>534</v>
      </c>
      <c r="C342" t="s">
        <v>525</v>
      </c>
      <c r="D342" t="s">
        <v>101</v>
      </c>
      <c r="E342" t="s">
        <v>35</v>
      </c>
      <c r="F342" t="s">
        <v>64</v>
      </c>
      <c r="G342" t="s">
        <v>51</v>
      </c>
      <c r="H342" t="s">
        <v>116</v>
      </c>
      <c r="I342" t="s">
        <v>94</v>
      </c>
      <c r="J342" s="2">
        <v>2</v>
      </c>
      <c r="K342" s="3">
        <v>2866.82</v>
      </c>
      <c r="L342" s="3">
        <v>1884.46</v>
      </c>
      <c r="M342" s="4">
        <v>0</v>
      </c>
      <c r="N342" s="3">
        <f t="shared" si="25"/>
        <v>5733.64</v>
      </c>
      <c r="O342" s="3">
        <f t="shared" si="26"/>
        <v>5733.64</v>
      </c>
      <c r="P342" s="3">
        <f t="shared" si="27"/>
        <v>3768.92</v>
      </c>
      <c r="Q342" s="3">
        <f t="shared" si="28"/>
        <v>1964.72</v>
      </c>
      <c r="R342" s="4">
        <f t="shared" si="29"/>
        <v>0.3427</v>
      </c>
      <c r="S342" s="2">
        <v>5</v>
      </c>
      <c r="T342" t="s">
        <v>46</v>
      </c>
      <c r="U342">
        <v>4</v>
      </c>
    </row>
    <row r="343" spans="1:21" x14ac:dyDescent="0.25">
      <c r="A343" s="1">
        <v>46024</v>
      </c>
      <c r="B343" t="s">
        <v>535</v>
      </c>
      <c r="C343" t="s">
        <v>170</v>
      </c>
      <c r="D343" t="s">
        <v>49</v>
      </c>
      <c r="E343" t="s">
        <v>50</v>
      </c>
      <c r="F343" t="s">
        <v>36</v>
      </c>
      <c r="G343" t="s">
        <v>27</v>
      </c>
      <c r="H343" t="s">
        <v>28</v>
      </c>
      <c r="I343" t="s">
        <v>92</v>
      </c>
      <c r="J343" s="2">
        <v>2</v>
      </c>
      <c r="K343" s="3">
        <v>809.38</v>
      </c>
      <c r="L343" s="3">
        <v>474.04</v>
      </c>
      <c r="M343" s="4">
        <v>1.1299999999999999E-2</v>
      </c>
      <c r="N343" s="3">
        <f t="shared" si="25"/>
        <v>1618.76</v>
      </c>
      <c r="O343" s="3">
        <f t="shared" si="26"/>
        <v>1600.47</v>
      </c>
      <c r="P343" s="3">
        <f t="shared" si="27"/>
        <v>948.08</v>
      </c>
      <c r="Q343" s="3">
        <f t="shared" si="28"/>
        <v>652.39</v>
      </c>
      <c r="R343" s="4">
        <f t="shared" si="29"/>
        <v>0.40760000000000002</v>
      </c>
      <c r="S343" s="2">
        <v>3</v>
      </c>
      <c r="T343" t="s">
        <v>46</v>
      </c>
      <c r="U343">
        <v>5</v>
      </c>
    </row>
    <row r="344" spans="1:21" x14ac:dyDescent="0.25">
      <c r="A344" s="1">
        <v>46109</v>
      </c>
      <c r="B344" t="s">
        <v>536</v>
      </c>
      <c r="C344" t="s">
        <v>195</v>
      </c>
      <c r="D344" t="s">
        <v>121</v>
      </c>
      <c r="E344" t="s">
        <v>72</v>
      </c>
      <c r="F344" t="s">
        <v>64</v>
      </c>
      <c r="G344" t="s">
        <v>37</v>
      </c>
      <c r="H344" t="s">
        <v>104</v>
      </c>
      <c r="I344" t="s">
        <v>74</v>
      </c>
      <c r="J344" s="2">
        <v>3</v>
      </c>
      <c r="K344" s="3">
        <v>321.08</v>
      </c>
      <c r="L344" s="3">
        <v>145.07</v>
      </c>
      <c r="M344" s="4">
        <v>1.9599999999999999E-2</v>
      </c>
      <c r="N344" s="3">
        <f t="shared" si="25"/>
        <v>963.24</v>
      </c>
      <c r="O344" s="3">
        <f t="shared" si="26"/>
        <v>944.36</v>
      </c>
      <c r="P344" s="3">
        <f t="shared" si="27"/>
        <v>435.21</v>
      </c>
      <c r="Q344" s="3">
        <f t="shared" si="28"/>
        <v>509.15</v>
      </c>
      <c r="R344" s="4">
        <f t="shared" si="29"/>
        <v>0.53910000000000002</v>
      </c>
      <c r="S344" s="2">
        <v>10</v>
      </c>
      <c r="T344" t="s">
        <v>46</v>
      </c>
      <c r="U344">
        <v>5</v>
      </c>
    </row>
    <row r="345" spans="1:21" x14ac:dyDescent="0.25">
      <c r="A345" s="1">
        <v>46115</v>
      </c>
      <c r="B345" t="s">
        <v>537</v>
      </c>
      <c r="C345" t="s">
        <v>456</v>
      </c>
      <c r="D345" t="s">
        <v>101</v>
      </c>
      <c r="E345" t="s">
        <v>35</v>
      </c>
      <c r="F345" t="s">
        <v>58</v>
      </c>
      <c r="G345" t="s">
        <v>27</v>
      </c>
      <c r="H345" t="s">
        <v>86</v>
      </c>
      <c r="I345" t="s">
        <v>74</v>
      </c>
      <c r="J345" s="2">
        <v>3</v>
      </c>
      <c r="K345" s="3">
        <v>1951.02</v>
      </c>
      <c r="L345" s="3">
        <v>1172.58</v>
      </c>
      <c r="M345" s="4">
        <v>9.4299999999999995E-2</v>
      </c>
      <c r="N345" s="3">
        <f t="shared" si="25"/>
        <v>5853.06</v>
      </c>
      <c r="O345" s="3">
        <f t="shared" si="26"/>
        <v>5301.12</v>
      </c>
      <c r="P345" s="3">
        <f t="shared" si="27"/>
        <v>3517.74</v>
      </c>
      <c r="Q345" s="3">
        <f t="shared" si="28"/>
        <v>1783.38</v>
      </c>
      <c r="R345" s="4">
        <f t="shared" si="29"/>
        <v>0.33639999999999998</v>
      </c>
      <c r="S345" s="2">
        <v>4</v>
      </c>
      <c r="T345" t="s">
        <v>46</v>
      </c>
      <c r="U345">
        <v>4</v>
      </c>
    </row>
    <row r="346" spans="1:21" x14ac:dyDescent="0.25">
      <c r="A346" s="1">
        <v>46129</v>
      </c>
      <c r="B346" t="s">
        <v>538</v>
      </c>
      <c r="C346" t="s">
        <v>55</v>
      </c>
      <c r="D346" t="s">
        <v>113</v>
      </c>
      <c r="E346" t="s">
        <v>50</v>
      </c>
      <c r="F346" t="s">
        <v>26</v>
      </c>
      <c r="G346" t="s">
        <v>37</v>
      </c>
      <c r="H346" t="s">
        <v>104</v>
      </c>
      <c r="I346" t="s">
        <v>77</v>
      </c>
      <c r="J346" s="2">
        <v>3</v>
      </c>
      <c r="K346" s="3">
        <v>302.42</v>
      </c>
      <c r="L346" s="3">
        <v>136.36000000000001</v>
      </c>
      <c r="M346" s="4">
        <v>0</v>
      </c>
      <c r="N346" s="3">
        <f t="shared" si="25"/>
        <v>907.26</v>
      </c>
      <c r="O346" s="3">
        <f t="shared" si="26"/>
        <v>907.26</v>
      </c>
      <c r="P346" s="3">
        <f t="shared" si="27"/>
        <v>409.08</v>
      </c>
      <c r="Q346" s="3">
        <f t="shared" si="28"/>
        <v>498.18</v>
      </c>
      <c r="R346" s="4">
        <f t="shared" si="29"/>
        <v>0.54910000000000003</v>
      </c>
      <c r="S346" s="2">
        <v>13</v>
      </c>
      <c r="T346" t="s">
        <v>30</v>
      </c>
      <c r="U346">
        <v>4</v>
      </c>
    </row>
    <row r="347" spans="1:21" x14ac:dyDescent="0.25">
      <c r="A347" s="1">
        <v>46137</v>
      </c>
      <c r="B347" t="s">
        <v>539</v>
      </c>
      <c r="C347" t="s">
        <v>218</v>
      </c>
      <c r="D347" t="s">
        <v>63</v>
      </c>
      <c r="E347" t="s">
        <v>35</v>
      </c>
      <c r="F347" t="s">
        <v>36</v>
      </c>
      <c r="G347" t="s">
        <v>27</v>
      </c>
      <c r="H347" t="s">
        <v>68</v>
      </c>
      <c r="I347" t="s">
        <v>77</v>
      </c>
      <c r="J347" s="2">
        <v>8</v>
      </c>
      <c r="K347" s="3">
        <v>1286.18</v>
      </c>
      <c r="L347" s="3">
        <v>782.83</v>
      </c>
      <c r="M347" s="4">
        <v>2.9399999999999999E-2</v>
      </c>
      <c r="N347" s="3">
        <f t="shared" si="25"/>
        <v>10289.44</v>
      </c>
      <c r="O347" s="3">
        <f t="shared" si="26"/>
        <v>9986.93</v>
      </c>
      <c r="P347" s="3">
        <f t="shared" si="27"/>
        <v>6262.64</v>
      </c>
      <c r="Q347" s="3">
        <f t="shared" si="28"/>
        <v>3724.29</v>
      </c>
      <c r="R347" s="4">
        <f t="shared" si="29"/>
        <v>0.37290000000000001</v>
      </c>
      <c r="S347" s="2">
        <v>8</v>
      </c>
      <c r="T347" t="s">
        <v>46</v>
      </c>
      <c r="U347">
        <v>2</v>
      </c>
    </row>
    <row r="348" spans="1:21" x14ac:dyDescent="0.25">
      <c r="A348" s="1">
        <v>46122</v>
      </c>
      <c r="B348" t="s">
        <v>540</v>
      </c>
      <c r="C348" t="s">
        <v>115</v>
      </c>
      <c r="D348" t="s">
        <v>97</v>
      </c>
      <c r="E348" t="s">
        <v>57</v>
      </c>
      <c r="F348" t="s">
        <v>58</v>
      </c>
      <c r="G348" t="s">
        <v>44</v>
      </c>
      <c r="H348" t="s">
        <v>124</v>
      </c>
      <c r="I348" t="s">
        <v>60</v>
      </c>
      <c r="J348" s="2">
        <v>3</v>
      </c>
      <c r="K348" s="3">
        <v>5960.58</v>
      </c>
      <c r="L348" s="3">
        <v>4360.8</v>
      </c>
      <c r="M348" s="4">
        <v>9.0700000000000003E-2</v>
      </c>
      <c r="N348" s="3">
        <f t="shared" si="25"/>
        <v>17881.740000000002</v>
      </c>
      <c r="O348" s="3">
        <f t="shared" si="26"/>
        <v>16259.87</v>
      </c>
      <c r="P348" s="3">
        <f t="shared" si="27"/>
        <v>13082.4</v>
      </c>
      <c r="Q348" s="3">
        <f t="shared" si="28"/>
        <v>3177.47</v>
      </c>
      <c r="R348" s="4">
        <f t="shared" si="29"/>
        <v>0.19539999999999999</v>
      </c>
      <c r="S348" s="2">
        <v>10</v>
      </c>
      <c r="T348" t="s">
        <v>46</v>
      </c>
      <c r="U348">
        <v>2</v>
      </c>
    </row>
    <row r="349" spans="1:21" x14ac:dyDescent="0.25">
      <c r="A349" s="1">
        <v>46159</v>
      </c>
      <c r="B349" t="s">
        <v>541</v>
      </c>
      <c r="C349" t="s">
        <v>166</v>
      </c>
      <c r="D349" t="s">
        <v>121</v>
      </c>
      <c r="E349" t="s">
        <v>72</v>
      </c>
      <c r="F349" t="s">
        <v>26</v>
      </c>
      <c r="G349" t="s">
        <v>44</v>
      </c>
      <c r="H349" t="s">
        <v>124</v>
      </c>
      <c r="I349" t="s">
        <v>53</v>
      </c>
      <c r="J349" s="2">
        <v>8</v>
      </c>
      <c r="K349" s="3">
        <v>5879.79</v>
      </c>
      <c r="L349" s="3">
        <v>4438.42</v>
      </c>
      <c r="M349" s="4">
        <v>0</v>
      </c>
      <c r="N349" s="3">
        <f t="shared" si="25"/>
        <v>47038.32</v>
      </c>
      <c r="O349" s="3">
        <f t="shared" si="26"/>
        <v>47038.32</v>
      </c>
      <c r="P349" s="3">
        <f t="shared" si="27"/>
        <v>35507.360000000001</v>
      </c>
      <c r="Q349" s="3">
        <f t="shared" si="28"/>
        <v>11530.96</v>
      </c>
      <c r="R349" s="4">
        <f t="shared" si="29"/>
        <v>0.24510000000000001</v>
      </c>
      <c r="S349" s="2">
        <v>2</v>
      </c>
      <c r="T349" t="s">
        <v>46</v>
      </c>
      <c r="U349">
        <v>5</v>
      </c>
    </row>
    <row r="350" spans="1:21" x14ac:dyDescent="0.25">
      <c r="A350" s="1">
        <v>46190</v>
      </c>
      <c r="B350" t="s">
        <v>542</v>
      </c>
      <c r="C350" t="s">
        <v>112</v>
      </c>
      <c r="D350" t="s">
        <v>139</v>
      </c>
      <c r="E350" t="s">
        <v>72</v>
      </c>
      <c r="F350" t="s">
        <v>36</v>
      </c>
      <c r="G350" t="s">
        <v>44</v>
      </c>
      <c r="H350" t="s">
        <v>124</v>
      </c>
      <c r="I350" t="s">
        <v>87</v>
      </c>
      <c r="J350" s="2">
        <v>1</v>
      </c>
      <c r="K350" s="3">
        <v>5835.21</v>
      </c>
      <c r="L350" s="3">
        <v>4394.45</v>
      </c>
      <c r="M350" s="4">
        <v>1.1599999999999999E-2</v>
      </c>
      <c r="N350" s="3">
        <f t="shared" si="25"/>
        <v>5835.21</v>
      </c>
      <c r="O350" s="3">
        <f t="shared" si="26"/>
        <v>5767.52</v>
      </c>
      <c r="P350" s="3">
        <f t="shared" si="27"/>
        <v>4394.45</v>
      </c>
      <c r="Q350" s="3">
        <f t="shared" si="28"/>
        <v>1373.07</v>
      </c>
      <c r="R350" s="4">
        <f t="shared" si="29"/>
        <v>0.23810000000000001</v>
      </c>
      <c r="S350" s="2">
        <v>11</v>
      </c>
      <c r="T350" t="s">
        <v>30</v>
      </c>
      <c r="U350">
        <v>3</v>
      </c>
    </row>
    <row r="351" spans="1:21" x14ac:dyDescent="0.25">
      <c r="A351" s="1">
        <v>46102</v>
      </c>
      <c r="B351" t="s">
        <v>543</v>
      </c>
      <c r="C351" t="s">
        <v>190</v>
      </c>
      <c r="D351" t="s">
        <v>130</v>
      </c>
      <c r="E351" t="s">
        <v>72</v>
      </c>
      <c r="F351" t="s">
        <v>26</v>
      </c>
      <c r="G351" t="s">
        <v>37</v>
      </c>
      <c r="H351" t="s">
        <v>104</v>
      </c>
      <c r="I351" t="s">
        <v>60</v>
      </c>
      <c r="J351" s="2">
        <v>5</v>
      </c>
      <c r="K351" s="3">
        <v>320.77</v>
      </c>
      <c r="L351" s="3">
        <v>143.35</v>
      </c>
      <c r="M351" s="4">
        <v>0</v>
      </c>
      <c r="N351" s="3">
        <f t="shared" si="25"/>
        <v>1603.85</v>
      </c>
      <c r="O351" s="3">
        <f t="shared" si="26"/>
        <v>1603.85</v>
      </c>
      <c r="P351" s="3">
        <f t="shared" si="27"/>
        <v>716.75</v>
      </c>
      <c r="Q351" s="3">
        <f t="shared" si="28"/>
        <v>887.1</v>
      </c>
      <c r="R351" s="4">
        <f t="shared" si="29"/>
        <v>0.55310000000000004</v>
      </c>
      <c r="S351" s="2">
        <v>11</v>
      </c>
      <c r="T351" t="s">
        <v>30</v>
      </c>
      <c r="U351">
        <v>4</v>
      </c>
    </row>
    <row r="352" spans="1:21" x14ac:dyDescent="0.25">
      <c r="A352" s="1">
        <v>46205</v>
      </c>
      <c r="B352" t="s">
        <v>544</v>
      </c>
      <c r="C352" t="s">
        <v>233</v>
      </c>
      <c r="D352" t="s">
        <v>56</v>
      </c>
      <c r="E352" t="s">
        <v>57</v>
      </c>
      <c r="F352" t="s">
        <v>58</v>
      </c>
      <c r="G352" t="s">
        <v>44</v>
      </c>
      <c r="H352" t="s">
        <v>124</v>
      </c>
      <c r="I352" t="s">
        <v>77</v>
      </c>
      <c r="J352" s="2">
        <v>7</v>
      </c>
      <c r="K352" s="3">
        <v>6063.96</v>
      </c>
      <c r="L352" s="3">
        <v>4522.72</v>
      </c>
      <c r="M352" s="4">
        <v>6.7100000000000007E-2</v>
      </c>
      <c r="N352" s="3">
        <f t="shared" si="25"/>
        <v>42447.72</v>
      </c>
      <c r="O352" s="3">
        <f t="shared" si="26"/>
        <v>39599.480000000003</v>
      </c>
      <c r="P352" s="3">
        <f t="shared" si="27"/>
        <v>31659.040000000001</v>
      </c>
      <c r="Q352" s="3">
        <f t="shared" si="28"/>
        <v>7940.44</v>
      </c>
      <c r="R352" s="4">
        <f t="shared" si="29"/>
        <v>0.20050000000000001</v>
      </c>
      <c r="S352" s="2">
        <v>9</v>
      </c>
      <c r="T352" t="s">
        <v>46</v>
      </c>
      <c r="U352">
        <v>4</v>
      </c>
    </row>
    <row r="353" spans="1:22" x14ac:dyDescent="0.25">
      <c r="A353" s="1">
        <v>46048</v>
      </c>
      <c r="B353" t="s">
        <v>545</v>
      </c>
      <c r="C353" t="s">
        <v>157</v>
      </c>
      <c r="D353" t="s">
        <v>121</v>
      </c>
      <c r="E353" t="s">
        <v>72</v>
      </c>
      <c r="F353" t="s">
        <v>26</v>
      </c>
      <c r="G353" t="s">
        <v>44</v>
      </c>
      <c r="H353" t="s">
        <v>73</v>
      </c>
      <c r="I353" t="s">
        <v>74</v>
      </c>
      <c r="J353" s="2">
        <v>4</v>
      </c>
      <c r="K353" s="3">
        <v>1721.92</v>
      </c>
      <c r="L353" s="3">
        <v>1159.82</v>
      </c>
      <c r="M353" s="4">
        <v>0</v>
      </c>
      <c r="N353" s="3">
        <f t="shared" si="25"/>
        <v>6887.68</v>
      </c>
      <c r="O353" s="3">
        <f t="shared" si="26"/>
        <v>6887.68</v>
      </c>
      <c r="P353" s="3">
        <f t="shared" si="27"/>
        <v>4639.28</v>
      </c>
      <c r="Q353" s="3">
        <f t="shared" si="28"/>
        <v>2248.4</v>
      </c>
      <c r="R353" s="4">
        <f t="shared" si="29"/>
        <v>0.32640000000000002</v>
      </c>
      <c r="S353" s="2">
        <v>3</v>
      </c>
      <c r="T353" t="s">
        <v>46</v>
      </c>
      <c r="U353">
        <v>5</v>
      </c>
    </row>
    <row r="354" spans="1:22" x14ac:dyDescent="0.25">
      <c r="A354" s="1">
        <v>46045</v>
      </c>
      <c r="B354" t="s">
        <v>546</v>
      </c>
      <c r="C354" t="s">
        <v>321</v>
      </c>
      <c r="D354" t="s">
        <v>97</v>
      </c>
      <c r="E354" t="s">
        <v>57</v>
      </c>
      <c r="F354" t="s">
        <v>36</v>
      </c>
      <c r="G354" t="s">
        <v>27</v>
      </c>
      <c r="H354" t="s">
        <v>28</v>
      </c>
      <c r="I354" t="s">
        <v>53</v>
      </c>
      <c r="J354" s="2">
        <v>1</v>
      </c>
      <c r="K354" s="3">
        <v>822.07</v>
      </c>
      <c r="L354" s="3">
        <v>473.45</v>
      </c>
      <c r="M354" s="4">
        <v>0.12189999999999999</v>
      </c>
      <c r="N354" s="3">
        <f t="shared" si="25"/>
        <v>822.07</v>
      </c>
      <c r="O354" s="3">
        <f t="shared" si="26"/>
        <v>721.86</v>
      </c>
      <c r="P354" s="3">
        <f t="shared" si="27"/>
        <v>473.45</v>
      </c>
      <c r="Q354" s="3">
        <f t="shared" si="28"/>
        <v>248.41</v>
      </c>
      <c r="R354" s="4">
        <f t="shared" si="29"/>
        <v>0.34410000000000002</v>
      </c>
      <c r="S354" s="2">
        <v>7</v>
      </c>
      <c r="T354" t="s">
        <v>46</v>
      </c>
      <c r="U354">
        <v>2</v>
      </c>
    </row>
    <row r="355" spans="1:22" x14ac:dyDescent="0.25">
      <c r="A355" s="1">
        <v>46170</v>
      </c>
      <c r="B355" t="s">
        <v>547</v>
      </c>
      <c r="C355" t="s">
        <v>108</v>
      </c>
      <c r="D355" t="s">
        <v>101</v>
      </c>
      <c r="E355" t="s">
        <v>35</v>
      </c>
      <c r="F355" t="s">
        <v>64</v>
      </c>
      <c r="G355" t="s">
        <v>27</v>
      </c>
      <c r="H355" t="s">
        <v>28</v>
      </c>
      <c r="I355" t="s">
        <v>92</v>
      </c>
      <c r="J355" s="2">
        <v>2</v>
      </c>
      <c r="K355" s="3">
        <v>816.04</v>
      </c>
      <c r="L355" s="3">
        <v>471.87</v>
      </c>
      <c r="M355" s="4">
        <v>0</v>
      </c>
      <c r="N355" s="3">
        <f t="shared" si="25"/>
        <v>1632.08</v>
      </c>
      <c r="O355" s="3">
        <f t="shared" si="26"/>
        <v>1632.08</v>
      </c>
      <c r="P355" s="3">
        <f t="shared" si="27"/>
        <v>943.74</v>
      </c>
      <c r="Q355" s="3">
        <f t="shared" si="28"/>
        <v>688.34</v>
      </c>
      <c r="R355" s="4">
        <f t="shared" si="29"/>
        <v>0.42180000000000001</v>
      </c>
      <c r="S355" s="2">
        <v>9</v>
      </c>
      <c r="T355" t="s">
        <v>46</v>
      </c>
      <c r="U355">
        <v>4</v>
      </c>
    </row>
    <row r="356" spans="1:22" x14ac:dyDescent="0.25">
      <c r="A356" s="1">
        <v>46105</v>
      </c>
      <c r="B356" t="s">
        <v>548</v>
      </c>
      <c r="C356" t="s">
        <v>220</v>
      </c>
      <c r="D356" t="s">
        <v>113</v>
      </c>
      <c r="E356" t="s">
        <v>50</v>
      </c>
      <c r="F356" t="s">
        <v>64</v>
      </c>
      <c r="G356" t="s">
        <v>51</v>
      </c>
      <c r="H356" t="s">
        <v>59</v>
      </c>
      <c r="I356" t="s">
        <v>29</v>
      </c>
      <c r="J356" s="2">
        <v>1</v>
      </c>
      <c r="K356" s="3">
        <v>2286.5100000000002</v>
      </c>
      <c r="L356" s="3">
        <v>1418.69</v>
      </c>
      <c r="M356" s="4">
        <v>9.3600000000000003E-2</v>
      </c>
      <c r="N356" s="3">
        <f t="shared" si="25"/>
        <v>2286.5100000000002</v>
      </c>
      <c r="O356" s="3">
        <f t="shared" si="26"/>
        <v>2072.4899999999998</v>
      </c>
      <c r="P356" s="3">
        <f t="shared" si="27"/>
        <v>1418.69</v>
      </c>
      <c r="Q356" s="3">
        <f t="shared" si="28"/>
        <v>653.79999999999995</v>
      </c>
      <c r="R356" s="4">
        <f t="shared" si="29"/>
        <v>0.3155</v>
      </c>
      <c r="S356" s="2">
        <v>14</v>
      </c>
      <c r="T356" t="s">
        <v>30</v>
      </c>
      <c r="U356">
        <v>2</v>
      </c>
    </row>
    <row r="357" spans="1:22" x14ac:dyDescent="0.25">
      <c r="A357" s="1">
        <v>46060</v>
      </c>
      <c r="B357" t="s">
        <v>549</v>
      </c>
      <c r="C357" t="s">
        <v>286</v>
      </c>
      <c r="D357" t="s">
        <v>130</v>
      </c>
      <c r="E357" t="s">
        <v>72</v>
      </c>
      <c r="F357" t="s">
        <v>36</v>
      </c>
      <c r="G357" t="s">
        <v>51</v>
      </c>
      <c r="H357" t="s">
        <v>52</v>
      </c>
      <c r="I357" t="s">
        <v>65</v>
      </c>
      <c r="J357" s="2">
        <v>8</v>
      </c>
      <c r="K357" s="3">
        <v>248.18</v>
      </c>
      <c r="L357" s="3">
        <v>122.97</v>
      </c>
      <c r="M357" s="4">
        <v>0</v>
      </c>
      <c r="N357" s="3">
        <f t="shared" si="25"/>
        <v>1985.44</v>
      </c>
      <c r="O357" s="3">
        <f t="shared" si="26"/>
        <v>1985.44</v>
      </c>
      <c r="P357" s="3">
        <f t="shared" si="27"/>
        <v>983.76</v>
      </c>
      <c r="Q357" s="3">
        <f t="shared" si="28"/>
        <v>1001.68</v>
      </c>
      <c r="R357" s="4">
        <f t="shared" si="29"/>
        <v>0.50449999999999995</v>
      </c>
      <c r="S357" s="2">
        <v>3</v>
      </c>
      <c r="T357" t="s">
        <v>46</v>
      </c>
      <c r="U357">
        <v>4</v>
      </c>
    </row>
    <row r="358" spans="1:22" x14ac:dyDescent="0.25">
      <c r="A358" s="1">
        <v>46142</v>
      </c>
      <c r="B358" t="s">
        <v>550</v>
      </c>
      <c r="C358" t="s">
        <v>336</v>
      </c>
      <c r="D358" t="s">
        <v>126</v>
      </c>
      <c r="E358" t="s">
        <v>57</v>
      </c>
      <c r="F358" t="s">
        <v>36</v>
      </c>
      <c r="G358" t="s">
        <v>37</v>
      </c>
      <c r="H358" t="s">
        <v>178</v>
      </c>
      <c r="I358" t="s">
        <v>87</v>
      </c>
      <c r="J358" s="2">
        <v>6</v>
      </c>
      <c r="K358" s="3">
        <v>502.5</v>
      </c>
      <c r="L358" s="3">
        <v>240.79</v>
      </c>
      <c r="M358" s="4">
        <v>0</v>
      </c>
      <c r="N358" s="3">
        <f t="shared" si="25"/>
        <v>3015</v>
      </c>
      <c r="O358" s="3">
        <f t="shared" si="26"/>
        <v>3015</v>
      </c>
      <c r="P358" s="3">
        <f t="shared" si="27"/>
        <v>1444.74</v>
      </c>
      <c r="Q358" s="3">
        <f t="shared" si="28"/>
        <v>1570.26</v>
      </c>
      <c r="R358" s="4">
        <f t="shared" si="29"/>
        <v>0.52080000000000004</v>
      </c>
      <c r="S358" s="2">
        <v>11</v>
      </c>
      <c r="T358" t="s">
        <v>30</v>
      </c>
      <c r="U358">
        <v>3</v>
      </c>
    </row>
    <row r="359" spans="1:22" x14ac:dyDescent="0.25">
      <c r="A359" s="1">
        <v>46049</v>
      </c>
      <c r="B359" t="s">
        <v>551</v>
      </c>
      <c r="C359" t="s">
        <v>447</v>
      </c>
      <c r="D359" t="s">
        <v>101</v>
      </c>
      <c r="E359" t="s">
        <v>35</v>
      </c>
      <c r="F359" t="s">
        <v>64</v>
      </c>
      <c r="G359" t="s">
        <v>27</v>
      </c>
      <c r="H359" t="s">
        <v>28</v>
      </c>
      <c r="I359" t="s">
        <v>53</v>
      </c>
      <c r="J359" s="2">
        <v>3</v>
      </c>
      <c r="K359" s="3">
        <v>742.8</v>
      </c>
      <c r="L359" s="3">
        <v>444.56</v>
      </c>
      <c r="M359" s="4">
        <v>0</v>
      </c>
      <c r="N359" s="3">
        <f t="shared" si="25"/>
        <v>2228.4</v>
      </c>
      <c r="O359" s="3">
        <f t="shared" si="26"/>
        <v>2228.4</v>
      </c>
      <c r="P359" s="3">
        <f t="shared" si="27"/>
        <v>1333.68</v>
      </c>
      <c r="Q359" s="3">
        <f t="shared" si="28"/>
        <v>894.72</v>
      </c>
      <c r="R359" s="4">
        <f t="shared" si="29"/>
        <v>0.40150000000000002</v>
      </c>
      <c r="S359" s="2">
        <v>7</v>
      </c>
      <c r="T359" t="s">
        <v>46</v>
      </c>
      <c r="U359">
        <v>2</v>
      </c>
    </row>
    <row r="360" spans="1:22" x14ac:dyDescent="0.25">
      <c r="A360" s="1">
        <v>46057</v>
      </c>
      <c r="B360" t="s">
        <v>552</v>
      </c>
      <c r="C360" t="s">
        <v>110</v>
      </c>
      <c r="D360" t="s">
        <v>113</v>
      </c>
      <c r="E360" t="s">
        <v>50</v>
      </c>
      <c r="F360" t="s">
        <v>64</v>
      </c>
      <c r="G360" t="s">
        <v>44</v>
      </c>
      <c r="H360" t="s">
        <v>124</v>
      </c>
      <c r="I360" t="s">
        <v>87</v>
      </c>
      <c r="J360" s="2">
        <v>7</v>
      </c>
      <c r="K360" s="3">
        <v>5929.99</v>
      </c>
      <c r="L360" s="3">
        <v>4423.29</v>
      </c>
      <c r="M360" s="4">
        <v>0</v>
      </c>
      <c r="N360" s="3">
        <f t="shared" si="25"/>
        <v>41509.93</v>
      </c>
      <c r="O360" s="3">
        <f t="shared" si="26"/>
        <v>41509.93</v>
      </c>
      <c r="P360" s="3">
        <f t="shared" si="27"/>
        <v>30963.03</v>
      </c>
      <c r="Q360" s="3">
        <f t="shared" si="28"/>
        <v>10546.9</v>
      </c>
      <c r="R360" s="4">
        <f t="shared" si="29"/>
        <v>0.25409999999999999</v>
      </c>
      <c r="S360" s="2">
        <v>5</v>
      </c>
      <c r="T360" t="s">
        <v>46</v>
      </c>
      <c r="U360">
        <v>3</v>
      </c>
    </row>
    <row r="361" spans="1:22" x14ac:dyDescent="0.25">
      <c r="A361" s="1">
        <v>46198</v>
      </c>
      <c r="B361" t="s">
        <v>553</v>
      </c>
      <c r="C361" t="s">
        <v>218</v>
      </c>
      <c r="D361" t="s">
        <v>139</v>
      </c>
      <c r="E361" t="s">
        <v>72</v>
      </c>
      <c r="F361" t="s">
        <v>58</v>
      </c>
      <c r="G361" t="s">
        <v>51</v>
      </c>
      <c r="H361" t="s">
        <v>116</v>
      </c>
      <c r="I361" t="s">
        <v>60</v>
      </c>
      <c r="J361" s="2">
        <v>3</v>
      </c>
      <c r="K361" s="3">
        <v>2660.14</v>
      </c>
      <c r="L361" s="3">
        <v>1936.98</v>
      </c>
      <c r="M361" s="4">
        <v>0.11020000000000001</v>
      </c>
      <c r="N361" s="3">
        <f t="shared" si="25"/>
        <v>7980.42</v>
      </c>
      <c r="O361" s="3">
        <f t="shared" si="26"/>
        <v>7100.98</v>
      </c>
      <c r="P361" s="3">
        <f t="shared" si="27"/>
        <v>5810.94</v>
      </c>
      <c r="Q361" s="3">
        <f t="shared" si="28"/>
        <v>1290.04</v>
      </c>
      <c r="R361" s="4">
        <f t="shared" si="29"/>
        <v>0.1817</v>
      </c>
      <c r="S361" s="2">
        <v>11</v>
      </c>
      <c r="T361" t="s">
        <v>30</v>
      </c>
      <c r="U361">
        <v>5</v>
      </c>
    </row>
    <row r="362" spans="1:22" x14ac:dyDescent="0.25">
      <c r="A362" s="1">
        <v>46136</v>
      </c>
      <c r="B362" t="s">
        <v>554</v>
      </c>
      <c r="C362" t="s">
        <v>108</v>
      </c>
      <c r="D362" t="s">
        <v>71</v>
      </c>
      <c r="E362" t="s">
        <v>72</v>
      </c>
      <c r="F362" t="s">
        <v>36</v>
      </c>
      <c r="G362" t="s">
        <v>51</v>
      </c>
      <c r="H362" t="s">
        <v>52</v>
      </c>
      <c r="I362" t="s">
        <v>92</v>
      </c>
      <c r="J362" s="2">
        <v>8</v>
      </c>
      <c r="K362" s="3">
        <v>252.09</v>
      </c>
      <c r="L362" s="3">
        <v>126.09</v>
      </c>
      <c r="M362" s="4">
        <v>0</v>
      </c>
      <c r="N362" s="3">
        <f t="shared" si="25"/>
        <v>2016.72</v>
      </c>
      <c r="O362" s="3">
        <f t="shared" si="26"/>
        <v>2016.72</v>
      </c>
      <c r="P362" s="3">
        <f t="shared" si="27"/>
        <v>1008.72</v>
      </c>
      <c r="Q362" s="3">
        <f t="shared" si="28"/>
        <v>1008</v>
      </c>
      <c r="R362" s="4">
        <f t="shared" si="29"/>
        <v>0.49980000000000002</v>
      </c>
      <c r="S362" s="2">
        <v>8</v>
      </c>
      <c r="T362" t="s">
        <v>46</v>
      </c>
      <c r="U362">
        <v>5</v>
      </c>
    </row>
    <row r="363" spans="1:22" x14ac:dyDescent="0.25">
      <c r="A363" s="1">
        <v>46163</v>
      </c>
      <c r="B363" t="s">
        <v>555</v>
      </c>
      <c r="C363" t="s">
        <v>89</v>
      </c>
      <c r="D363" t="s">
        <v>56</v>
      </c>
      <c r="E363" t="s">
        <v>57</v>
      </c>
      <c r="F363" t="s">
        <v>58</v>
      </c>
      <c r="G363" t="s">
        <v>37</v>
      </c>
      <c r="H363" t="s">
        <v>178</v>
      </c>
      <c r="I363" t="s">
        <v>77</v>
      </c>
      <c r="J363" s="2">
        <v>7</v>
      </c>
      <c r="K363" s="3">
        <v>486.06</v>
      </c>
      <c r="L363" s="3">
        <v>234.03</v>
      </c>
      <c r="M363" s="4">
        <v>0.1608</v>
      </c>
      <c r="N363" s="3">
        <f t="shared" si="25"/>
        <v>3402.42</v>
      </c>
      <c r="O363" s="3">
        <f t="shared" si="26"/>
        <v>2855.31</v>
      </c>
      <c r="P363" s="3">
        <f t="shared" si="27"/>
        <v>1638.21</v>
      </c>
      <c r="Q363" s="3">
        <f t="shared" si="28"/>
        <v>1217.0999999999999</v>
      </c>
      <c r="R363" s="4">
        <f t="shared" si="29"/>
        <v>0.42630000000000001</v>
      </c>
      <c r="S363" s="2">
        <v>12</v>
      </c>
      <c r="T363" t="s">
        <v>30</v>
      </c>
      <c r="U363">
        <v>4</v>
      </c>
    </row>
    <row r="364" spans="1:22" x14ac:dyDescent="0.25">
      <c r="A364" s="1">
        <v>46062</v>
      </c>
      <c r="B364" t="s">
        <v>556</v>
      </c>
      <c r="C364" t="s">
        <v>500</v>
      </c>
      <c r="D364" t="s">
        <v>56</v>
      </c>
      <c r="E364" t="s">
        <v>57</v>
      </c>
      <c r="F364" t="s">
        <v>58</v>
      </c>
      <c r="G364" t="s">
        <v>37</v>
      </c>
      <c r="H364" t="s">
        <v>178</v>
      </c>
      <c r="I364" t="s">
        <v>60</v>
      </c>
      <c r="J364" s="2">
        <v>8</v>
      </c>
      <c r="K364" s="3">
        <v>494.11</v>
      </c>
      <c r="L364" s="3">
        <v>249.91</v>
      </c>
      <c r="M364" s="4">
        <v>0.14599999999999999</v>
      </c>
      <c r="N364" s="3">
        <f t="shared" si="25"/>
        <v>3952.88</v>
      </c>
      <c r="O364" s="3">
        <f t="shared" si="26"/>
        <v>3375.76</v>
      </c>
      <c r="P364" s="3">
        <f t="shared" si="27"/>
        <v>1999.28</v>
      </c>
      <c r="Q364" s="3">
        <f t="shared" si="28"/>
        <v>1376.48</v>
      </c>
      <c r="R364" s="4">
        <f t="shared" si="29"/>
        <v>0.4078</v>
      </c>
      <c r="S364" s="2">
        <v>5</v>
      </c>
      <c r="T364" t="s">
        <v>46</v>
      </c>
      <c r="U364">
        <v>3</v>
      </c>
    </row>
    <row r="365" spans="1:22" x14ac:dyDescent="0.25">
      <c r="A365" s="1">
        <v>46026</v>
      </c>
      <c r="B365" t="s">
        <v>557</v>
      </c>
      <c r="C365" t="s">
        <v>251</v>
      </c>
      <c r="D365" t="s">
        <v>113</v>
      </c>
      <c r="E365" t="s">
        <v>50</v>
      </c>
      <c r="F365" t="s">
        <v>58</v>
      </c>
      <c r="G365" t="s">
        <v>51</v>
      </c>
      <c r="H365" t="s">
        <v>116</v>
      </c>
      <c r="I365" t="s">
        <v>60</v>
      </c>
      <c r="J365" s="2">
        <v>5</v>
      </c>
      <c r="K365" s="3">
        <v>2787.85</v>
      </c>
      <c r="L365" s="3">
        <v>1892.48</v>
      </c>
      <c r="M365" s="4">
        <v>0.14069999999999999</v>
      </c>
      <c r="N365" s="3">
        <f t="shared" si="25"/>
        <v>13939.25</v>
      </c>
      <c r="O365" s="3">
        <f t="shared" si="26"/>
        <v>11978</v>
      </c>
      <c r="P365" s="3">
        <f t="shared" si="27"/>
        <v>9462.4</v>
      </c>
      <c r="Q365" s="3">
        <f t="shared" si="28"/>
        <v>2515.6</v>
      </c>
      <c r="R365" s="4">
        <f t="shared" si="29"/>
        <v>0.21</v>
      </c>
      <c r="S365" s="2">
        <v>8</v>
      </c>
      <c r="T365" t="s">
        <v>46</v>
      </c>
      <c r="U365">
        <v>3</v>
      </c>
    </row>
    <row r="366" spans="1:22" x14ac:dyDescent="0.25">
      <c r="A366" s="1">
        <v>46053</v>
      </c>
      <c r="B366" t="s">
        <v>558</v>
      </c>
      <c r="C366" t="s">
        <v>523</v>
      </c>
      <c r="D366" t="s">
        <v>24</v>
      </c>
      <c r="E366" t="s">
        <v>25</v>
      </c>
      <c r="F366" t="s">
        <v>26</v>
      </c>
      <c r="G366" t="s">
        <v>44</v>
      </c>
      <c r="H366" t="s">
        <v>73</v>
      </c>
      <c r="I366" t="s">
        <v>29</v>
      </c>
      <c r="J366" s="2">
        <v>3</v>
      </c>
      <c r="K366" s="3">
        <v>1774.5</v>
      </c>
      <c r="L366" s="3">
        <v>1116.21</v>
      </c>
      <c r="M366" s="4">
        <v>0</v>
      </c>
      <c r="N366" s="3">
        <f t="shared" si="25"/>
        <v>5323.5</v>
      </c>
      <c r="O366" s="3">
        <f t="shared" si="26"/>
        <v>5323.5</v>
      </c>
      <c r="P366" s="3">
        <f t="shared" si="27"/>
        <v>3348.63</v>
      </c>
      <c r="Q366" s="3">
        <f t="shared" si="28"/>
        <v>1974.87</v>
      </c>
      <c r="R366" s="4">
        <f t="shared" si="29"/>
        <v>0.371</v>
      </c>
      <c r="S366" s="2">
        <v>3</v>
      </c>
      <c r="T366" t="s">
        <v>46</v>
      </c>
      <c r="U366">
        <v>5</v>
      </c>
    </row>
    <row r="367" spans="1:22" x14ac:dyDescent="0.25">
      <c r="A367" s="1">
        <v>46106</v>
      </c>
      <c r="B367" t="s">
        <v>559</v>
      </c>
      <c r="C367" t="s">
        <v>560</v>
      </c>
      <c r="D367" t="s">
        <v>71</v>
      </c>
      <c r="E367" t="s">
        <v>72</v>
      </c>
      <c r="F367" t="s">
        <v>64</v>
      </c>
      <c r="G367" t="s">
        <v>44</v>
      </c>
      <c r="H367" t="s">
        <v>45</v>
      </c>
      <c r="I367" t="s">
        <v>39</v>
      </c>
      <c r="J367" s="2">
        <v>6</v>
      </c>
      <c r="K367" s="3">
        <v>406.3</v>
      </c>
      <c r="L367" s="3">
        <v>222.97</v>
      </c>
      <c r="M367" s="4">
        <v>0.12540000000000001</v>
      </c>
      <c r="N367" s="3">
        <f t="shared" si="25"/>
        <v>2437.8000000000002</v>
      </c>
      <c r="O367" s="3">
        <f t="shared" si="26"/>
        <v>2132.1</v>
      </c>
      <c r="P367" s="3">
        <f t="shared" si="27"/>
        <v>1337.82</v>
      </c>
      <c r="Q367" s="3">
        <f t="shared" si="28"/>
        <v>794.28</v>
      </c>
      <c r="R367" s="4">
        <f t="shared" si="29"/>
        <v>0.3725</v>
      </c>
      <c r="S367" s="2">
        <v>21</v>
      </c>
      <c r="T367" t="s">
        <v>30</v>
      </c>
      <c r="U367">
        <v>1</v>
      </c>
      <c r="V367" t="s">
        <v>208</v>
      </c>
    </row>
    <row r="368" spans="1:22" x14ac:dyDescent="0.25">
      <c r="A368" s="1">
        <v>46075</v>
      </c>
      <c r="B368" t="s">
        <v>561</v>
      </c>
      <c r="C368" t="s">
        <v>286</v>
      </c>
      <c r="D368" t="s">
        <v>101</v>
      </c>
      <c r="E368" t="s">
        <v>35</v>
      </c>
      <c r="F368" t="s">
        <v>26</v>
      </c>
      <c r="G368" t="s">
        <v>44</v>
      </c>
      <c r="H368" t="s">
        <v>124</v>
      </c>
      <c r="I368" t="s">
        <v>92</v>
      </c>
      <c r="J368" s="2">
        <v>2</v>
      </c>
      <c r="K368" s="3">
        <v>5919.83</v>
      </c>
      <c r="L368" s="3">
        <v>4237.2299999999996</v>
      </c>
      <c r="M368" s="4">
        <v>1.8599999999999998E-2</v>
      </c>
      <c r="N368" s="3">
        <f t="shared" si="25"/>
        <v>11839.66</v>
      </c>
      <c r="O368" s="3">
        <f t="shared" si="26"/>
        <v>11619.44</v>
      </c>
      <c r="P368" s="3">
        <f t="shared" si="27"/>
        <v>8474.4599999999991</v>
      </c>
      <c r="Q368" s="3">
        <f t="shared" si="28"/>
        <v>3144.98</v>
      </c>
      <c r="R368" s="4">
        <f t="shared" si="29"/>
        <v>0.2707</v>
      </c>
      <c r="S368" s="2">
        <v>6</v>
      </c>
      <c r="T368" t="s">
        <v>46</v>
      </c>
      <c r="U368">
        <v>5</v>
      </c>
    </row>
    <row r="369" spans="1:21" x14ac:dyDescent="0.25">
      <c r="A369" s="1">
        <v>46059</v>
      </c>
      <c r="B369" t="s">
        <v>562</v>
      </c>
      <c r="C369" t="s">
        <v>110</v>
      </c>
      <c r="D369" t="s">
        <v>97</v>
      </c>
      <c r="E369" t="s">
        <v>57</v>
      </c>
      <c r="F369" t="s">
        <v>26</v>
      </c>
      <c r="G369" t="s">
        <v>51</v>
      </c>
      <c r="H369" t="s">
        <v>52</v>
      </c>
      <c r="I369" t="s">
        <v>65</v>
      </c>
      <c r="J369" s="2">
        <v>1</v>
      </c>
      <c r="K369" s="3">
        <v>266.04000000000002</v>
      </c>
      <c r="L369" s="3">
        <v>117.21</v>
      </c>
      <c r="M369" s="4">
        <v>3.5000000000000003E-2</v>
      </c>
      <c r="N369" s="3">
        <f t="shared" si="25"/>
        <v>266.04000000000002</v>
      </c>
      <c r="O369" s="3">
        <f t="shared" si="26"/>
        <v>256.73</v>
      </c>
      <c r="P369" s="3">
        <f t="shared" si="27"/>
        <v>117.21</v>
      </c>
      <c r="Q369" s="3">
        <f t="shared" si="28"/>
        <v>139.52000000000001</v>
      </c>
      <c r="R369" s="4">
        <f t="shared" si="29"/>
        <v>0.54349999999999998</v>
      </c>
      <c r="S369" s="2">
        <v>14</v>
      </c>
      <c r="T369" t="s">
        <v>30</v>
      </c>
      <c r="U369">
        <v>5</v>
      </c>
    </row>
    <row r="370" spans="1:21" x14ac:dyDescent="0.25">
      <c r="A370" s="1">
        <v>46065</v>
      </c>
      <c r="B370" t="s">
        <v>563</v>
      </c>
      <c r="C370" t="s">
        <v>284</v>
      </c>
      <c r="D370" t="s">
        <v>63</v>
      </c>
      <c r="E370" t="s">
        <v>35</v>
      </c>
      <c r="F370" t="s">
        <v>36</v>
      </c>
      <c r="G370" t="s">
        <v>51</v>
      </c>
      <c r="H370" t="s">
        <v>59</v>
      </c>
      <c r="I370" t="s">
        <v>94</v>
      </c>
      <c r="J370" s="2">
        <v>1</v>
      </c>
      <c r="K370" s="3">
        <v>2140.9699999999998</v>
      </c>
      <c r="L370" s="3">
        <v>1364.57</v>
      </c>
      <c r="M370" s="4">
        <v>4.6899999999999997E-2</v>
      </c>
      <c r="N370" s="3">
        <f t="shared" si="25"/>
        <v>2140.9699999999998</v>
      </c>
      <c r="O370" s="3">
        <f t="shared" si="26"/>
        <v>2040.56</v>
      </c>
      <c r="P370" s="3">
        <f t="shared" si="27"/>
        <v>1364.57</v>
      </c>
      <c r="Q370" s="3">
        <f t="shared" si="28"/>
        <v>675.99</v>
      </c>
      <c r="R370" s="4">
        <f t="shared" si="29"/>
        <v>0.33129999999999998</v>
      </c>
      <c r="S370" s="2">
        <v>9</v>
      </c>
      <c r="T370" t="s">
        <v>46</v>
      </c>
      <c r="U370">
        <v>4</v>
      </c>
    </row>
    <row r="371" spans="1:21" x14ac:dyDescent="0.25">
      <c r="A371" s="1">
        <v>46129</v>
      </c>
      <c r="B371" t="s">
        <v>564</v>
      </c>
      <c r="C371" t="s">
        <v>358</v>
      </c>
      <c r="D371" t="s">
        <v>97</v>
      </c>
      <c r="E371" t="s">
        <v>57</v>
      </c>
      <c r="F371" t="s">
        <v>36</v>
      </c>
      <c r="G371" t="s">
        <v>44</v>
      </c>
      <c r="H371" t="s">
        <v>73</v>
      </c>
      <c r="I371" t="s">
        <v>65</v>
      </c>
      <c r="J371" s="2">
        <v>1</v>
      </c>
      <c r="K371" s="3">
        <v>1717.86</v>
      </c>
      <c r="L371" s="3">
        <v>1123.3900000000001</v>
      </c>
      <c r="M371" s="4">
        <v>0</v>
      </c>
      <c r="N371" s="3">
        <f t="shared" si="25"/>
        <v>1717.86</v>
      </c>
      <c r="O371" s="3">
        <f t="shared" si="26"/>
        <v>1717.86</v>
      </c>
      <c r="P371" s="3">
        <f t="shared" si="27"/>
        <v>1123.3900000000001</v>
      </c>
      <c r="Q371" s="3">
        <f t="shared" si="28"/>
        <v>594.47</v>
      </c>
      <c r="R371" s="4">
        <f t="shared" si="29"/>
        <v>0.34610000000000002</v>
      </c>
      <c r="S371" s="2">
        <v>2</v>
      </c>
      <c r="T371" t="s">
        <v>40</v>
      </c>
    </row>
    <row r="372" spans="1:21" x14ac:dyDescent="0.25">
      <c r="A372" s="1">
        <v>46187</v>
      </c>
      <c r="B372" t="s">
        <v>565</v>
      </c>
      <c r="C372" t="s">
        <v>62</v>
      </c>
      <c r="D372" t="s">
        <v>101</v>
      </c>
      <c r="E372" t="s">
        <v>35</v>
      </c>
      <c r="F372" t="s">
        <v>36</v>
      </c>
      <c r="G372" t="s">
        <v>27</v>
      </c>
      <c r="H372" t="s">
        <v>86</v>
      </c>
      <c r="I372" t="s">
        <v>29</v>
      </c>
      <c r="J372" s="2">
        <v>3</v>
      </c>
      <c r="K372" s="3">
        <v>1865.81</v>
      </c>
      <c r="L372" s="3">
        <v>1249.3399999999999</v>
      </c>
      <c r="M372" s="4">
        <v>5.8299999999999998E-2</v>
      </c>
      <c r="N372" s="3">
        <f t="shared" si="25"/>
        <v>5597.43</v>
      </c>
      <c r="O372" s="3">
        <f t="shared" si="26"/>
        <v>5271.1</v>
      </c>
      <c r="P372" s="3">
        <f t="shared" si="27"/>
        <v>3748.02</v>
      </c>
      <c r="Q372" s="3">
        <f t="shared" si="28"/>
        <v>1523.08</v>
      </c>
      <c r="R372" s="4">
        <f t="shared" si="29"/>
        <v>0.28889999999999999</v>
      </c>
      <c r="S372" s="2">
        <v>5</v>
      </c>
      <c r="T372" t="s">
        <v>46</v>
      </c>
      <c r="U372">
        <v>4</v>
      </c>
    </row>
    <row r="373" spans="1:21" x14ac:dyDescent="0.25">
      <c r="A373" s="1">
        <v>46137</v>
      </c>
      <c r="B373" t="s">
        <v>566</v>
      </c>
      <c r="C373" t="s">
        <v>170</v>
      </c>
      <c r="D373" t="s">
        <v>139</v>
      </c>
      <c r="E373" t="s">
        <v>72</v>
      </c>
      <c r="F373" t="s">
        <v>36</v>
      </c>
      <c r="G373" t="s">
        <v>37</v>
      </c>
      <c r="H373" t="s">
        <v>38</v>
      </c>
      <c r="I373" t="s">
        <v>74</v>
      </c>
      <c r="J373" s="2">
        <v>4</v>
      </c>
      <c r="K373" s="3">
        <v>419.08</v>
      </c>
      <c r="L373" s="3">
        <v>189.12</v>
      </c>
      <c r="M373" s="4">
        <v>8.8400000000000006E-2</v>
      </c>
      <c r="N373" s="3">
        <f t="shared" si="25"/>
        <v>1676.32</v>
      </c>
      <c r="O373" s="3">
        <f t="shared" si="26"/>
        <v>1528.13</v>
      </c>
      <c r="P373" s="3">
        <f t="shared" si="27"/>
        <v>756.48</v>
      </c>
      <c r="Q373" s="3">
        <f t="shared" si="28"/>
        <v>771.65</v>
      </c>
      <c r="R373" s="4">
        <f t="shared" si="29"/>
        <v>0.505</v>
      </c>
      <c r="S373" s="2">
        <v>2</v>
      </c>
      <c r="T373" t="s">
        <v>46</v>
      </c>
      <c r="U373">
        <v>2</v>
      </c>
    </row>
    <row r="374" spans="1:21" x14ac:dyDescent="0.25">
      <c r="A374" s="1">
        <v>46113</v>
      </c>
      <c r="B374" t="s">
        <v>567</v>
      </c>
      <c r="C374" t="s">
        <v>286</v>
      </c>
      <c r="D374" t="s">
        <v>121</v>
      </c>
      <c r="E374" t="s">
        <v>72</v>
      </c>
      <c r="F374" t="s">
        <v>58</v>
      </c>
      <c r="G374" t="s">
        <v>37</v>
      </c>
      <c r="H374" t="s">
        <v>178</v>
      </c>
      <c r="I374" t="s">
        <v>60</v>
      </c>
      <c r="J374" s="2">
        <v>1</v>
      </c>
      <c r="K374" s="3">
        <v>504.79</v>
      </c>
      <c r="L374" s="3">
        <v>260.33</v>
      </c>
      <c r="M374" s="4">
        <v>0.1143</v>
      </c>
      <c r="N374" s="3">
        <f t="shared" si="25"/>
        <v>504.79</v>
      </c>
      <c r="O374" s="3">
        <f t="shared" si="26"/>
        <v>447.09</v>
      </c>
      <c r="P374" s="3">
        <f t="shared" si="27"/>
        <v>260.33</v>
      </c>
      <c r="Q374" s="3">
        <f t="shared" si="28"/>
        <v>186.76</v>
      </c>
      <c r="R374" s="4">
        <f t="shared" si="29"/>
        <v>0.41770000000000002</v>
      </c>
      <c r="S374" s="2">
        <v>10</v>
      </c>
      <c r="T374" t="s">
        <v>46</v>
      </c>
      <c r="U374">
        <v>4</v>
      </c>
    </row>
    <row r="375" spans="1:21" x14ac:dyDescent="0.25">
      <c r="A375" s="1">
        <v>46085</v>
      </c>
      <c r="B375" t="s">
        <v>568</v>
      </c>
      <c r="C375" t="s">
        <v>159</v>
      </c>
      <c r="D375" t="s">
        <v>56</v>
      </c>
      <c r="E375" t="s">
        <v>57</v>
      </c>
      <c r="F375" t="s">
        <v>26</v>
      </c>
      <c r="G375" t="s">
        <v>37</v>
      </c>
      <c r="H375" t="s">
        <v>104</v>
      </c>
      <c r="I375" t="s">
        <v>87</v>
      </c>
      <c r="J375" s="2">
        <v>3</v>
      </c>
      <c r="K375" s="3">
        <v>308.64999999999998</v>
      </c>
      <c r="L375" s="3">
        <v>137.88999999999999</v>
      </c>
      <c r="M375" s="4">
        <v>8.2500000000000004E-2</v>
      </c>
      <c r="N375" s="3">
        <f t="shared" si="25"/>
        <v>925.95</v>
      </c>
      <c r="O375" s="3">
        <f t="shared" si="26"/>
        <v>849.56</v>
      </c>
      <c r="P375" s="3">
        <f t="shared" si="27"/>
        <v>413.67</v>
      </c>
      <c r="Q375" s="3">
        <f t="shared" si="28"/>
        <v>435.89</v>
      </c>
      <c r="R375" s="4">
        <f t="shared" si="29"/>
        <v>0.5131</v>
      </c>
      <c r="S375" s="2">
        <v>11</v>
      </c>
      <c r="T375" t="s">
        <v>30</v>
      </c>
      <c r="U375">
        <v>2</v>
      </c>
    </row>
    <row r="376" spans="1:21" x14ac:dyDescent="0.25">
      <c r="A376" s="1">
        <v>46100</v>
      </c>
      <c r="B376" t="s">
        <v>569</v>
      </c>
      <c r="C376" t="s">
        <v>115</v>
      </c>
      <c r="D376" t="s">
        <v>97</v>
      </c>
      <c r="E376" t="s">
        <v>57</v>
      </c>
      <c r="F376" t="s">
        <v>58</v>
      </c>
      <c r="G376" t="s">
        <v>37</v>
      </c>
      <c r="H376" t="s">
        <v>104</v>
      </c>
      <c r="I376" t="s">
        <v>74</v>
      </c>
      <c r="J376" s="2">
        <v>8</v>
      </c>
      <c r="K376" s="3">
        <v>332.34</v>
      </c>
      <c r="L376" s="3">
        <v>134.94999999999999</v>
      </c>
      <c r="M376" s="4">
        <v>9.9000000000000005E-2</v>
      </c>
      <c r="N376" s="3">
        <f t="shared" si="25"/>
        <v>2658.72</v>
      </c>
      <c r="O376" s="3">
        <f t="shared" si="26"/>
        <v>2395.5100000000002</v>
      </c>
      <c r="P376" s="3">
        <f t="shared" si="27"/>
        <v>1079.5999999999999</v>
      </c>
      <c r="Q376" s="3">
        <f t="shared" si="28"/>
        <v>1315.91</v>
      </c>
      <c r="R376" s="4">
        <f t="shared" si="29"/>
        <v>0.54930000000000001</v>
      </c>
      <c r="S376" s="2">
        <v>14</v>
      </c>
      <c r="T376" t="s">
        <v>30</v>
      </c>
      <c r="U376">
        <v>2</v>
      </c>
    </row>
    <row r="377" spans="1:21" x14ac:dyDescent="0.25">
      <c r="A377" s="1">
        <v>46093</v>
      </c>
      <c r="B377" t="s">
        <v>570</v>
      </c>
      <c r="C377" t="s">
        <v>70</v>
      </c>
      <c r="D377" t="s">
        <v>97</v>
      </c>
      <c r="E377" t="s">
        <v>57</v>
      </c>
      <c r="F377" t="s">
        <v>26</v>
      </c>
      <c r="G377" t="s">
        <v>51</v>
      </c>
      <c r="H377" t="s">
        <v>52</v>
      </c>
      <c r="I377" t="s">
        <v>29</v>
      </c>
      <c r="J377" s="2">
        <v>1</v>
      </c>
      <c r="K377" s="3">
        <v>250.67</v>
      </c>
      <c r="L377" s="3">
        <v>122.28</v>
      </c>
      <c r="M377" s="4">
        <v>0.1</v>
      </c>
      <c r="N377" s="3">
        <f t="shared" si="25"/>
        <v>250.67</v>
      </c>
      <c r="O377" s="3">
        <f t="shared" si="26"/>
        <v>225.6</v>
      </c>
      <c r="P377" s="3">
        <f t="shared" si="27"/>
        <v>122.28</v>
      </c>
      <c r="Q377" s="3">
        <f t="shared" si="28"/>
        <v>103.32</v>
      </c>
      <c r="R377" s="4">
        <f t="shared" si="29"/>
        <v>0.45800000000000002</v>
      </c>
      <c r="S377" s="2">
        <v>9</v>
      </c>
      <c r="T377" t="s">
        <v>46</v>
      </c>
      <c r="U377">
        <v>5</v>
      </c>
    </row>
    <row r="378" spans="1:21" x14ac:dyDescent="0.25">
      <c r="A378" s="1">
        <v>46234</v>
      </c>
      <c r="B378" t="s">
        <v>571</v>
      </c>
      <c r="C378" t="s">
        <v>356</v>
      </c>
      <c r="D378" t="s">
        <v>130</v>
      </c>
      <c r="E378" t="s">
        <v>72</v>
      </c>
      <c r="F378" t="s">
        <v>26</v>
      </c>
      <c r="G378" t="s">
        <v>37</v>
      </c>
      <c r="H378" t="s">
        <v>38</v>
      </c>
      <c r="I378" t="s">
        <v>39</v>
      </c>
      <c r="J378" s="2">
        <v>4</v>
      </c>
      <c r="K378" s="3">
        <v>427.75</v>
      </c>
      <c r="L378" s="3">
        <v>189.43</v>
      </c>
      <c r="M378" s="4">
        <v>1.7100000000000001E-2</v>
      </c>
      <c r="N378" s="3">
        <f t="shared" si="25"/>
        <v>1711</v>
      </c>
      <c r="O378" s="3">
        <f t="shared" si="26"/>
        <v>1681.74</v>
      </c>
      <c r="P378" s="3">
        <f t="shared" si="27"/>
        <v>757.72</v>
      </c>
      <c r="Q378" s="3">
        <f t="shared" si="28"/>
        <v>924.02</v>
      </c>
      <c r="R378" s="4">
        <f t="shared" si="29"/>
        <v>0.5494</v>
      </c>
      <c r="S378" s="2">
        <v>13</v>
      </c>
      <c r="T378" t="s">
        <v>30</v>
      </c>
      <c r="U378">
        <v>3</v>
      </c>
    </row>
    <row r="379" spans="1:21" x14ac:dyDescent="0.25">
      <c r="A379" s="1">
        <v>46085</v>
      </c>
      <c r="B379" t="s">
        <v>572</v>
      </c>
      <c r="C379" t="s">
        <v>162</v>
      </c>
      <c r="D379" t="s">
        <v>97</v>
      </c>
      <c r="E379" t="s">
        <v>57</v>
      </c>
      <c r="F379" t="s">
        <v>26</v>
      </c>
      <c r="G379" t="s">
        <v>44</v>
      </c>
      <c r="H379" t="s">
        <v>73</v>
      </c>
      <c r="I379" t="s">
        <v>74</v>
      </c>
      <c r="J379" s="2">
        <v>4</v>
      </c>
      <c r="K379" s="3">
        <v>1753.81</v>
      </c>
      <c r="L379" s="3">
        <v>1041.28</v>
      </c>
      <c r="M379" s="4">
        <v>5.67E-2</v>
      </c>
      <c r="N379" s="3">
        <f t="shared" si="25"/>
        <v>7015.24</v>
      </c>
      <c r="O379" s="3">
        <f t="shared" si="26"/>
        <v>6617.48</v>
      </c>
      <c r="P379" s="3">
        <f t="shared" si="27"/>
        <v>4165.12</v>
      </c>
      <c r="Q379" s="3">
        <f t="shared" si="28"/>
        <v>2452.36</v>
      </c>
      <c r="R379" s="4">
        <f t="shared" si="29"/>
        <v>0.37059999999999998</v>
      </c>
      <c r="S379" s="2">
        <v>2</v>
      </c>
      <c r="T379" t="s">
        <v>46</v>
      </c>
      <c r="U379">
        <v>3</v>
      </c>
    </row>
    <row r="380" spans="1:21" x14ac:dyDescent="0.25">
      <c r="A380" s="1">
        <v>46144</v>
      </c>
      <c r="B380" t="s">
        <v>573</v>
      </c>
      <c r="C380" t="s">
        <v>349</v>
      </c>
      <c r="D380" t="s">
        <v>101</v>
      </c>
      <c r="E380" t="s">
        <v>35</v>
      </c>
      <c r="F380" t="s">
        <v>36</v>
      </c>
      <c r="G380" t="s">
        <v>37</v>
      </c>
      <c r="H380" t="s">
        <v>104</v>
      </c>
      <c r="I380" t="s">
        <v>94</v>
      </c>
      <c r="J380" s="2">
        <v>6</v>
      </c>
      <c r="K380" s="3">
        <v>326.39999999999998</v>
      </c>
      <c r="L380" s="3">
        <v>135.01</v>
      </c>
      <c r="M380" s="4">
        <v>0</v>
      </c>
      <c r="N380" s="3">
        <f t="shared" si="25"/>
        <v>1958.4</v>
      </c>
      <c r="O380" s="3">
        <f t="shared" si="26"/>
        <v>1958.4</v>
      </c>
      <c r="P380" s="3">
        <f t="shared" si="27"/>
        <v>810.06</v>
      </c>
      <c r="Q380" s="3">
        <f t="shared" si="28"/>
        <v>1148.3399999999999</v>
      </c>
      <c r="R380" s="4">
        <f t="shared" si="29"/>
        <v>0.58640000000000003</v>
      </c>
      <c r="S380" s="2">
        <v>4</v>
      </c>
      <c r="T380" t="s">
        <v>46</v>
      </c>
      <c r="U380">
        <v>2</v>
      </c>
    </row>
    <row r="381" spans="1:21" x14ac:dyDescent="0.25">
      <c r="A381" s="1">
        <v>46206</v>
      </c>
      <c r="B381" t="s">
        <v>574</v>
      </c>
      <c r="C381" t="s">
        <v>271</v>
      </c>
      <c r="D381" t="s">
        <v>63</v>
      </c>
      <c r="E381" t="s">
        <v>35</v>
      </c>
      <c r="F381" t="s">
        <v>26</v>
      </c>
      <c r="G381" t="s">
        <v>27</v>
      </c>
      <c r="H381" t="s">
        <v>86</v>
      </c>
      <c r="I381" t="s">
        <v>65</v>
      </c>
      <c r="J381" s="2">
        <v>4</v>
      </c>
      <c r="K381" s="3">
        <v>1862.25</v>
      </c>
      <c r="L381" s="3">
        <v>1229.58</v>
      </c>
      <c r="M381" s="4">
        <v>0</v>
      </c>
      <c r="N381" s="3">
        <f t="shared" si="25"/>
        <v>7449</v>
      </c>
      <c r="O381" s="3">
        <f t="shared" si="26"/>
        <v>7449</v>
      </c>
      <c r="P381" s="3">
        <f t="shared" si="27"/>
        <v>4918.32</v>
      </c>
      <c r="Q381" s="3">
        <f t="shared" si="28"/>
        <v>2530.6799999999998</v>
      </c>
      <c r="R381" s="4">
        <f t="shared" si="29"/>
        <v>0.3397</v>
      </c>
      <c r="S381" s="2">
        <v>8</v>
      </c>
      <c r="T381" t="s">
        <v>40</v>
      </c>
    </row>
    <row r="382" spans="1:21" x14ac:dyDescent="0.25">
      <c r="A382" s="1">
        <v>46040</v>
      </c>
      <c r="B382" t="s">
        <v>575</v>
      </c>
      <c r="C382" t="s">
        <v>224</v>
      </c>
      <c r="D382" t="s">
        <v>113</v>
      </c>
      <c r="E382" t="s">
        <v>50</v>
      </c>
      <c r="F382" t="s">
        <v>26</v>
      </c>
      <c r="G382" t="s">
        <v>44</v>
      </c>
      <c r="H382" t="s">
        <v>73</v>
      </c>
      <c r="I382" t="s">
        <v>94</v>
      </c>
      <c r="J382" s="2">
        <v>2</v>
      </c>
      <c r="K382" s="3">
        <v>1661.56</v>
      </c>
      <c r="L382" s="3">
        <v>1082.8499999999999</v>
      </c>
      <c r="M382" s="4">
        <v>0</v>
      </c>
      <c r="N382" s="3">
        <f t="shared" si="25"/>
        <v>3323.12</v>
      </c>
      <c r="O382" s="3">
        <f t="shared" si="26"/>
        <v>3323.12</v>
      </c>
      <c r="P382" s="3">
        <f t="shared" si="27"/>
        <v>2165.6999999999998</v>
      </c>
      <c r="Q382" s="3">
        <f t="shared" si="28"/>
        <v>1157.42</v>
      </c>
      <c r="R382" s="4">
        <f t="shared" si="29"/>
        <v>0.3483</v>
      </c>
      <c r="S382" s="2">
        <v>4</v>
      </c>
      <c r="T382" t="s">
        <v>46</v>
      </c>
      <c r="U382">
        <v>2</v>
      </c>
    </row>
    <row r="383" spans="1:21" x14ac:dyDescent="0.25">
      <c r="A383" s="1">
        <v>46087</v>
      </c>
      <c r="B383" t="s">
        <v>576</v>
      </c>
      <c r="C383" t="s">
        <v>243</v>
      </c>
      <c r="D383" t="s">
        <v>71</v>
      </c>
      <c r="E383" t="s">
        <v>72</v>
      </c>
      <c r="F383" t="s">
        <v>36</v>
      </c>
      <c r="G383" t="s">
        <v>51</v>
      </c>
      <c r="H383" t="s">
        <v>59</v>
      </c>
      <c r="I383" t="s">
        <v>74</v>
      </c>
      <c r="J383" s="2">
        <v>5</v>
      </c>
      <c r="K383" s="3">
        <v>2088.7199999999998</v>
      </c>
      <c r="L383" s="3">
        <v>1431.2</v>
      </c>
      <c r="M383" s="4">
        <v>0</v>
      </c>
      <c r="N383" s="3">
        <f t="shared" si="25"/>
        <v>10443.6</v>
      </c>
      <c r="O383" s="3">
        <f t="shared" si="26"/>
        <v>10443.6</v>
      </c>
      <c r="P383" s="3">
        <f t="shared" si="27"/>
        <v>7156</v>
      </c>
      <c r="Q383" s="3">
        <f t="shared" si="28"/>
        <v>3287.6</v>
      </c>
      <c r="R383" s="4">
        <f t="shared" si="29"/>
        <v>0.31480000000000002</v>
      </c>
      <c r="S383" s="2">
        <v>8</v>
      </c>
      <c r="T383" t="s">
        <v>46</v>
      </c>
      <c r="U383">
        <v>5</v>
      </c>
    </row>
    <row r="384" spans="1:21" x14ac:dyDescent="0.25">
      <c r="A384" s="1">
        <v>46156</v>
      </c>
      <c r="B384" t="s">
        <v>577</v>
      </c>
      <c r="C384" t="s">
        <v>480</v>
      </c>
      <c r="D384" t="s">
        <v>24</v>
      </c>
      <c r="E384" t="s">
        <v>25</v>
      </c>
      <c r="F384" t="s">
        <v>26</v>
      </c>
      <c r="G384" t="s">
        <v>44</v>
      </c>
      <c r="H384" t="s">
        <v>45</v>
      </c>
      <c r="I384" t="s">
        <v>60</v>
      </c>
      <c r="J384" s="2">
        <v>5</v>
      </c>
      <c r="K384" s="3">
        <v>372.92</v>
      </c>
      <c r="L384" s="3">
        <v>227.58</v>
      </c>
      <c r="M384" s="4">
        <v>7.9799999999999996E-2</v>
      </c>
      <c r="N384" s="3">
        <f t="shared" si="25"/>
        <v>1864.6</v>
      </c>
      <c r="O384" s="3">
        <f t="shared" si="26"/>
        <v>1715.8</v>
      </c>
      <c r="P384" s="3">
        <f t="shared" si="27"/>
        <v>1137.9000000000001</v>
      </c>
      <c r="Q384" s="3">
        <f t="shared" si="28"/>
        <v>577.9</v>
      </c>
      <c r="R384" s="4">
        <f t="shared" si="29"/>
        <v>0.33679999999999999</v>
      </c>
      <c r="S384" s="2">
        <v>5</v>
      </c>
      <c r="T384" t="s">
        <v>46</v>
      </c>
      <c r="U384">
        <v>3</v>
      </c>
    </row>
    <row r="385" spans="1:22" x14ac:dyDescent="0.25">
      <c r="A385" s="1">
        <v>46103</v>
      </c>
      <c r="B385" t="s">
        <v>578</v>
      </c>
      <c r="C385" t="s">
        <v>82</v>
      </c>
      <c r="D385" t="s">
        <v>130</v>
      </c>
      <c r="E385" t="s">
        <v>72</v>
      </c>
      <c r="F385" t="s">
        <v>58</v>
      </c>
      <c r="G385" t="s">
        <v>37</v>
      </c>
      <c r="H385" t="s">
        <v>38</v>
      </c>
      <c r="I385" t="s">
        <v>39</v>
      </c>
      <c r="J385" s="2">
        <v>7</v>
      </c>
      <c r="K385" s="3">
        <v>423.76</v>
      </c>
      <c r="L385" s="3">
        <v>196.95</v>
      </c>
      <c r="M385" s="4">
        <v>3.5000000000000003E-2</v>
      </c>
      <c r="N385" s="3">
        <f t="shared" si="25"/>
        <v>2966.32</v>
      </c>
      <c r="O385" s="3">
        <f t="shared" si="26"/>
        <v>2862.5</v>
      </c>
      <c r="P385" s="3">
        <f t="shared" si="27"/>
        <v>1378.65</v>
      </c>
      <c r="Q385" s="3">
        <f t="shared" si="28"/>
        <v>1483.85</v>
      </c>
      <c r="R385" s="4">
        <f t="shared" si="29"/>
        <v>0.51839999999999997</v>
      </c>
      <c r="S385" s="2">
        <v>11</v>
      </c>
      <c r="T385" t="s">
        <v>30</v>
      </c>
      <c r="U385">
        <v>2</v>
      </c>
    </row>
    <row r="386" spans="1:22" x14ac:dyDescent="0.25">
      <c r="A386" s="1">
        <v>46158</v>
      </c>
      <c r="B386" t="s">
        <v>579</v>
      </c>
      <c r="C386" t="s">
        <v>23</v>
      </c>
      <c r="D386" t="s">
        <v>63</v>
      </c>
      <c r="E386" t="s">
        <v>35</v>
      </c>
      <c r="F386" t="s">
        <v>64</v>
      </c>
      <c r="G386" t="s">
        <v>27</v>
      </c>
      <c r="H386" t="s">
        <v>28</v>
      </c>
      <c r="I386" t="s">
        <v>92</v>
      </c>
      <c r="J386" s="2">
        <v>6</v>
      </c>
      <c r="K386" s="3">
        <v>791.6</v>
      </c>
      <c r="L386" s="3">
        <v>465.45</v>
      </c>
      <c r="M386" s="4">
        <v>1.44E-2</v>
      </c>
      <c r="N386" s="3">
        <f t="shared" ref="N386:N449" si="30">ROUND(J386*K386,2)</f>
        <v>4749.6000000000004</v>
      </c>
      <c r="O386" s="3">
        <f t="shared" ref="O386:O449" si="31">ROUND(N386*(1-M386),2)</f>
        <v>4681.21</v>
      </c>
      <c r="P386" s="3">
        <f t="shared" ref="P386:P449" si="32">ROUND(J386*L386,2)</f>
        <v>2792.7</v>
      </c>
      <c r="Q386" s="3">
        <f t="shared" ref="Q386:Q449" si="33">ROUND(O386-P386,2)</f>
        <v>1888.51</v>
      </c>
      <c r="R386" s="4">
        <f t="shared" ref="R386:R449" si="34">IF(O386=0,0,ROUND(Q386/O386,4))</f>
        <v>0.40339999999999998</v>
      </c>
      <c r="S386" s="2">
        <v>3</v>
      </c>
      <c r="T386" t="s">
        <v>46</v>
      </c>
      <c r="U386">
        <v>3</v>
      </c>
    </row>
    <row r="387" spans="1:22" x14ac:dyDescent="0.25">
      <c r="A387" s="1">
        <v>46078</v>
      </c>
      <c r="B387" t="s">
        <v>580</v>
      </c>
      <c r="C387" t="s">
        <v>159</v>
      </c>
      <c r="D387" t="s">
        <v>139</v>
      </c>
      <c r="E387" t="s">
        <v>72</v>
      </c>
      <c r="F387" t="s">
        <v>64</v>
      </c>
      <c r="G387" t="s">
        <v>27</v>
      </c>
      <c r="H387" t="s">
        <v>28</v>
      </c>
      <c r="I387" t="s">
        <v>53</v>
      </c>
      <c r="J387" s="2">
        <v>4</v>
      </c>
      <c r="K387" s="3">
        <v>794.41</v>
      </c>
      <c r="L387" s="3">
        <v>489.15</v>
      </c>
      <c r="M387" s="4">
        <v>0.05</v>
      </c>
      <c r="N387" s="3">
        <f t="shared" si="30"/>
        <v>3177.64</v>
      </c>
      <c r="O387" s="3">
        <f t="shared" si="31"/>
        <v>3018.76</v>
      </c>
      <c r="P387" s="3">
        <f t="shared" si="32"/>
        <v>1956.6</v>
      </c>
      <c r="Q387" s="3">
        <f t="shared" si="33"/>
        <v>1062.1600000000001</v>
      </c>
      <c r="R387" s="4">
        <f t="shared" si="34"/>
        <v>0.35189999999999999</v>
      </c>
      <c r="S387" s="2">
        <v>11</v>
      </c>
      <c r="T387" t="s">
        <v>30</v>
      </c>
      <c r="U387">
        <v>3</v>
      </c>
    </row>
    <row r="388" spans="1:22" x14ac:dyDescent="0.25">
      <c r="A388" s="1">
        <v>46139</v>
      </c>
      <c r="B388" t="s">
        <v>581</v>
      </c>
      <c r="C388" t="s">
        <v>144</v>
      </c>
      <c r="D388" t="s">
        <v>101</v>
      </c>
      <c r="E388" t="s">
        <v>35</v>
      </c>
      <c r="F388" t="s">
        <v>26</v>
      </c>
      <c r="G388" t="s">
        <v>37</v>
      </c>
      <c r="H388" t="s">
        <v>38</v>
      </c>
      <c r="I388" t="s">
        <v>29</v>
      </c>
      <c r="J388" s="2">
        <v>1</v>
      </c>
      <c r="K388" s="3">
        <v>434.51</v>
      </c>
      <c r="L388" s="3">
        <v>197.35</v>
      </c>
      <c r="M388" s="4">
        <v>1.8499999999999999E-2</v>
      </c>
      <c r="N388" s="3">
        <f t="shared" si="30"/>
        <v>434.51</v>
      </c>
      <c r="O388" s="3">
        <f t="shared" si="31"/>
        <v>426.47</v>
      </c>
      <c r="P388" s="3">
        <f t="shared" si="32"/>
        <v>197.35</v>
      </c>
      <c r="Q388" s="3">
        <f t="shared" si="33"/>
        <v>229.12</v>
      </c>
      <c r="R388" s="4">
        <f t="shared" si="34"/>
        <v>0.53720000000000001</v>
      </c>
      <c r="S388" s="2">
        <v>2</v>
      </c>
      <c r="T388" t="s">
        <v>46</v>
      </c>
      <c r="U388">
        <v>4</v>
      </c>
    </row>
    <row r="389" spans="1:22" x14ac:dyDescent="0.25">
      <c r="A389" s="1">
        <v>46083</v>
      </c>
      <c r="B389" t="s">
        <v>582</v>
      </c>
      <c r="C389" t="s">
        <v>112</v>
      </c>
      <c r="D389" t="s">
        <v>49</v>
      </c>
      <c r="E389" t="s">
        <v>50</v>
      </c>
      <c r="F389" t="s">
        <v>64</v>
      </c>
      <c r="G389" t="s">
        <v>27</v>
      </c>
      <c r="H389" t="s">
        <v>28</v>
      </c>
      <c r="I389" t="s">
        <v>65</v>
      </c>
      <c r="J389" s="2">
        <v>6</v>
      </c>
      <c r="K389" s="3">
        <v>758.72</v>
      </c>
      <c r="L389" s="3">
        <v>466.89</v>
      </c>
      <c r="M389" s="4">
        <v>2.92E-2</v>
      </c>
      <c r="N389" s="3">
        <f t="shared" si="30"/>
        <v>4552.32</v>
      </c>
      <c r="O389" s="3">
        <f t="shared" si="31"/>
        <v>4419.3900000000003</v>
      </c>
      <c r="P389" s="3">
        <f t="shared" si="32"/>
        <v>2801.34</v>
      </c>
      <c r="Q389" s="3">
        <f t="shared" si="33"/>
        <v>1618.05</v>
      </c>
      <c r="R389" s="4">
        <f t="shared" si="34"/>
        <v>0.36609999999999998</v>
      </c>
      <c r="S389" s="2">
        <v>5</v>
      </c>
      <c r="T389" t="s">
        <v>46</v>
      </c>
      <c r="U389">
        <v>3</v>
      </c>
    </row>
    <row r="390" spans="1:22" x14ac:dyDescent="0.25">
      <c r="A390" s="1">
        <v>46036</v>
      </c>
      <c r="B390" t="s">
        <v>583</v>
      </c>
      <c r="C390" t="s">
        <v>260</v>
      </c>
      <c r="D390" t="s">
        <v>101</v>
      </c>
      <c r="E390" t="s">
        <v>35</v>
      </c>
      <c r="F390" t="s">
        <v>64</v>
      </c>
      <c r="G390" t="s">
        <v>51</v>
      </c>
      <c r="H390" t="s">
        <v>59</v>
      </c>
      <c r="I390" t="s">
        <v>92</v>
      </c>
      <c r="J390" s="2">
        <v>1</v>
      </c>
      <c r="K390" s="3">
        <v>2259.36</v>
      </c>
      <c r="L390" s="3">
        <v>1368.23</v>
      </c>
      <c r="M390" s="4">
        <v>4.0000000000000001E-3</v>
      </c>
      <c r="N390" s="3">
        <f t="shared" si="30"/>
        <v>2259.36</v>
      </c>
      <c r="O390" s="3">
        <f t="shared" si="31"/>
        <v>2250.3200000000002</v>
      </c>
      <c r="P390" s="3">
        <f t="shared" si="32"/>
        <v>1368.23</v>
      </c>
      <c r="Q390" s="3">
        <f t="shared" si="33"/>
        <v>882.09</v>
      </c>
      <c r="R390" s="4">
        <f t="shared" si="34"/>
        <v>0.39200000000000002</v>
      </c>
      <c r="S390" s="2">
        <v>12</v>
      </c>
      <c r="T390" t="s">
        <v>30</v>
      </c>
      <c r="U390">
        <v>4</v>
      </c>
    </row>
    <row r="391" spans="1:22" x14ac:dyDescent="0.25">
      <c r="A391" s="1">
        <v>46123</v>
      </c>
      <c r="B391" t="s">
        <v>584</v>
      </c>
      <c r="C391" t="s">
        <v>172</v>
      </c>
      <c r="D391" t="s">
        <v>97</v>
      </c>
      <c r="E391" t="s">
        <v>57</v>
      </c>
      <c r="F391" t="s">
        <v>36</v>
      </c>
      <c r="G391" t="s">
        <v>37</v>
      </c>
      <c r="H391" t="s">
        <v>178</v>
      </c>
      <c r="I391" t="s">
        <v>60</v>
      </c>
      <c r="J391" s="2">
        <v>7</v>
      </c>
      <c r="K391" s="3">
        <v>520.47</v>
      </c>
      <c r="L391" s="3">
        <v>239.14</v>
      </c>
      <c r="M391" s="4">
        <v>5.74E-2</v>
      </c>
      <c r="N391" s="3">
        <f t="shared" si="30"/>
        <v>3643.29</v>
      </c>
      <c r="O391" s="3">
        <f t="shared" si="31"/>
        <v>3434.17</v>
      </c>
      <c r="P391" s="3">
        <f t="shared" si="32"/>
        <v>1673.98</v>
      </c>
      <c r="Q391" s="3">
        <f t="shared" si="33"/>
        <v>1760.19</v>
      </c>
      <c r="R391" s="4">
        <f t="shared" si="34"/>
        <v>0.51259999999999994</v>
      </c>
      <c r="S391" s="2">
        <v>13</v>
      </c>
      <c r="T391" t="s">
        <v>30</v>
      </c>
      <c r="U391">
        <v>4</v>
      </c>
    </row>
    <row r="392" spans="1:22" x14ac:dyDescent="0.25">
      <c r="A392" s="1">
        <v>46170</v>
      </c>
      <c r="B392" t="s">
        <v>585</v>
      </c>
      <c r="C392" t="s">
        <v>560</v>
      </c>
      <c r="D392" t="s">
        <v>56</v>
      </c>
      <c r="E392" t="s">
        <v>57</v>
      </c>
      <c r="F392" t="s">
        <v>36</v>
      </c>
      <c r="G392" t="s">
        <v>37</v>
      </c>
      <c r="H392" t="s">
        <v>38</v>
      </c>
      <c r="I392" t="s">
        <v>60</v>
      </c>
      <c r="J392" s="2">
        <v>2</v>
      </c>
      <c r="K392" s="3">
        <v>455.34</v>
      </c>
      <c r="L392" s="3">
        <v>197.31</v>
      </c>
      <c r="M392" s="4">
        <v>0.10100000000000001</v>
      </c>
      <c r="N392" s="3">
        <f t="shared" si="30"/>
        <v>910.68</v>
      </c>
      <c r="O392" s="3">
        <f t="shared" si="31"/>
        <v>818.7</v>
      </c>
      <c r="P392" s="3">
        <f t="shared" si="32"/>
        <v>394.62</v>
      </c>
      <c r="Q392" s="3">
        <f t="shared" si="33"/>
        <v>424.08</v>
      </c>
      <c r="R392" s="4">
        <f t="shared" si="34"/>
        <v>0.51800000000000002</v>
      </c>
      <c r="S392" s="2">
        <v>8</v>
      </c>
      <c r="T392" t="s">
        <v>46</v>
      </c>
      <c r="U392">
        <v>4</v>
      </c>
    </row>
    <row r="393" spans="1:22" x14ac:dyDescent="0.25">
      <c r="A393" s="1">
        <v>46115</v>
      </c>
      <c r="B393" t="s">
        <v>586</v>
      </c>
      <c r="C393" t="s">
        <v>381</v>
      </c>
      <c r="D393" t="s">
        <v>85</v>
      </c>
      <c r="E393" t="s">
        <v>50</v>
      </c>
      <c r="F393" t="s">
        <v>64</v>
      </c>
      <c r="G393" t="s">
        <v>44</v>
      </c>
      <c r="H393" t="s">
        <v>124</v>
      </c>
      <c r="I393" t="s">
        <v>29</v>
      </c>
      <c r="J393" s="2">
        <v>1</v>
      </c>
      <c r="K393" s="3">
        <v>5711.03</v>
      </c>
      <c r="L393" s="3">
        <v>4504.24</v>
      </c>
      <c r="M393" s="4">
        <v>9.35E-2</v>
      </c>
      <c r="N393" s="3">
        <f t="shared" si="30"/>
        <v>5711.03</v>
      </c>
      <c r="O393" s="3">
        <f t="shared" si="31"/>
        <v>5177.05</v>
      </c>
      <c r="P393" s="3">
        <f t="shared" si="32"/>
        <v>4504.24</v>
      </c>
      <c r="Q393" s="3">
        <f t="shared" si="33"/>
        <v>672.81</v>
      </c>
      <c r="R393" s="4">
        <f t="shared" si="34"/>
        <v>0.13</v>
      </c>
      <c r="S393" s="2">
        <v>8</v>
      </c>
      <c r="T393" t="s">
        <v>46</v>
      </c>
      <c r="U393">
        <v>3</v>
      </c>
    </row>
    <row r="394" spans="1:22" x14ac:dyDescent="0.25">
      <c r="A394" s="1">
        <v>46109</v>
      </c>
      <c r="B394" t="s">
        <v>587</v>
      </c>
      <c r="C394" t="s">
        <v>284</v>
      </c>
      <c r="D394" t="s">
        <v>126</v>
      </c>
      <c r="E394" t="s">
        <v>57</v>
      </c>
      <c r="F394" t="s">
        <v>58</v>
      </c>
      <c r="G394" t="s">
        <v>27</v>
      </c>
      <c r="H394" t="s">
        <v>28</v>
      </c>
      <c r="I394" t="s">
        <v>74</v>
      </c>
      <c r="J394" s="2">
        <v>6</v>
      </c>
      <c r="K394" s="3">
        <v>747.29</v>
      </c>
      <c r="L394" s="3">
        <v>442.36</v>
      </c>
      <c r="M394" s="4">
        <v>3.5000000000000003E-2</v>
      </c>
      <c r="N394" s="3">
        <f t="shared" si="30"/>
        <v>4483.74</v>
      </c>
      <c r="O394" s="3">
        <f t="shared" si="31"/>
        <v>4326.8100000000004</v>
      </c>
      <c r="P394" s="3">
        <f t="shared" si="32"/>
        <v>2654.16</v>
      </c>
      <c r="Q394" s="3">
        <f t="shared" si="33"/>
        <v>1672.65</v>
      </c>
      <c r="R394" s="4">
        <f t="shared" si="34"/>
        <v>0.3866</v>
      </c>
      <c r="S394" s="2">
        <v>3</v>
      </c>
      <c r="T394" t="s">
        <v>46</v>
      </c>
      <c r="U394">
        <v>5</v>
      </c>
    </row>
    <row r="395" spans="1:22" x14ac:dyDescent="0.25">
      <c r="A395" s="1">
        <v>46042</v>
      </c>
      <c r="B395" t="s">
        <v>588</v>
      </c>
      <c r="C395" t="s">
        <v>180</v>
      </c>
      <c r="D395" t="s">
        <v>71</v>
      </c>
      <c r="E395" t="s">
        <v>72</v>
      </c>
      <c r="F395" t="s">
        <v>64</v>
      </c>
      <c r="G395" t="s">
        <v>44</v>
      </c>
      <c r="H395" t="s">
        <v>124</v>
      </c>
      <c r="I395" t="s">
        <v>65</v>
      </c>
      <c r="J395" s="2">
        <v>7</v>
      </c>
      <c r="K395" s="3">
        <v>6054.5</v>
      </c>
      <c r="L395" s="3">
        <v>4365.6899999999996</v>
      </c>
      <c r="M395" s="4">
        <v>9.7900000000000001E-2</v>
      </c>
      <c r="N395" s="3">
        <f t="shared" si="30"/>
        <v>42381.5</v>
      </c>
      <c r="O395" s="3">
        <f t="shared" si="31"/>
        <v>38232.35</v>
      </c>
      <c r="P395" s="3">
        <f t="shared" si="32"/>
        <v>30559.83</v>
      </c>
      <c r="Q395" s="3">
        <f t="shared" si="33"/>
        <v>7672.52</v>
      </c>
      <c r="R395" s="4">
        <f t="shared" si="34"/>
        <v>0.20069999999999999</v>
      </c>
      <c r="S395" s="2">
        <v>13</v>
      </c>
      <c r="T395" t="s">
        <v>30</v>
      </c>
      <c r="U395">
        <v>3</v>
      </c>
    </row>
    <row r="396" spans="1:22" x14ac:dyDescent="0.25">
      <c r="A396" s="1">
        <v>46099</v>
      </c>
      <c r="B396" t="s">
        <v>589</v>
      </c>
      <c r="C396" t="s">
        <v>590</v>
      </c>
      <c r="D396" t="s">
        <v>43</v>
      </c>
      <c r="E396" t="s">
        <v>25</v>
      </c>
      <c r="F396" t="s">
        <v>58</v>
      </c>
      <c r="G396" t="s">
        <v>37</v>
      </c>
      <c r="H396" t="s">
        <v>178</v>
      </c>
      <c r="I396" t="s">
        <v>74</v>
      </c>
      <c r="J396" s="2">
        <v>6</v>
      </c>
      <c r="K396" s="3">
        <v>491.47</v>
      </c>
      <c r="L396" s="3">
        <v>258.51</v>
      </c>
      <c r="M396" s="4">
        <v>0.43090000000000001</v>
      </c>
      <c r="N396" s="3">
        <f t="shared" si="30"/>
        <v>2948.82</v>
      </c>
      <c r="O396" s="3">
        <f t="shared" si="31"/>
        <v>1678.17</v>
      </c>
      <c r="P396" s="3">
        <f t="shared" si="32"/>
        <v>1551.06</v>
      </c>
      <c r="Q396" s="3">
        <f t="shared" si="33"/>
        <v>127.11</v>
      </c>
      <c r="R396" s="4">
        <f t="shared" si="34"/>
        <v>7.5700000000000003E-2</v>
      </c>
      <c r="S396" s="2">
        <v>14</v>
      </c>
      <c r="T396" t="s">
        <v>30</v>
      </c>
      <c r="U396">
        <v>5</v>
      </c>
      <c r="V396" t="s">
        <v>31</v>
      </c>
    </row>
    <row r="397" spans="1:22" x14ac:dyDescent="0.25">
      <c r="A397" s="1">
        <v>46181</v>
      </c>
      <c r="B397" t="s">
        <v>591</v>
      </c>
      <c r="C397" t="s">
        <v>216</v>
      </c>
      <c r="D397" t="s">
        <v>101</v>
      </c>
      <c r="E397" t="s">
        <v>35</v>
      </c>
      <c r="F397" t="s">
        <v>26</v>
      </c>
      <c r="G397" t="s">
        <v>37</v>
      </c>
      <c r="H397" t="s">
        <v>38</v>
      </c>
      <c r="I397" t="s">
        <v>92</v>
      </c>
      <c r="J397" s="2">
        <v>6</v>
      </c>
      <c r="K397" s="3">
        <v>433.58</v>
      </c>
      <c r="L397" s="3">
        <v>198.02</v>
      </c>
      <c r="M397" s="4">
        <v>0</v>
      </c>
      <c r="N397" s="3">
        <f t="shared" si="30"/>
        <v>2601.48</v>
      </c>
      <c r="O397" s="3">
        <f t="shared" si="31"/>
        <v>2601.48</v>
      </c>
      <c r="P397" s="3">
        <f t="shared" si="32"/>
        <v>1188.1199999999999</v>
      </c>
      <c r="Q397" s="3">
        <f t="shared" si="33"/>
        <v>1413.36</v>
      </c>
      <c r="R397" s="4">
        <f t="shared" si="34"/>
        <v>0.54330000000000001</v>
      </c>
      <c r="S397" s="2">
        <v>7</v>
      </c>
      <c r="T397" t="s">
        <v>46</v>
      </c>
      <c r="U397">
        <v>5</v>
      </c>
    </row>
    <row r="398" spans="1:22" x14ac:dyDescent="0.25">
      <c r="A398" s="1">
        <v>46226</v>
      </c>
      <c r="B398" t="s">
        <v>592</v>
      </c>
      <c r="C398" t="s">
        <v>433</v>
      </c>
      <c r="D398" t="s">
        <v>34</v>
      </c>
      <c r="E398" t="s">
        <v>35</v>
      </c>
      <c r="F398" t="s">
        <v>64</v>
      </c>
      <c r="G398" t="s">
        <v>27</v>
      </c>
      <c r="H398" t="s">
        <v>86</v>
      </c>
      <c r="I398" t="s">
        <v>74</v>
      </c>
      <c r="J398" s="2">
        <v>2</v>
      </c>
      <c r="K398" s="3">
        <v>1883.26</v>
      </c>
      <c r="L398" s="3">
        <v>1172.1300000000001</v>
      </c>
      <c r="M398" s="4">
        <v>0</v>
      </c>
      <c r="N398" s="3">
        <f t="shared" si="30"/>
        <v>3766.52</v>
      </c>
      <c r="O398" s="3">
        <f t="shared" si="31"/>
        <v>3766.52</v>
      </c>
      <c r="P398" s="3">
        <f t="shared" si="32"/>
        <v>2344.2600000000002</v>
      </c>
      <c r="Q398" s="3">
        <f t="shared" si="33"/>
        <v>1422.26</v>
      </c>
      <c r="R398" s="4">
        <f t="shared" si="34"/>
        <v>0.37759999999999999</v>
      </c>
      <c r="S398" s="2">
        <v>7</v>
      </c>
      <c r="T398" t="s">
        <v>46</v>
      </c>
      <c r="U398">
        <v>5</v>
      </c>
    </row>
    <row r="399" spans="1:22" x14ac:dyDescent="0.25">
      <c r="A399" s="1">
        <v>46103</v>
      </c>
      <c r="B399" t="s">
        <v>593</v>
      </c>
      <c r="C399" t="s">
        <v>375</v>
      </c>
      <c r="D399" t="s">
        <v>101</v>
      </c>
      <c r="E399" t="s">
        <v>35</v>
      </c>
      <c r="F399" t="s">
        <v>36</v>
      </c>
      <c r="G399" t="s">
        <v>51</v>
      </c>
      <c r="H399" t="s">
        <v>52</v>
      </c>
      <c r="I399" t="s">
        <v>77</v>
      </c>
      <c r="J399" s="2">
        <v>8</v>
      </c>
      <c r="K399" s="3">
        <v>257.33999999999997</v>
      </c>
      <c r="L399" s="3">
        <v>121.72</v>
      </c>
      <c r="M399" s="4">
        <v>1.4999999999999999E-2</v>
      </c>
      <c r="N399" s="3">
        <f t="shared" si="30"/>
        <v>2058.7199999999998</v>
      </c>
      <c r="O399" s="3">
        <f t="shared" si="31"/>
        <v>2027.84</v>
      </c>
      <c r="P399" s="3">
        <f t="shared" si="32"/>
        <v>973.76</v>
      </c>
      <c r="Q399" s="3">
        <f t="shared" si="33"/>
        <v>1054.08</v>
      </c>
      <c r="R399" s="4">
        <f t="shared" si="34"/>
        <v>0.51980000000000004</v>
      </c>
      <c r="S399" s="2">
        <v>13</v>
      </c>
      <c r="T399" t="s">
        <v>30</v>
      </c>
      <c r="U399">
        <v>2</v>
      </c>
    </row>
    <row r="400" spans="1:22" x14ac:dyDescent="0.25">
      <c r="A400" s="1">
        <v>46152</v>
      </c>
      <c r="B400" t="s">
        <v>594</v>
      </c>
      <c r="C400" t="s">
        <v>42</v>
      </c>
      <c r="D400" t="s">
        <v>126</v>
      </c>
      <c r="E400" t="s">
        <v>57</v>
      </c>
      <c r="F400" t="s">
        <v>26</v>
      </c>
      <c r="G400" t="s">
        <v>51</v>
      </c>
      <c r="H400" t="s">
        <v>59</v>
      </c>
      <c r="I400" t="s">
        <v>87</v>
      </c>
      <c r="J400" s="2">
        <v>7</v>
      </c>
      <c r="K400" s="3">
        <v>2193.56</v>
      </c>
      <c r="L400" s="3">
        <v>1359.75</v>
      </c>
      <c r="M400" s="4">
        <v>0</v>
      </c>
      <c r="N400" s="3">
        <f t="shared" si="30"/>
        <v>15354.92</v>
      </c>
      <c r="O400" s="3">
        <f t="shared" si="31"/>
        <v>15354.92</v>
      </c>
      <c r="P400" s="3">
        <f t="shared" si="32"/>
        <v>9518.25</v>
      </c>
      <c r="Q400" s="3">
        <f t="shared" si="33"/>
        <v>5836.67</v>
      </c>
      <c r="R400" s="4">
        <f t="shared" si="34"/>
        <v>0.38009999999999999</v>
      </c>
      <c r="S400" s="2">
        <v>11</v>
      </c>
      <c r="T400" t="s">
        <v>30</v>
      </c>
      <c r="U400">
        <v>3</v>
      </c>
    </row>
    <row r="401" spans="1:21" x14ac:dyDescent="0.25">
      <c r="A401" s="1">
        <v>46145</v>
      </c>
      <c r="B401" t="s">
        <v>595</v>
      </c>
      <c r="C401" t="s">
        <v>590</v>
      </c>
      <c r="D401" t="s">
        <v>126</v>
      </c>
      <c r="E401" t="s">
        <v>57</v>
      </c>
      <c r="F401" t="s">
        <v>26</v>
      </c>
      <c r="G401" t="s">
        <v>37</v>
      </c>
      <c r="H401" t="s">
        <v>104</v>
      </c>
      <c r="I401" t="s">
        <v>94</v>
      </c>
      <c r="J401" s="2">
        <v>3</v>
      </c>
      <c r="K401" s="3">
        <v>324.43</v>
      </c>
      <c r="L401" s="3">
        <v>132.72999999999999</v>
      </c>
      <c r="M401" s="4">
        <v>0</v>
      </c>
      <c r="N401" s="3">
        <f t="shared" si="30"/>
        <v>973.29</v>
      </c>
      <c r="O401" s="3">
        <f t="shared" si="31"/>
        <v>973.29</v>
      </c>
      <c r="P401" s="3">
        <f t="shared" si="32"/>
        <v>398.19</v>
      </c>
      <c r="Q401" s="3">
        <f t="shared" si="33"/>
        <v>575.1</v>
      </c>
      <c r="R401" s="4">
        <f t="shared" si="34"/>
        <v>0.59089999999999998</v>
      </c>
      <c r="S401" s="2">
        <v>14</v>
      </c>
      <c r="T401" t="s">
        <v>30</v>
      </c>
      <c r="U401">
        <v>5</v>
      </c>
    </row>
    <row r="402" spans="1:21" x14ac:dyDescent="0.25">
      <c r="A402" s="1">
        <v>46182</v>
      </c>
      <c r="B402" t="s">
        <v>596</v>
      </c>
      <c r="C402" t="s">
        <v>240</v>
      </c>
      <c r="D402" t="s">
        <v>101</v>
      </c>
      <c r="E402" t="s">
        <v>35</v>
      </c>
      <c r="F402" t="s">
        <v>64</v>
      </c>
      <c r="G402" t="s">
        <v>44</v>
      </c>
      <c r="H402" t="s">
        <v>73</v>
      </c>
      <c r="I402" t="s">
        <v>39</v>
      </c>
      <c r="J402" s="2">
        <v>6</v>
      </c>
      <c r="K402" s="3">
        <v>1604.65</v>
      </c>
      <c r="L402" s="3">
        <v>1089.6300000000001</v>
      </c>
      <c r="M402" s="4">
        <v>4.2099999999999999E-2</v>
      </c>
      <c r="N402" s="3">
        <f t="shared" si="30"/>
        <v>9627.9</v>
      </c>
      <c r="O402" s="3">
        <f t="shared" si="31"/>
        <v>9222.57</v>
      </c>
      <c r="P402" s="3">
        <f t="shared" si="32"/>
        <v>6537.78</v>
      </c>
      <c r="Q402" s="3">
        <f t="shared" si="33"/>
        <v>2684.79</v>
      </c>
      <c r="R402" s="4">
        <f t="shared" si="34"/>
        <v>0.29110000000000003</v>
      </c>
      <c r="S402" s="2">
        <v>13</v>
      </c>
      <c r="T402" t="s">
        <v>30</v>
      </c>
      <c r="U402">
        <v>2</v>
      </c>
    </row>
    <row r="403" spans="1:21" x14ac:dyDescent="0.25">
      <c r="A403" s="1">
        <v>46043</v>
      </c>
      <c r="B403" t="s">
        <v>597</v>
      </c>
      <c r="C403" t="s">
        <v>590</v>
      </c>
      <c r="D403" t="s">
        <v>113</v>
      </c>
      <c r="E403" t="s">
        <v>50</v>
      </c>
      <c r="F403" t="s">
        <v>58</v>
      </c>
      <c r="G403" t="s">
        <v>44</v>
      </c>
      <c r="H403" t="s">
        <v>124</v>
      </c>
      <c r="I403" t="s">
        <v>39</v>
      </c>
      <c r="J403" s="2">
        <v>3</v>
      </c>
      <c r="K403" s="3">
        <v>6242.19</v>
      </c>
      <c r="L403" s="3">
        <v>4484.84</v>
      </c>
      <c r="M403" s="4">
        <v>4.7E-2</v>
      </c>
      <c r="N403" s="3">
        <f t="shared" si="30"/>
        <v>18726.57</v>
      </c>
      <c r="O403" s="3">
        <f t="shared" si="31"/>
        <v>17846.419999999998</v>
      </c>
      <c r="P403" s="3">
        <f t="shared" si="32"/>
        <v>13454.52</v>
      </c>
      <c r="Q403" s="3">
        <f t="shared" si="33"/>
        <v>4391.8999999999996</v>
      </c>
      <c r="R403" s="4">
        <f t="shared" si="34"/>
        <v>0.24610000000000001</v>
      </c>
      <c r="S403" s="2">
        <v>5</v>
      </c>
      <c r="T403" t="s">
        <v>46</v>
      </c>
      <c r="U403">
        <v>2</v>
      </c>
    </row>
    <row r="404" spans="1:21" x14ac:dyDescent="0.25">
      <c r="A404" s="1">
        <v>46172</v>
      </c>
      <c r="B404" t="s">
        <v>598</v>
      </c>
      <c r="C404" t="s">
        <v>218</v>
      </c>
      <c r="D404" t="s">
        <v>71</v>
      </c>
      <c r="E404" t="s">
        <v>72</v>
      </c>
      <c r="F404" t="s">
        <v>64</v>
      </c>
      <c r="G404" t="s">
        <v>27</v>
      </c>
      <c r="H404" t="s">
        <v>86</v>
      </c>
      <c r="I404" t="s">
        <v>53</v>
      </c>
      <c r="J404" s="2">
        <v>4</v>
      </c>
      <c r="K404" s="3">
        <v>1921.41</v>
      </c>
      <c r="L404" s="3">
        <v>1248.76</v>
      </c>
      <c r="M404" s="4">
        <v>0</v>
      </c>
      <c r="N404" s="3">
        <f t="shared" si="30"/>
        <v>7685.64</v>
      </c>
      <c r="O404" s="3">
        <f t="shared" si="31"/>
        <v>7685.64</v>
      </c>
      <c r="P404" s="3">
        <f t="shared" si="32"/>
        <v>4995.04</v>
      </c>
      <c r="Q404" s="3">
        <f t="shared" si="33"/>
        <v>2690.6</v>
      </c>
      <c r="R404" s="4">
        <f t="shared" si="34"/>
        <v>0.35010000000000002</v>
      </c>
      <c r="S404" s="2">
        <v>7</v>
      </c>
      <c r="T404" t="s">
        <v>46</v>
      </c>
      <c r="U404">
        <v>2</v>
      </c>
    </row>
    <row r="405" spans="1:21" x14ac:dyDescent="0.25">
      <c r="A405" s="1">
        <v>46205</v>
      </c>
      <c r="B405" t="s">
        <v>599</v>
      </c>
      <c r="C405" t="s">
        <v>96</v>
      </c>
      <c r="D405" t="s">
        <v>71</v>
      </c>
      <c r="E405" t="s">
        <v>72</v>
      </c>
      <c r="F405" t="s">
        <v>36</v>
      </c>
      <c r="G405" t="s">
        <v>37</v>
      </c>
      <c r="H405" t="s">
        <v>178</v>
      </c>
      <c r="I405" t="s">
        <v>77</v>
      </c>
      <c r="J405" s="2">
        <v>5</v>
      </c>
      <c r="K405" s="3">
        <v>527.07000000000005</v>
      </c>
      <c r="L405" s="3">
        <v>257.64</v>
      </c>
      <c r="M405" s="4">
        <v>6.93E-2</v>
      </c>
      <c r="N405" s="3">
        <f t="shared" si="30"/>
        <v>2635.35</v>
      </c>
      <c r="O405" s="3">
        <f t="shared" si="31"/>
        <v>2452.7199999999998</v>
      </c>
      <c r="P405" s="3">
        <f t="shared" si="32"/>
        <v>1288.2</v>
      </c>
      <c r="Q405" s="3">
        <f t="shared" si="33"/>
        <v>1164.52</v>
      </c>
      <c r="R405" s="4">
        <f t="shared" si="34"/>
        <v>0.4748</v>
      </c>
      <c r="S405" s="2">
        <v>8</v>
      </c>
      <c r="T405" t="s">
        <v>46</v>
      </c>
      <c r="U405">
        <v>2</v>
      </c>
    </row>
    <row r="406" spans="1:21" x14ac:dyDescent="0.25">
      <c r="A406" s="1">
        <v>46155</v>
      </c>
      <c r="B406" t="s">
        <v>600</v>
      </c>
      <c r="C406" t="s">
        <v>349</v>
      </c>
      <c r="D406" t="s">
        <v>101</v>
      </c>
      <c r="E406" t="s">
        <v>35</v>
      </c>
      <c r="F406" t="s">
        <v>36</v>
      </c>
      <c r="G406" t="s">
        <v>51</v>
      </c>
      <c r="H406" t="s">
        <v>59</v>
      </c>
      <c r="I406" t="s">
        <v>65</v>
      </c>
      <c r="J406" s="2">
        <v>8</v>
      </c>
      <c r="K406" s="3">
        <v>2123.4699999999998</v>
      </c>
      <c r="L406" s="3">
        <v>1389.9</v>
      </c>
      <c r="M406" s="4">
        <v>1.2E-2</v>
      </c>
      <c r="N406" s="3">
        <f t="shared" si="30"/>
        <v>16987.759999999998</v>
      </c>
      <c r="O406" s="3">
        <f t="shared" si="31"/>
        <v>16783.91</v>
      </c>
      <c r="P406" s="3">
        <f t="shared" si="32"/>
        <v>11119.2</v>
      </c>
      <c r="Q406" s="3">
        <f t="shared" si="33"/>
        <v>5664.71</v>
      </c>
      <c r="R406" s="4">
        <f t="shared" si="34"/>
        <v>0.33750000000000002</v>
      </c>
      <c r="S406" s="2">
        <v>3</v>
      </c>
      <c r="T406" t="s">
        <v>46</v>
      </c>
      <c r="U406">
        <v>2</v>
      </c>
    </row>
    <row r="407" spans="1:21" x14ac:dyDescent="0.25">
      <c r="A407" s="1">
        <v>46036</v>
      </c>
      <c r="B407" t="s">
        <v>601</v>
      </c>
      <c r="C407" t="s">
        <v>433</v>
      </c>
      <c r="D407" t="s">
        <v>63</v>
      </c>
      <c r="E407" t="s">
        <v>35</v>
      </c>
      <c r="F407" t="s">
        <v>58</v>
      </c>
      <c r="G407" t="s">
        <v>37</v>
      </c>
      <c r="H407" t="s">
        <v>178</v>
      </c>
      <c r="I407" t="s">
        <v>65</v>
      </c>
      <c r="J407" s="2">
        <v>1</v>
      </c>
      <c r="K407" s="3">
        <v>487.71</v>
      </c>
      <c r="L407" s="3">
        <v>239.02</v>
      </c>
      <c r="M407" s="4">
        <v>0.1195</v>
      </c>
      <c r="N407" s="3">
        <f t="shared" si="30"/>
        <v>487.71</v>
      </c>
      <c r="O407" s="3">
        <f t="shared" si="31"/>
        <v>429.43</v>
      </c>
      <c r="P407" s="3">
        <f t="shared" si="32"/>
        <v>239.02</v>
      </c>
      <c r="Q407" s="3">
        <f t="shared" si="33"/>
        <v>190.41</v>
      </c>
      <c r="R407" s="4">
        <f t="shared" si="34"/>
        <v>0.44340000000000002</v>
      </c>
      <c r="S407" s="2">
        <v>3</v>
      </c>
      <c r="T407" t="s">
        <v>46</v>
      </c>
      <c r="U407">
        <v>4</v>
      </c>
    </row>
    <row r="408" spans="1:21" x14ac:dyDescent="0.25">
      <c r="A408" s="1">
        <v>46057</v>
      </c>
      <c r="B408" t="s">
        <v>602</v>
      </c>
      <c r="C408" t="s">
        <v>520</v>
      </c>
      <c r="D408" t="s">
        <v>126</v>
      </c>
      <c r="E408" t="s">
        <v>57</v>
      </c>
      <c r="F408" t="s">
        <v>36</v>
      </c>
      <c r="G408" t="s">
        <v>37</v>
      </c>
      <c r="H408" t="s">
        <v>38</v>
      </c>
      <c r="I408" t="s">
        <v>29</v>
      </c>
      <c r="J408" s="2">
        <v>7</v>
      </c>
      <c r="K408" s="3">
        <v>447.14</v>
      </c>
      <c r="L408" s="3">
        <v>192.81</v>
      </c>
      <c r="M408" s="4">
        <v>0</v>
      </c>
      <c r="N408" s="3">
        <f t="shared" si="30"/>
        <v>3129.98</v>
      </c>
      <c r="O408" s="3">
        <f t="shared" si="31"/>
        <v>3129.98</v>
      </c>
      <c r="P408" s="3">
        <f t="shared" si="32"/>
        <v>1349.67</v>
      </c>
      <c r="Q408" s="3">
        <f t="shared" si="33"/>
        <v>1780.31</v>
      </c>
      <c r="R408" s="4">
        <f t="shared" si="34"/>
        <v>0.56879999999999997</v>
      </c>
      <c r="S408" s="2">
        <v>2</v>
      </c>
      <c r="T408" t="s">
        <v>46</v>
      </c>
      <c r="U408">
        <v>2</v>
      </c>
    </row>
    <row r="409" spans="1:21" x14ac:dyDescent="0.25">
      <c r="A409" s="1">
        <v>46180</v>
      </c>
      <c r="B409" t="s">
        <v>603</v>
      </c>
      <c r="C409" t="s">
        <v>386</v>
      </c>
      <c r="D409" t="s">
        <v>24</v>
      </c>
      <c r="E409" t="s">
        <v>25</v>
      </c>
      <c r="F409" t="s">
        <v>36</v>
      </c>
      <c r="G409" t="s">
        <v>37</v>
      </c>
      <c r="H409" t="s">
        <v>178</v>
      </c>
      <c r="I409" t="s">
        <v>29</v>
      </c>
      <c r="J409" s="2">
        <v>3</v>
      </c>
      <c r="K409" s="3">
        <v>480.33</v>
      </c>
      <c r="L409" s="3">
        <v>242.32</v>
      </c>
      <c r="M409" s="4">
        <v>0</v>
      </c>
      <c r="N409" s="3">
        <f t="shared" si="30"/>
        <v>1440.99</v>
      </c>
      <c r="O409" s="3">
        <f t="shared" si="31"/>
        <v>1440.99</v>
      </c>
      <c r="P409" s="3">
        <f t="shared" si="32"/>
        <v>726.96</v>
      </c>
      <c r="Q409" s="3">
        <f t="shared" si="33"/>
        <v>714.03</v>
      </c>
      <c r="R409" s="4">
        <f t="shared" si="34"/>
        <v>0.4955</v>
      </c>
      <c r="S409" s="2">
        <v>6</v>
      </c>
      <c r="T409" t="s">
        <v>46</v>
      </c>
      <c r="U409">
        <v>5</v>
      </c>
    </row>
    <row r="410" spans="1:21" x14ac:dyDescent="0.25">
      <c r="A410" s="1">
        <v>46110</v>
      </c>
      <c r="B410" t="s">
        <v>604</v>
      </c>
      <c r="C410" t="s">
        <v>294</v>
      </c>
      <c r="D410" t="s">
        <v>139</v>
      </c>
      <c r="E410" t="s">
        <v>72</v>
      </c>
      <c r="F410" t="s">
        <v>36</v>
      </c>
      <c r="G410" t="s">
        <v>51</v>
      </c>
      <c r="H410" t="s">
        <v>52</v>
      </c>
      <c r="I410" t="s">
        <v>29</v>
      </c>
      <c r="J410" s="2">
        <v>8</v>
      </c>
      <c r="K410" s="3">
        <v>245.1</v>
      </c>
      <c r="L410" s="3">
        <v>127.59</v>
      </c>
      <c r="M410" s="4">
        <v>2.4299999999999999E-2</v>
      </c>
      <c r="N410" s="3">
        <f t="shared" si="30"/>
        <v>1960.8</v>
      </c>
      <c r="O410" s="3">
        <f t="shared" si="31"/>
        <v>1913.15</v>
      </c>
      <c r="P410" s="3">
        <f t="shared" si="32"/>
        <v>1020.72</v>
      </c>
      <c r="Q410" s="3">
        <f t="shared" si="33"/>
        <v>892.43</v>
      </c>
      <c r="R410" s="4">
        <f t="shared" si="34"/>
        <v>0.46650000000000003</v>
      </c>
      <c r="S410" s="2">
        <v>2</v>
      </c>
      <c r="T410" t="s">
        <v>46</v>
      </c>
      <c r="U410">
        <v>2</v>
      </c>
    </row>
    <row r="411" spans="1:21" x14ac:dyDescent="0.25">
      <c r="A411" s="1">
        <v>46091</v>
      </c>
      <c r="B411" t="s">
        <v>605</v>
      </c>
      <c r="C411" t="s">
        <v>606</v>
      </c>
      <c r="D411" t="s">
        <v>101</v>
      </c>
      <c r="E411" t="s">
        <v>35</v>
      </c>
      <c r="F411" t="s">
        <v>36</v>
      </c>
      <c r="G411" t="s">
        <v>51</v>
      </c>
      <c r="H411" t="s">
        <v>59</v>
      </c>
      <c r="I411" t="s">
        <v>94</v>
      </c>
      <c r="J411" s="2">
        <v>7</v>
      </c>
      <c r="K411" s="3">
        <v>2108.98</v>
      </c>
      <c r="L411" s="3">
        <v>1386.57</v>
      </c>
      <c r="M411" s="4">
        <v>0</v>
      </c>
      <c r="N411" s="3">
        <f t="shared" si="30"/>
        <v>14762.86</v>
      </c>
      <c r="O411" s="3">
        <f t="shared" si="31"/>
        <v>14762.86</v>
      </c>
      <c r="P411" s="3">
        <f t="shared" si="32"/>
        <v>9705.99</v>
      </c>
      <c r="Q411" s="3">
        <f t="shared" si="33"/>
        <v>5056.87</v>
      </c>
      <c r="R411" s="4">
        <f t="shared" si="34"/>
        <v>0.34250000000000003</v>
      </c>
      <c r="S411" s="2">
        <v>10</v>
      </c>
      <c r="T411" t="s">
        <v>46</v>
      </c>
      <c r="U411">
        <v>3</v>
      </c>
    </row>
    <row r="412" spans="1:21" x14ac:dyDescent="0.25">
      <c r="A412" s="1">
        <v>46098</v>
      </c>
      <c r="B412" t="s">
        <v>607</v>
      </c>
      <c r="C412" t="s">
        <v>288</v>
      </c>
      <c r="D412" t="s">
        <v>113</v>
      </c>
      <c r="E412" t="s">
        <v>50</v>
      </c>
      <c r="F412" t="s">
        <v>58</v>
      </c>
      <c r="G412" t="s">
        <v>44</v>
      </c>
      <c r="H412" t="s">
        <v>124</v>
      </c>
      <c r="I412" t="s">
        <v>77</v>
      </c>
      <c r="J412" s="2">
        <v>8</v>
      </c>
      <c r="K412" s="3">
        <v>5791.6</v>
      </c>
      <c r="L412" s="3">
        <v>4198.49</v>
      </c>
      <c r="M412" s="4">
        <v>3.5000000000000003E-2</v>
      </c>
      <c r="N412" s="3">
        <f t="shared" si="30"/>
        <v>46332.800000000003</v>
      </c>
      <c r="O412" s="3">
        <f t="shared" si="31"/>
        <v>44711.15</v>
      </c>
      <c r="P412" s="3">
        <f t="shared" si="32"/>
        <v>33587.919999999998</v>
      </c>
      <c r="Q412" s="3">
        <f t="shared" si="33"/>
        <v>11123.23</v>
      </c>
      <c r="R412" s="4">
        <f t="shared" si="34"/>
        <v>0.24879999999999999</v>
      </c>
      <c r="S412" s="2">
        <v>9</v>
      </c>
      <c r="T412" t="s">
        <v>46</v>
      </c>
      <c r="U412">
        <v>4</v>
      </c>
    </row>
    <row r="413" spans="1:21" x14ac:dyDescent="0.25">
      <c r="A413" s="1">
        <v>46168</v>
      </c>
      <c r="B413" t="s">
        <v>608</v>
      </c>
      <c r="C413" t="s">
        <v>609</v>
      </c>
      <c r="D413" t="s">
        <v>49</v>
      </c>
      <c r="E413" t="s">
        <v>50</v>
      </c>
      <c r="F413" t="s">
        <v>26</v>
      </c>
      <c r="G413" t="s">
        <v>51</v>
      </c>
      <c r="H413" t="s">
        <v>59</v>
      </c>
      <c r="I413" t="s">
        <v>77</v>
      </c>
      <c r="J413" s="2">
        <v>3</v>
      </c>
      <c r="K413" s="3">
        <v>2159.9</v>
      </c>
      <c r="L413" s="3">
        <v>1418.47</v>
      </c>
      <c r="M413" s="4">
        <v>7.3599999999999999E-2</v>
      </c>
      <c r="N413" s="3">
        <f t="shared" si="30"/>
        <v>6479.7</v>
      </c>
      <c r="O413" s="3">
        <f t="shared" si="31"/>
        <v>6002.79</v>
      </c>
      <c r="P413" s="3">
        <f t="shared" si="32"/>
        <v>4255.41</v>
      </c>
      <c r="Q413" s="3">
        <f t="shared" si="33"/>
        <v>1747.38</v>
      </c>
      <c r="R413" s="4">
        <f t="shared" si="34"/>
        <v>0.29110000000000003</v>
      </c>
      <c r="S413" s="2">
        <v>7</v>
      </c>
      <c r="T413" t="s">
        <v>46</v>
      </c>
      <c r="U413">
        <v>2</v>
      </c>
    </row>
    <row r="414" spans="1:21" x14ac:dyDescent="0.25">
      <c r="A414" s="1">
        <v>46121</v>
      </c>
      <c r="B414" t="s">
        <v>610</v>
      </c>
      <c r="C414" t="s">
        <v>67</v>
      </c>
      <c r="D414" t="s">
        <v>34</v>
      </c>
      <c r="E414" t="s">
        <v>35</v>
      </c>
      <c r="F414" t="s">
        <v>64</v>
      </c>
      <c r="G414" t="s">
        <v>51</v>
      </c>
      <c r="H414" t="s">
        <v>116</v>
      </c>
      <c r="I414" t="s">
        <v>74</v>
      </c>
      <c r="J414" s="2">
        <v>3</v>
      </c>
      <c r="K414" s="3">
        <v>2921.15</v>
      </c>
      <c r="L414" s="3">
        <v>1740.75</v>
      </c>
      <c r="M414" s="4">
        <v>0</v>
      </c>
      <c r="N414" s="3">
        <f t="shared" si="30"/>
        <v>8763.4500000000007</v>
      </c>
      <c r="O414" s="3">
        <f t="shared" si="31"/>
        <v>8763.4500000000007</v>
      </c>
      <c r="P414" s="3">
        <f t="shared" si="32"/>
        <v>5222.25</v>
      </c>
      <c r="Q414" s="3">
        <f t="shared" si="33"/>
        <v>3541.2</v>
      </c>
      <c r="R414" s="4">
        <f t="shared" si="34"/>
        <v>0.40410000000000001</v>
      </c>
      <c r="S414" s="2">
        <v>11</v>
      </c>
      <c r="T414" t="s">
        <v>30</v>
      </c>
      <c r="U414">
        <v>2</v>
      </c>
    </row>
    <row r="415" spans="1:21" x14ac:dyDescent="0.25">
      <c r="A415" s="1">
        <v>46119</v>
      </c>
      <c r="B415" t="s">
        <v>611</v>
      </c>
      <c r="C415" t="s">
        <v>123</v>
      </c>
      <c r="D415" t="s">
        <v>63</v>
      </c>
      <c r="E415" t="s">
        <v>35</v>
      </c>
      <c r="F415" t="s">
        <v>36</v>
      </c>
      <c r="G415" t="s">
        <v>51</v>
      </c>
      <c r="H415" t="s">
        <v>52</v>
      </c>
      <c r="I415" t="s">
        <v>39</v>
      </c>
      <c r="J415" s="2">
        <v>1</v>
      </c>
      <c r="K415" s="3">
        <v>250.82</v>
      </c>
      <c r="L415" s="3">
        <v>123.7</v>
      </c>
      <c r="M415" s="4">
        <v>0</v>
      </c>
      <c r="N415" s="3">
        <f t="shared" si="30"/>
        <v>250.82</v>
      </c>
      <c r="O415" s="3">
        <f t="shared" si="31"/>
        <v>250.82</v>
      </c>
      <c r="P415" s="3">
        <f t="shared" si="32"/>
        <v>123.7</v>
      </c>
      <c r="Q415" s="3">
        <f t="shared" si="33"/>
        <v>127.12</v>
      </c>
      <c r="R415" s="4">
        <f t="shared" si="34"/>
        <v>0.50680000000000003</v>
      </c>
      <c r="S415" s="2">
        <v>6</v>
      </c>
      <c r="T415" t="s">
        <v>46</v>
      </c>
      <c r="U415">
        <v>5</v>
      </c>
    </row>
    <row r="416" spans="1:21" x14ac:dyDescent="0.25">
      <c r="A416" s="1">
        <v>46214</v>
      </c>
      <c r="B416" t="s">
        <v>612</v>
      </c>
      <c r="C416" t="s">
        <v>198</v>
      </c>
      <c r="D416" t="s">
        <v>139</v>
      </c>
      <c r="E416" t="s">
        <v>72</v>
      </c>
      <c r="F416" t="s">
        <v>36</v>
      </c>
      <c r="G416" t="s">
        <v>27</v>
      </c>
      <c r="H416" t="s">
        <v>68</v>
      </c>
      <c r="I416" t="s">
        <v>87</v>
      </c>
      <c r="J416" s="2">
        <v>2</v>
      </c>
      <c r="K416" s="3">
        <v>1321.27</v>
      </c>
      <c r="L416" s="3">
        <v>828.06</v>
      </c>
      <c r="M416" s="4">
        <v>0</v>
      </c>
      <c r="N416" s="3">
        <f t="shared" si="30"/>
        <v>2642.54</v>
      </c>
      <c r="O416" s="3">
        <f t="shared" si="31"/>
        <v>2642.54</v>
      </c>
      <c r="P416" s="3">
        <f t="shared" si="32"/>
        <v>1656.12</v>
      </c>
      <c r="Q416" s="3">
        <f t="shared" si="33"/>
        <v>986.42</v>
      </c>
      <c r="R416" s="4">
        <f t="shared" si="34"/>
        <v>0.37330000000000002</v>
      </c>
      <c r="S416" s="2">
        <v>8</v>
      </c>
      <c r="T416" t="s">
        <v>46</v>
      </c>
      <c r="U416">
        <v>3</v>
      </c>
    </row>
    <row r="417" spans="1:22" x14ac:dyDescent="0.25">
      <c r="A417" s="1">
        <v>46049</v>
      </c>
      <c r="B417" t="s">
        <v>613</v>
      </c>
      <c r="C417" t="s">
        <v>240</v>
      </c>
      <c r="D417" t="s">
        <v>101</v>
      </c>
      <c r="E417" t="s">
        <v>35</v>
      </c>
      <c r="F417" t="s">
        <v>26</v>
      </c>
      <c r="G417" t="s">
        <v>37</v>
      </c>
      <c r="H417" t="s">
        <v>38</v>
      </c>
      <c r="I417" t="s">
        <v>94</v>
      </c>
      <c r="J417" s="2">
        <v>2</v>
      </c>
      <c r="K417" s="3">
        <v>444.28</v>
      </c>
      <c r="L417" s="3">
        <v>188.94</v>
      </c>
      <c r="M417" s="4">
        <v>0</v>
      </c>
      <c r="N417" s="3">
        <f t="shared" si="30"/>
        <v>888.56</v>
      </c>
      <c r="O417" s="3">
        <f t="shared" si="31"/>
        <v>888.56</v>
      </c>
      <c r="P417" s="3">
        <f t="shared" si="32"/>
        <v>377.88</v>
      </c>
      <c r="Q417" s="3">
        <f t="shared" si="33"/>
        <v>510.68</v>
      </c>
      <c r="R417" s="4">
        <f t="shared" si="34"/>
        <v>0.57469999999999999</v>
      </c>
      <c r="S417" s="2">
        <v>11</v>
      </c>
      <c r="T417" t="s">
        <v>30</v>
      </c>
      <c r="U417">
        <v>5</v>
      </c>
    </row>
    <row r="418" spans="1:22" x14ac:dyDescent="0.25">
      <c r="A418" s="1">
        <v>46073</v>
      </c>
      <c r="B418" t="s">
        <v>614</v>
      </c>
      <c r="C418" t="s">
        <v>381</v>
      </c>
      <c r="D418" t="s">
        <v>43</v>
      </c>
      <c r="E418" t="s">
        <v>25</v>
      </c>
      <c r="F418" t="s">
        <v>58</v>
      </c>
      <c r="G418" t="s">
        <v>44</v>
      </c>
      <c r="H418" t="s">
        <v>45</v>
      </c>
      <c r="I418" t="s">
        <v>29</v>
      </c>
      <c r="J418" s="2">
        <v>2</v>
      </c>
      <c r="K418" s="3">
        <v>387.74</v>
      </c>
      <c r="L418" s="3">
        <v>214.66</v>
      </c>
      <c r="M418" s="4">
        <v>3.5000000000000003E-2</v>
      </c>
      <c r="N418" s="3">
        <f t="shared" si="30"/>
        <v>775.48</v>
      </c>
      <c r="O418" s="3">
        <f t="shared" si="31"/>
        <v>748.34</v>
      </c>
      <c r="P418" s="3">
        <f t="shared" si="32"/>
        <v>429.32</v>
      </c>
      <c r="Q418" s="3">
        <f t="shared" si="33"/>
        <v>319.02</v>
      </c>
      <c r="R418" s="4">
        <f t="shared" si="34"/>
        <v>0.42630000000000001</v>
      </c>
      <c r="S418" s="2">
        <v>14</v>
      </c>
      <c r="T418" t="s">
        <v>30</v>
      </c>
      <c r="U418">
        <v>2</v>
      </c>
    </row>
    <row r="419" spans="1:22" x14ac:dyDescent="0.25">
      <c r="A419" s="1">
        <v>46126</v>
      </c>
      <c r="B419" t="s">
        <v>615</v>
      </c>
      <c r="C419" t="s">
        <v>235</v>
      </c>
      <c r="D419" t="s">
        <v>139</v>
      </c>
      <c r="E419" t="s">
        <v>72</v>
      </c>
      <c r="F419" t="s">
        <v>36</v>
      </c>
      <c r="G419" t="s">
        <v>51</v>
      </c>
      <c r="H419" t="s">
        <v>116</v>
      </c>
      <c r="I419" t="s">
        <v>92</v>
      </c>
      <c r="J419" s="2">
        <v>3</v>
      </c>
      <c r="K419" s="3">
        <v>2842.8</v>
      </c>
      <c r="L419" s="3">
        <v>1875.92</v>
      </c>
      <c r="M419" s="4">
        <v>0</v>
      </c>
      <c r="N419" s="3">
        <f t="shared" si="30"/>
        <v>8528.4</v>
      </c>
      <c r="O419" s="3">
        <f t="shared" si="31"/>
        <v>8528.4</v>
      </c>
      <c r="P419" s="3">
        <f t="shared" si="32"/>
        <v>5627.76</v>
      </c>
      <c r="Q419" s="3">
        <f t="shared" si="33"/>
        <v>2900.64</v>
      </c>
      <c r="R419" s="4">
        <f t="shared" si="34"/>
        <v>0.34010000000000001</v>
      </c>
      <c r="S419" s="2">
        <v>6</v>
      </c>
      <c r="T419" t="s">
        <v>46</v>
      </c>
      <c r="U419">
        <v>4</v>
      </c>
    </row>
    <row r="420" spans="1:22" x14ac:dyDescent="0.25">
      <c r="A420" s="1">
        <v>46074</v>
      </c>
      <c r="B420" t="s">
        <v>616</v>
      </c>
      <c r="C420" t="s">
        <v>358</v>
      </c>
      <c r="D420" t="s">
        <v>43</v>
      </c>
      <c r="E420" t="s">
        <v>25</v>
      </c>
      <c r="F420" t="s">
        <v>36</v>
      </c>
      <c r="G420" t="s">
        <v>44</v>
      </c>
      <c r="H420" t="s">
        <v>124</v>
      </c>
      <c r="I420" t="s">
        <v>77</v>
      </c>
      <c r="J420" s="2">
        <v>8</v>
      </c>
      <c r="K420" s="3">
        <v>5620.46</v>
      </c>
      <c r="L420" s="3">
        <v>4433.76</v>
      </c>
      <c r="M420" s="4">
        <v>6.2199999999999998E-2</v>
      </c>
      <c r="N420" s="3">
        <f t="shared" si="30"/>
        <v>44963.68</v>
      </c>
      <c r="O420" s="3">
        <f t="shared" si="31"/>
        <v>42166.94</v>
      </c>
      <c r="P420" s="3">
        <f t="shared" si="32"/>
        <v>35470.080000000002</v>
      </c>
      <c r="Q420" s="3">
        <f t="shared" si="33"/>
        <v>6696.86</v>
      </c>
      <c r="R420" s="4">
        <f t="shared" si="34"/>
        <v>0.1588</v>
      </c>
      <c r="S420" s="2">
        <v>14</v>
      </c>
      <c r="T420" t="s">
        <v>30</v>
      </c>
      <c r="U420">
        <v>4</v>
      </c>
    </row>
    <row r="421" spans="1:22" x14ac:dyDescent="0.25">
      <c r="A421" s="1">
        <v>46214</v>
      </c>
      <c r="B421" t="s">
        <v>617</v>
      </c>
      <c r="C421" t="s">
        <v>418</v>
      </c>
      <c r="D421" t="s">
        <v>139</v>
      </c>
      <c r="E421" t="s">
        <v>72</v>
      </c>
      <c r="F421" t="s">
        <v>26</v>
      </c>
      <c r="G421" t="s">
        <v>51</v>
      </c>
      <c r="H421" t="s">
        <v>59</v>
      </c>
      <c r="I421" t="s">
        <v>39</v>
      </c>
      <c r="J421" s="2">
        <v>3</v>
      </c>
      <c r="K421" s="3">
        <v>2240.4699999999998</v>
      </c>
      <c r="L421" s="3">
        <v>1403.19</v>
      </c>
      <c r="M421" s="4">
        <v>4.19E-2</v>
      </c>
      <c r="N421" s="3">
        <f t="shared" si="30"/>
        <v>6721.41</v>
      </c>
      <c r="O421" s="3">
        <f t="shared" si="31"/>
        <v>6439.78</v>
      </c>
      <c r="P421" s="3">
        <f t="shared" si="32"/>
        <v>4209.57</v>
      </c>
      <c r="Q421" s="3">
        <f t="shared" si="33"/>
        <v>2230.21</v>
      </c>
      <c r="R421" s="4">
        <f t="shared" si="34"/>
        <v>0.3463</v>
      </c>
      <c r="S421" s="2">
        <v>12</v>
      </c>
      <c r="T421" t="s">
        <v>30</v>
      </c>
      <c r="U421">
        <v>4</v>
      </c>
    </row>
    <row r="422" spans="1:22" x14ac:dyDescent="0.25">
      <c r="A422" s="1">
        <v>46187</v>
      </c>
      <c r="B422" t="s">
        <v>618</v>
      </c>
      <c r="C422" t="s">
        <v>190</v>
      </c>
      <c r="D422" t="s">
        <v>126</v>
      </c>
      <c r="E422" t="s">
        <v>57</v>
      </c>
      <c r="F422" t="s">
        <v>26</v>
      </c>
      <c r="G422" t="s">
        <v>44</v>
      </c>
      <c r="H422" t="s">
        <v>45</v>
      </c>
      <c r="I422" t="s">
        <v>29</v>
      </c>
      <c r="J422" s="2">
        <v>8</v>
      </c>
      <c r="K422" s="3">
        <v>405.79</v>
      </c>
      <c r="L422" s="3">
        <v>203.39</v>
      </c>
      <c r="M422" s="4">
        <v>0</v>
      </c>
      <c r="N422" s="3">
        <f t="shared" si="30"/>
        <v>3246.32</v>
      </c>
      <c r="O422" s="3">
        <f t="shared" si="31"/>
        <v>3246.32</v>
      </c>
      <c r="P422" s="3">
        <f t="shared" si="32"/>
        <v>1627.12</v>
      </c>
      <c r="Q422" s="3">
        <f t="shared" si="33"/>
        <v>1619.2</v>
      </c>
      <c r="R422" s="4">
        <f t="shared" si="34"/>
        <v>0.49880000000000002</v>
      </c>
      <c r="S422" s="2">
        <v>7</v>
      </c>
      <c r="T422" t="s">
        <v>46</v>
      </c>
      <c r="U422">
        <v>2</v>
      </c>
    </row>
    <row r="423" spans="1:22" x14ac:dyDescent="0.25">
      <c r="A423" s="1">
        <v>46190</v>
      </c>
      <c r="B423" t="s">
        <v>619</v>
      </c>
      <c r="C423" t="s">
        <v>204</v>
      </c>
      <c r="D423" t="s">
        <v>43</v>
      </c>
      <c r="E423" t="s">
        <v>25</v>
      </c>
      <c r="F423" t="s">
        <v>36</v>
      </c>
      <c r="G423" t="s">
        <v>37</v>
      </c>
      <c r="H423" t="s">
        <v>104</v>
      </c>
      <c r="I423" t="s">
        <v>29</v>
      </c>
      <c r="J423" s="2">
        <v>1</v>
      </c>
      <c r="K423" s="3">
        <v>310.08999999999997</v>
      </c>
      <c r="L423" s="3">
        <v>143.19</v>
      </c>
      <c r="M423" s="4">
        <v>0</v>
      </c>
      <c r="N423" s="3">
        <f t="shared" si="30"/>
        <v>310.08999999999997</v>
      </c>
      <c r="O423" s="3">
        <f t="shared" si="31"/>
        <v>310.08999999999997</v>
      </c>
      <c r="P423" s="3">
        <f t="shared" si="32"/>
        <v>143.19</v>
      </c>
      <c r="Q423" s="3">
        <f t="shared" si="33"/>
        <v>166.9</v>
      </c>
      <c r="R423" s="4">
        <f t="shared" si="34"/>
        <v>0.53820000000000001</v>
      </c>
      <c r="S423" s="2">
        <v>5</v>
      </c>
      <c r="T423" t="s">
        <v>46</v>
      </c>
      <c r="U423">
        <v>5</v>
      </c>
    </row>
    <row r="424" spans="1:22" x14ac:dyDescent="0.25">
      <c r="A424" s="1">
        <v>46198</v>
      </c>
      <c r="B424" t="s">
        <v>620</v>
      </c>
      <c r="C424" t="s">
        <v>204</v>
      </c>
      <c r="D424" t="s">
        <v>56</v>
      </c>
      <c r="E424" t="s">
        <v>57</v>
      </c>
      <c r="F424" t="s">
        <v>64</v>
      </c>
      <c r="G424" t="s">
        <v>37</v>
      </c>
      <c r="H424" t="s">
        <v>38</v>
      </c>
      <c r="I424" t="s">
        <v>94</v>
      </c>
      <c r="J424" s="2">
        <v>8</v>
      </c>
      <c r="K424" s="3">
        <v>411.04</v>
      </c>
      <c r="L424" s="3">
        <v>459.03</v>
      </c>
      <c r="M424" s="4">
        <v>7.9000000000000008E-3</v>
      </c>
      <c r="N424" s="3">
        <f t="shared" si="30"/>
        <v>3288.32</v>
      </c>
      <c r="O424" s="3">
        <f t="shared" si="31"/>
        <v>3262.34</v>
      </c>
      <c r="P424" s="3">
        <f t="shared" si="32"/>
        <v>3672.24</v>
      </c>
      <c r="Q424" s="3">
        <f t="shared" si="33"/>
        <v>-409.9</v>
      </c>
      <c r="R424" s="4">
        <f t="shared" si="34"/>
        <v>-0.12559999999999999</v>
      </c>
      <c r="S424" s="2">
        <v>14</v>
      </c>
      <c r="T424" t="s">
        <v>30</v>
      </c>
      <c r="U424">
        <v>5</v>
      </c>
      <c r="V424" t="s">
        <v>388</v>
      </c>
    </row>
    <row r="425" spans="1:22" x14ac:dyDescent="0.25">
      <c r="A425" s="1">
        <v>46138</v>
      </c>
      <c r="B425" t="s">
        <v>621</v>
      </c>
      <c r="C425" t="s">
        <v>525</v>
      </c>
      <c r="D425" t="s">
        <v>97</v>
      </c>
      <c r="E425" t="s">
        <v>57</v>
      </c>
      <c r="F425" t="s">
        <v>64</v>
      </c>
      <c r="G425" t="s">
        <v>44</v>
      </c>
      <c r="H425" t="s">
        <v>124</v>
      </c>
      <c r="I425" t="s">
        <v>53</v>
      </c>
      <c r="J425" s="2">
        <v>8</v>
      </c>
      <c r="K425" s="3">
        <v>5892.29</v>
      </c>
      <c r="L425" s="3">
        <v>4380.59</v>
      </c>
      <c r="M425" s="4">
        <v>3.3799999999999997E-2</v>
      </c>
      <c r="N425" s="3">
        <f t="shared" si="30"/>
        <v>47138.32</v>
      </c>
      <c r="O425" s="3">
        <f t="shared" si="31"/>
        <v>45545.04</v>
      </c>
      <c r="P425" s="3">
        <f t="shared" si="32"/>
        <v>35044.720000000001</v>
      </c>
      <c r="Q425" s="3">
        <f t="shared" si="33"/>
        <v>10500.32</v>
      </c>
      <c r="R425" s="4">
        <f t="shared" si="34"/>
        <v>0.23050000000000001</v>
      </c>
      <c r="S425" s="2">
        <v>12</v>
      </c>
      <c r="T425" t="s">
        <v>30</v>
      </c>
      <c r="U425">
        <v>2</v>
      </c>
    </row>
    <row r="426" spans="1:22" x14ac:dyDescent="0.25">
      <c r="A426" s="1">
        <v>46218</v>
      </c>
      <c r="B426" t="s">
        <v>622</v>
      </c>
      <c r="C426" t="s">
        <v>317</v>
      </c>
      <c r="D426" t="s">
        <v>34</v>
      </c>
      <c r="E426" t="s">
        <v>35</v>
      </c>
      <c r="F426" t="s">
        <v>26</v>
      </c>
      <c r="G426" t="s">
        <v>51</v>
      </c>
      <c r="H426" t="s">
        <v>52</v>
      </c>
      <c r="I426" t="s">
        <v>77</v>
      </c>
      <c r="J426" s="2">
        <v>2</v>
      </c>
      <c r="K426" s="3">
        <v>258.41000000000003</v>
      </c>
      <c r="L426" s="3">
        <v>120.57</v>
      </c>
      <c r="M426" s="4">
        <v>5.5199999999999999E-2</v>
      </c>
      <c r="N426" s="3">
        <f t="shared" si="30"/>
        <v>516.82000000000005</v>
      </c>
      <c r="O426" s="3">
        <f t="shared" si="31"/>
        <v>488.29</v>
      </c>
      <c r="P426" s="3">
        <f t="shared" si="32"/>
        <v>241.14</v>
      </c>
      <c r="Q426" s="3">
        <f t="shared" si="33"/>
        <v>247.15</v>
      </c>
      <c r="R426" s="4">
        <f t="shared" si="34"/>
        <v>0.50619999999999998</v>
      </c>
      <c r="S426" s="2">
        <v>12</v>
      </c>
      <c r="T426" t="s">
        <v>30</v>
      </c>
      <c r="U426">
        <v>3</v>
      </c>
    </row>
    <row r="427" spans="1:22" x14ac:dyDescent="0.25">
      <c r="A427" s="1">
        <v>46123</v>
      </c>
      <c r="B427" t="s">
        <v>623</v>
      </c>
      <c r="C427" t="s">
        <v>23</v>
      </c>
      <c r="D427" t="s">
        <v>130</v>
      </c>
      <c r="E427" t="s">
        <v>72</v>
      </c>
      <c r="F427" t="s">
        <v>26</v>
      </c>
      <c r="G427" t="s">
        <v>51</v>
      </c>
      <c r="H427" t="s">
        <v>52</v>
      </c>
      <c r="I427" t="s">
        <v>77</v>
      </c>
      <c r="J427" s="2">
        <v>5</v>
      </c>
      <c r="K427" s="3">
        <v>246.3</v>
      </c>
      <c r="L427" s="3">
        <v>127.99</v>
      </c>
      <c r="M427" s="4">
        <v>6.5199999999999994E-2</v>
      </c>
      <c r="N427" s="3">
        <f t="shared" si="30"/>
        <v>1231.5</v>
      </c>
      <c r="O427" s="3">
        <f t="shared" si="31"/>
        <v>1151.21</v>
      </c>
      <c r="P427" s="3">
        <f t="shared" si="32"/>
        <v>639.95000000000005</v>
      </c>
      <c r="Q427" s="3">
        <f t="shared" si="33"/>
        <v>511.26</v>
      </c>
      <c r="R427" s="4">
        <f t="shared" si="34"/>
        <v>0.44409999999999999</v>
      </c>
      <c r="S427" s="2">
        <v>9</v>
      </c>
      <c r="T427" t="s">
        <v>46</v>
      </c>
      <c r="U427">
        <v>3</v>
      </c>
    </row>
    <row r="428" spans="1:22" x14ac:dyDescent="0.25">
      <c r="A428" s="1">
        <v>46053</v>
      </c>
      <c r="B428" t="s">
        <v>624</v>
      </c>
      <c r="C428" t="s">
        <v>331</v>
      </c>
      <c r="D428" t="s">
        <v>139</v>
      </c>
      <c r="E428" t="s">
        <v>72</v>
      </c>
      <c r="F428" t="s">
        <v>64</v>
      </c>
      <c r="G428" t="s">
        <v>37</v>
      </c>
      <c r="H428" t="s">
        <v>38</v>
      </c>
      <c r="I428" t="s">
        <v>53</v>
      </c>
      <c r="J428" s="2">
        <v>3</v>
      </c>
      <c r="K428" s="3">
        <v>432.01</v>
      </c>
      <c r="L428" s="3">
        <v>203.46</v>
      </c>
      <c r="M428" s="4">
        <v>0</v>
      </c>
      <c r="N428" s="3">
        <f t="shared" si="30"/>
        <v>1296.03</v>
      </c>
      <c r="O428" s="3">
        <f t="shared" si="31"/>
        <v>1296.03</v>
      </c>
      <c r="P428" s="3">
        <f t="shared" si="32"/>
        <v>610.38</v>
      </c>
      <c r="Q428" s="3">
        <f t="shared" si="33"/>
        <v>685.65</v>
      </c>
      <c r="R428" s="4">
        <f t="shared" si="34"/>
        <v>0.52900000000000003</v>
      </c>
      <c r="S428" s="2">
        <v>7</v>
      </c>
      <c r="T428" t="s">
        <v>46</v>
      </c>
      <c r="U428">
        <v>3</v>
      </c>
    </row>
    <row r="429" spans="1:22" x14ac:dyDescent="0.25">
      <c r="A429" s="1">
        <v>46128</v>
      </c>
      <c r="B429" t="s">
        <v>625</v>
      </c>
      <c r="C429" t="s">
        <v>206</v>
      </c>
      <c r="D429" t="s">
        <v>121</v>
      </c>
      <c r="E429" t="s">
        <v>72</v>
      </c>
      <c r="F429" t="s">
        <v>64</v>
      </c>
      <c r="G429" t="s">
        <v>51</v>
      </c>
      <c r="H429" t="s">
        <v>59</v>
      </c>
      <c r="I429" t="s">
        <v>87</v>
      </c>
      <c r="J429" s="2">
        <v>6</v>
      </c>
      <c r="K429" s="3">
        <v>2266.73</v>
      </c>
      <c r="L429" s="3">
        <v>1414.19</v>
      </c>
      <c r="M429" s="4">
        <v>0.104</v>
      </c>
      <c r="N429" s="3">
        <f t="shared" si="30"/>
        <v>13600.38</v>
      </c>
      <c r="O429" s="3">
        <f t="shared" si="31"/>
        <v>12185.94</v>
      </c>
      <c r="P429" s="3">
        <f t="shared" si="32"/>
        <v>8485.14</v>
      </c>
      <c r="Q429" s="3">
        <f t="shared" si="33"/>
        <v>3700.8</v>
      </c>
      <c r="R429" s="4">
        <f t="shared" si="34"/>
        <v>0.30370000000000003</v>
      </c>
      <c r="S429" s="2">
        <v>14</v>
      </c>
      <c r="T429" t="s">
        <v>30</v>
      </c>
      <c r="U429">
        <v>2</v>
      </c>
    </row>
    <row r="430" spans="1:22" x14ac:dyDescent="0.25">
      <c r="A430" s="1">
        <v>46106</v>
      </c>
      <c r="B430" t="s">
        <v>626</v>
      </c>
      <c r="C430" t="s">
        <v>590</v>
      </c>
      <c r="D430" t="s">
        <v>101</v>
      </c>
      <c r="E430" t="s">
        <v>35</v>
      </c>
      <c r="F430" t="s">
        <v>36</v>
      </c>
      <c r="G430" t="s">
        <v>37</v>
      </c>
      <c r="H430" t="s">
        <v>38</v>
      </c>
      <c r="I430" t="s">
        <v>77</v>
      </c>
      <c r="J430" s="2">
        <v>6</v>
      </c>
      <c r="K430" s="3">
        <v>453.39</v>
      </c>
      <c r="L430" s="3">
        <v>195.37</v>
      </c>
      <c r="M430" s="4">
        <v>0</v>
      </c>
      <c r="N430" s="3">
        <f t="shared" si="30"/>
        <v>2720.34</v>
      </c>
      <c r="O430" s="3">
        <f t="shared" si="31"/>
        <v>2720.34</v>
      </c>
      <c r="P430" s="3">
        <f t="shared" si="32"/>
        <v>1172.22</v>
      </c>
      <c r="Q430" s="3">
        <f t="shared" si="33"/>
        <v>1548.12</v>
      </c>
      <c r="R430" s="4">
        <f t="shared" si="34"/>
        <v>0.56910000000000005</v>
      </c>
      <c r="S430" s="2">
        <v>10</v>
      </c>
      <c r="T430" t="s">
        <v>46</v>
      </c>
      <c r="U430">
        <v>2</v>
      </c>
    </row>
    <row r="431" spans="1:22" x14ac:dyDescent="0.25">
      <c r="A431" s="1">
        <v>46207</v>
      </c>
      <c r="B431" t="s">
        <v>627</v>
      </c>
      <c r="C431" t="s">
        <v>476</v>
      </c>
      <c r="D431" t="s">
        <v>43</v>
      </c>
      <c r="E431" t="s">
        <v>25</v>
      </c>
      <c r="F431" t="s">
        <v>58</v>
      </c>
      <c r="G431" t="s">
        <v>27</v>
      </c>
      <c r="H431" t="s">
        <v>28</v>
      </c>
      <c r="I431" t="s">
        <v>65</v>
      </c>
      <c r="J431" s="2">
        <v>6</v>
      </c>
      <c r="K431" s="3">
        <v>796.77</v>
      </c>
      <c r="L431" s="3">
        <v>453.62</v>
      </c>
      <c r="M431" s="4">
        <v>0.15770000000000001</v>
      </c>
      <c r="N431" s="3">
        <f t="shared" si="30"/>
        <v>4780.62</v>
      </c>
      <c r="O431" s="3">
        <f t="shared" si="31"/>
        <v>4026.72</v>
      </c>
      <c r="P431" s="3">
        <f t="shared" si="32"/>
        <v>2721.72</v>
      </c>
      <c r="Q431" s="3">
        <f t="shared" si="33"/>
        <v>1305</v>
      </c>
      <c r="R431" s="4">
        <f t="shared" si="34"/>
        <v>0.3241</v>
      </c>
      <c r="S431" s="2">
        <v>13</v>
      </c>
      <c r="T431" t="s">
        <v>30</v>
      </c>
      <c r="U431">
        <v>4</v>
      </c>
    </row>
    <row r="432" spans="1:22" x14ac:dyDescent="0.25">
      <c r="A432" s="1">
        <v>46154</v>
      </c>
      <c r="B432" t="s">
        <v>628</v>
      </c>
      <c r="C432" t="s">
        <v>91</v>
      </c>
      <c r="D432" t="s">
        <v>63</v>
      </c>
      <c r="E432" t="s">
        <v>35</v>
      </c>
      <c r="F432" t="s">
        <v>58</v>
      </c>
      <c r="G432" t="s">
        <v>51</v>
      </c>
      <c r="H432" t="s">
        <v>59</v>
      </c>
      <c r="I432" t="s">
        <v>39</v>
      </c>
      <c r="J432" s="2">
        <v>4</v>
      </c>
      <c r="K432" s="3">
        <v>2063</v>
      </c>
      <c r="L432" s="3">
        <v>1384.81</v>
      </c>
      <c r="M432" s="4">
        <v>3.5000000000000003E-2</v>
      </c>
      <c r="N432" s="3">
        <f t="shared" si="30"/>
        <v>8252</v>
      </c>
      <c r="O432" s="3">
        <f t="shared" si="31"/>
        <v>7963.18</v>
      </c>
      <c r="P432" s="3">
        <f t="shared" si="32"/>
        <v>5539.24</v>
      </c>
      <c r="Q432" s="3">
        <f t="shared" si="33"/>
        <v>2423.94</v>
      </c>
      <c r="R432" s="4">
        <f t="shared" si="34"/>
        <v>0.3044</v>
      </c>
      <c r="S432" s="2">
        <v>7</v>
      </c>
      <c r="T432" t="s">
        <v>46</v>
      </c>
      <c r="U432">
        <v>4</v>
      </c>
    </row>
    <row r="433" spans="1:22" x14ac:dyDescent="0.25">
      <c r="A433" s="1">
        <v>46161</v>
      </c>
      <c r="B433" t="s">
        <v>629</v>
      </c>
      <c r="C433" t="s">
        <v>198</v>
      </c>
      <c r="D433" t="s">
        <v>97</v>
      </c>
      <c r="E433" t="s">
        <v>57</v>
      </c>
      <c r="F433" t="s">
        <v>26</v>
      </c>
      <c r="G433" t="s">
        <v>27</v>
      </c>
      <c r="H433" t="s">
        <v>86</v>
      </c>
      <c r="I433" t="s">
        <v>65</v>
      </c>
      <c r="J433" s="2">
        <v>2</v>
      </c>
      <c r="K433" s="3">
        <v>1865.22</v>
      </c>
      <c r="L433" s="3">
        <v>1225.6300000000001</v>
      </c>
      <c r="M433" s="4">
        <v>0.1021</v>
      </c>
      <c r="N433" s="3">
        <f t="shared" si="30"/>
        <v>3730.44</v>
      </c>
      <c r="O433" s="3">
        <f t="shared" si="31"/>
        <v>3349.56</v>
      </c>
      <c r="P433" s="3">
        <f t="shared" si="32"/>
        <v>2451.2600000000002</v>
      </c>
      <c r="Q433" s="3">
        <f t="shared" si="33"/>
        <v>898.3</v>
      </c>
      <c r="R433" s="4">
        <f t="shared" si="34"/>
        <v>0.26819999999999999</v>
      </c>
      <c r="S433" s="2">
        <v>6</v>
      </c>
      <c r="T433" t="s">
        <v>46</v>
      </c>
      <c r="U433">
        <v>4</v>
      </c>
    </row>
    <row r="434" spans="1:22" x14ac:dyDescent="0.25">
      <c r="A434" s="1">
        <v>46153</v>
      </c>
      <c r="B434" t="s">
        <v>630</v>
      </c>
      <c r="C434" t="s">
        <v>294</v>
      </c>
      <c r="D434" t="s">
        <v>85</v>
      </c>
      <c r="E434" t="s">
        <v>50</v>
      </c>
      <c r="F434" t="s">
        <v>58</v>
      </c>
      <c r="G434" t="s">
        <v>37</v>
      </c>
      <c r="H434" t="s">
        <v>178</v>
      </c>
      <c r="I434" t="s">
        <v>92</v>
      </c>
      <c r="J434" s="2">
        <v>8</v>
      </c>
      <c r="K434" s="3">
        <v>480.93</v>
      </c>
      <c r="L434" s="3">
        <v>233.87</v>
      </c>
      <c r="M434" s="4">
        <v>3.5000000000000003E-2</v>
      </c>
      <c r="N434" s="3">
        <f t="shared" si="30"/>
        <v>3847.44</v>
      </c>
      <c r="O434" s="3">
        <f t="shared" si="31"/>
        <v>3712.78</v>
      </c>
      <c r="P434" s="3">
        <f t="shared" si="32"/>
        <v>1870.96</v>
      </c>
      <c r="Q434" s="3">
        <f t="shared" si="33"/>
        <v>1841.82</v>
      </c>
      <c r="R434" s="4">
        <f t="shared" si="34"/>
        <v>0.49609999999999999</v>
      </c>
      <c r="S434" s="2">
        <v>2</v>
      </c>
      <c r="T434" t="s">
        <v>46</v>
      </c>
      <c r="U434">
        <v>4</v>
      </c>
    </row>
    <row r="435" spans="1:22" x14ac:dyDescent="0.25">
      <c r="A435" s="1">
        <v>46050</v>
      </c>
      <c r="B435" t="s">
        <v>631</v>
      </c>
      <c r="C435" t="s">
        <v>247</v>
      </c>
      <c r="D435" t="s">
        <v>101</v>
      </c>
      <c r="E435" t="s">
        <v>35</v>
      </c>
      <c r="F435" t="s">
        <v>26</v>
      </c>
      <c r="G435" t="s">
        <v>27</v>
      </c>
      <c r="H435" t="s">
        <v>28</v>
      </c>
      <c r="I435" t="s">
        <v>94</v>
      </c>
      <c r="J435" s="2">
        <v>4</v>
      </c>
      <c r="K435" s="3">
        <v>775.91</v>
      </c>
      <c r="L435" s="3">
        <v>457.22</v>
      </c>
      <c r="M435" s="4">
        <v>4.9200000000000001E-2</v>
      </c>
      <c r="N435" s="3">
        <f t="shared" si="30"/>
        <v>3103.64</v>
      </c>
      <c r="O435" s="3">
        <f t="shared" si="31"/>
        <v>2950.94</v>
      </c>
      <c r="P435" s="3">
        <f t="shared" si="32"/>
        <v>1828.88</v>
      </c>
      <c r="Q435" s="3">
        <f t="shared" si="33"/>
        <v>1122.06</v>
      </c>
      <c r="R435" s="4">
        <f t="shared" si="34"/>
        <v>0.38019999999999998</v>
      </c>
      <c r="S435" s="2">
        <v>4</v>
      </c>
      <c r="T435" t="s">
        <v>46</v>
      </c>
      <c r="U435">
        <v>3</v>
      </c>
    </row>
    <row r="436" spans="1:22" x14ac:dyDescent="0.25">
      <c r="A436" s="1">
        <v>46198</v>
      </c>
      <c r="B436" t="s">
        <v>632</v>
      </c>
      <c r="C436" t="s">
        <v>76</v>
      </c>
      <c r="D436" t="s">
        <v>24</v>
      </c>
      <c r="E436" t="s">
        <v>25</v>
      </c>
      <c r="F436" t="s">
        <v>36</v>
      </c>
      <c r="G436" t="s">
        <v>44</v>
      </c>
      <c r="H436" t="s">
        <v>124</v>
      </c>
      <c r="I436" t="s">
        <v>94</v>
      </c>
      <c r="J436" s="2">
        <v>6</v>
      </c>
      <c r="K436" s="3">
        <v>5929.46</v>
      </c>
      <c r="L436" s="3">
        <v>4461.07</v>
      </c>
      <c r="M436" s="4">
        <v>0</v>
      </c>
      <c r="N436" s="3">
        <f t="shared" si="30"/>
        <v>35576.76</v>
      </c>
      <c r="O436" s="3">
        <f t="shared" si="31"/>
        <v>35576.76</v>
      </c>
      <c r="P436" s="3">
        <f t="shared" si="32"/>
        <v>26766.42</v>
      </c>
      <c r="Q436" s="3">
        <f t="shared" si="33"/>
        <v>8810.34</v>
      </c>
      <c r="R436" s="4">
        <f t="shared" si="34"/>
        <v>0.24759999999999999</v>
      </c>
      <c r="S436" s="2">
        <v>5</v>
      </c>
      <c r="T436" t="s">
        <v>46</v>
      </c>
      <c r="U436">
        <v>4</v>
      </c>
    </row>
    <row r="437" spans="1:22" x14ac:dyDescent="0.25">
      <c r="A437" s="1">
        <v>46186</v>
      </c>
      <c r="B437" t="s">
        <v>633</v>
      </c>
      <c r="C437" t="s">
        <v>370</v>
      </c>
      <c r="D437" t="s">
        <v>49</v>
      </c>
      <c r="E437" t="s">
        <v>50</v>
      </c>
      <c r="F437" t="s">
        <v>26</v>
      </c>
      <c r="G437" t="s">
        <v>37</v>
      </c>
      <c r="H437" t="s">
        <v>38</v>
      </c>
      <c r="I437" t="s">
        <v>94</v>
      </c>
      <c r="J437" s="2">
        <v>4</v>
      </c>
      <c r="K437" s="3">
        <v>437.94</v>
      </c>
      <c r="L437" s="3">
        <v>186.46</v>
      </c>
      <c r="M437" s="4">
        <v>7.8100000000000003E-2</v>
      </c>
      <c r="N437" s="3">
        <f t="shared" si="30"/>
        <v>1751.76</v>
      </c>
      <c r="O437" s="3">
        <f t="shared" si="31"/>
        <v>1614.95</v>
      </c>
      <c r="P437" s="3">
        <f t="shared" si="32"/>
        <v>745.84</v>
      </c>
      <c r="Q437" s="3">
        <f t="shared" si="33"/>
        <v>869.11</v>
      </c>
      <c r="R437" s="4">
        <f t="shared" si="34"/>
        <v>0.53820000000000001</v>
      </c>
      <c r="S437" s="2">
        <v>3</v>
      </c>
      <c r="T437" t="s">
        <v>46</v>
      </c>
      <c r="U437">
        <v>3</v>
      </c>
    </row>
    <row r="438" spans="1:22" x14ac:dyDescent="0.25">
      <c r="A438" s="1">
        <v>46209</v>
      </c>
      <c r="B438" t="s">
        <v>634</v>
      </c>
      <c r="C438" t="s">
        <v>100</v>
      </c>
      <c r="D438" t="s">
        <v>130</v>
      </c>
      <c r="E438" t="s">
        <v>72</v>
      </c>
      <c r="F438" t="s">
        <v>36</v>
      </c>
      <c r="G438" t="s">
        <v>27</v>
      </c>
      <c r="H438" t="s">
        <v>68</v>
      </c>
      <c r="I438" t="s">
        <v>87</v>
      </c>
      <c r="J438" s="2">
        <v>8</v>
      </c>
      <c r="K438" s="3">
        <v>1233.3599999999999</v>
      </c>
      <c r="L438" s="3">
        <v>799.51</v>
      </c>
      <c r="M438" s="4">
        <v>7.4200000000000002E-2</v>
      </c>
      <c r="N438" s="3">
        <f t="shared" si="30"/>
        <v>9866.8799999999992</v>
      </c>
      <c r="O438" s="3">
        <f t="shared" si="31"/>
        <v>9134.76</v>
      </c>
      <c r="P438" s="3">
        <f t="shared" si="32"/>
        <v>6396.08</v>
      </c>
      <c r="Q438" s="3">
        <f t="shared" si="33"/>
        <v>2738.68</v>
      </c>
      <c r="R438" s="4">
        <f t="shared" si="34"/>
        <v>0.29980000000000001</v>
      </c>
      <c r="S438" s="2">
        <v>12</v>
      </c>
      <c r="T438" t="s">
        <v>30</v>
      </c>
      <c r="U438">
        <v>2</v>
      </c>
    </row>
    <row r="439" spans="1:22" x14ac:dyDescent="0.25">
      <c r="A439" s="1">
        <v>46087</v>
      </c>
      <c r="B439" t="s">
        <v>635</v>
      </c>
      <c r="C439" t="s">
        <v>224</v>
      </c>
      <c r="D439" t="s">
        <v>113</v>
      </c>
      <c r="E439" t="s">
        <v>50</v>
      </c>
      <c r="F439" t="s">
        <v>26</v>
      </c>
      <c r="G439" t="s">
        <v>51</v>
      </c>
      <c r="H439" t="s">
        <v>52</v>
      </c>
      <c r="I439" t="s">
        <v>29</v>
      </c>
      <c r="J439" s="2">
        <v>5</v>
      </c>
      <c r="K439" s="3">
        <v>269.54000000000002</v>
      </c>
      <c r="L439" s="3">
        <v>120.9</v>
      </c>
      <c r="M439" s="4">
        <v>8.3199999999999996E-2</v>
      </c>
      <c r="N439" s="3">
        <f t="shared" si="30"/>
        <v>1347.7</v>
      </c>
      <c r="O439" s="3">
        <f t="shared" si="31"/>
        <v>1235.57</v>
      </c>
      <c r="P439" s="3">
        <f t="shared" si="32"/>
        <v>604.5</v>
      </c>
      <c r="Q439" s="3">
        <f t="shared" si="33"/>
        <v>631.07000000000005</v>
      </c>
      <c r="R439" s="4">
        <f t="shared" si="34"/>
        <v>0.51080000000000003</v>
      </c>
      <c r="S439" s="2">
        <v>7</v>
      </c>
      <c r="T439" t="s">
        <v>46</v>
      </c>
      <c r="U439">
        <v>2</v>
      </c>
    </row>
    <row r="440" spans="1:22" x14ac:dyDescent="0.25">
      <c r="A440" s="1">
        <v>46079</v>
      </c>
      <c r="B440" t="s">
        <v>636</v>
      </c>
      <c r="C440" t="s">
        <v>317</v>
      </c>
      <c r="D440" t="s">
        <v>49</v>
      </c>
      <c r="E440" t="s">
        <v>50</v>
      </c>
      <c r="F440" t="s">
        <v>58</v>
      </c>
      <c r="G440" t="s">
        <v>51</v>
      </c>
      <c r="H440" t="s">
        <v>116</v>
      </c>
      <c r="I440" t="s">
        <v>77</v>
      </c>
      <c r="J440" s="2">
        <v>2</v>
      </c>
      <c r="K440" s="3">
        <v>2880.43</v>
      </c>
      <c r="L440" s="3">
        <v>1895.49</v>
      </c>
      <c r="M440" s="4">
        <v>8.4699999999999998E-2</v>
      </c>
      <c r="N440" s="3">
        <f t="shared" si="30"/>
        <v>5760.86</v>
      </c>
      <c r="O440" s="3">
        <f t="shared" si="31"/>
        <v>5272.92</v>
      </c>
      <c r="P440" s="3">
        <f t="shared" si="32"/>
        <v>3790.98</v>
      </c>
      <c r="Q440" s="3">
        <f t="shared" si="33"/>
        <v>1481.94</v>
      </c>
      <c r="R440" s="4">
        <f t="shared" si="34"/>
        <v>0.28100000000000003</v>
      </c>
      <c r="S440" s="2">
        <v>19</v>
      </c>
      <c r="T440" t="s">
        <v>30</v>
      </c>
      <c r="U440">
        <v>2</v>
      </c>
      <c r="V440" t="s">
        <v>208</v>
      </c>
    </row>
    <row r="441" spans="1:22" x14ac:dyDescent="0.25">
      <c r="A441" s="1">
        <v>46048</v>
      </c>
      <c r="B441" t="s">
        <v>637</v>
      </c>
      <c r="C441" t="s">
        <v>136</v>
      </c>
      <c r="D441" t="s">
        <v>24</v>
      </c>
      <c r="E441" t="s">
        <v>25</v>
      </c>
      <c r="F441" t="s">
        <v>36</v>
      </c>
      <c r="G441" t="s">
        <v>44</v>
      </c>
      <c r="H441" t="s">
        <v>124</v>
      </c>
      <c r="I441" t="s">
        <v>65</v>
      </c>
      <c r="J441" s="2">
        <v>1</v>
      </c>
      <c r="K441" s="3">
        <v>6025.92</v>
      </c>
      <c r="L441" s="3">
        <v>4509.75</v>
      </c>
      <c r="M441" s="4">
        <v>2.64E-2</v>
      </c>
      <c r="N441" s="3">
        <f t="shared" si="30"/>
        <v>6025.92</v>
      </c>
      <c r="O441" s="3">
        <f t="shared" si="31"/>
        <v>5866.84</v>
      </c>
      <c r="P441" s="3">
        <f t="shared" si="32"/>
        <v>4509.75</v>
      </c>
      <c r="Q441" s="3">
        <f t="shared" si="33"/>
        <v>1357.09</v>
      </c>
      <c r="R441" s="4">
        <f t="shared" si="34"/>
        <v>0.23130000000000001</v>
      </c>
      <c r="S441" s="2">
        <v>7</v>
      </c>
      <c r="T441" t="s">
        <v>46</v>
      </c>
      <c r="U441">
        <v>5</v>
      </c>
    </row>
    <row r="442" spans="1:22" x14ac:dyDescent="0.25">
      <c r="A442" s="1">
        <v>46053</v>
      </c>
      <c r="B442" t="s">
        <v>638</v>
      </c>
      <c r="C442" t="s">
        <v>89</v>
      </c>
      <c r="D442" t="s">
        <v>207</v>
      </c>
      <c r="E442" t="s">
        <v>35</v>
      </c>
      <c r="F442" t="s">
        <v>36</v>
      </c>
      <c r="G442" t="s">
        <v>44</v>
      </c>
      <c r="H442" t="s">
        <v>45</v>
      </c>
      <c r="I442" t="s">
        <v>74</v>
      </c>
      <c r="J442" s="2">
        <v>6</v>
      </c>
      <c r="K442" s="3">
        <v>410.69</v>
      </c>
      <c r="L442" s="3">
        <v>215.53</v>
      </c>
      <c r="M442" s="4">
        <v>0</v>
      </c>
      <c r="N442" s="3">
        <f t="shared" si="30"/>
        <v>2464.14</v>
      </c>
      <c r="O442" s="3">
        <f t="shared" si="31"/>
        <v>2464.14</v>
      </c>
      <c r="P442" s="3">
        <f t="shared" si="32"/>
        <v>1293.18</v>
      </c>
      <c r="Q442" s="3">
        <f t="shared" si="33"/>
        <v>1170.96</v>
      </c>
      <c r="R442" s="4">
        <f t="shared" si="34"/>
        <v>0.47520000000000001</v>
      </c>
      <c r="S442" s="2">
        <v>8</v>
      </c>
      <c r="T442" t="s">
        <v>46</v>
      </c>
      <c r="U442">
        <v>3</v>
      </c>
    </row>
    <row r="443" spans="1:22" x14ac:dyDescent="0.25">
      <c r="A443" s="1">
        <v>46197</v>
      </c>
      <c r="B443" t="s">
        <v>355</v>
      </c>
      <c r="C443" t="s">
        <v>356</v>
      </c>
      <c r="D443" t="s">
        <v>121</v>
      </c>
      <c r="E443" t="s">
        <v>72</v>
      </c>
      <c r="F443" t="s">
        <v>64</v>
      </c>
      <c r="G443" t="s">
        <v>27</v>
      </c>
      <c r="H443" t="s">
        <v>86</v>
      </c>
      <c r="I443" t="s">
        <v>39</v>
      </c>
      <c r="J443" s="2">
        <v>3</v>
      </c>
      <c r="K443" s="3">
        <v>1950.8</v>
      </c>
      <c r="L443" s="3">
        <v>1247.03</v>
      </c>
      <c r="M443" s="4">
        <v>5.11E-2</v>
      </c>
      <c r="N443" s="3">
        <f t="shared" si="30"/>
        <v>5852.4</v>
      </c>
      <c r="O443" s="3">
        <f t="shared" si="31"/>
        <v>5553.34</v>
      </c>
      <c r="P443" s="3">
        <f t="shared" si="32"/>
        <v>3741.09</v>
      </c>
      <c r="Q443" s="3">
        <f t="shared" si="33"/>
        <v>1812.25</v>
      </c>
      <c r="R443" s="4">
        <f t="shared" si="34"/>
        <v>0.32629999999999998</v>
      </c>
      <c r="S443" s="2">
        <v>6</v>
      </c>
      <c r="T443" t="s">
        <v>46</v>
      </c>
      <c r="U443">
        <v>2</v>
      </c>
    </row>
    <row r="444" spans="1:22" x14ac:dyDescent="0.25">
      <c r="A444" s="1">
        <v>46212</v>
      </c>
      <c r="B444" t="s">
        <v>639</v>
      </c>
      <c r="C444" t="s">
        <v>190</v>
      </c>
      <c r="D444" t="s">
        <v>207</v>
      </c>
      <c r="E444" t="s">
        <v>35</v>
      </c>
      <c r="F444" t="s">
        <v>58</v>
      </c>
      <c r="G444" t="s">
        <v>44</v>
      </c>
      <c r="H444" t="s">
        <v>73</v>
      </c>
      <c r="I444" t="s">
        <v>74</v>
      </c>
      <c r="J444" s="2">
        <v>1</v>
      </c>
      <c r="K444" s="3">
        <v>1702.77</v>
      </c>
      <c r="L444" s="3">
        <v>1089.04</v>
      </c>
      <c r="M444" s="4">
        <v>3.5000000000000003E-2</v>
      </c>
      <c r="N444" s="3">
        <f t="shared" si="30"/>
        <v>1702.77</v>
      </c>
      <c r="O444" s="3">
        <f t="shared" si="31"/>
        <v>1643.17</v>
      </c>
      <c r="P444" s="3">
        <f t="shared" si="32"/>
        <v>1089.04</v>
      </c>
      <c r="Q444" s="3">
        <f t="shared" si="33"/>
        <v>554.13</v>
      </c>
      <c r="R444" s="4">
        <f t="shared" si="34"/>
        <v>0.3372</v>
      </c>
      <c r="S444" s="2">
        <v>5</v>
      </c>
      <c r="T444" t="s">
        <v>46</v>
      </c>
      <c r="U444">
        <v>5</v>
      </c>
    </row>
    <row r="445" spans="1:22" x14ac:dyDescent="0.25">
      <c r="A445" s="1">
        <v>46077</v>
      </c>
      <c r="B445" t="s">
        <v>640</v>
      </c>
      <c r="C445" t="s">
        <v>218</v>
      </c>
      <c r="D445" t="s">
        <v>24</v>
      </c>
      <c r="E445" t="s">
        <v>25</v>
      </c>
      <c r="F445" t="s">
        <v>64</v>
      </c>
      <c r="G445" t="s">
        <v>37</v>
      </c>
      <c r="H445" t="s">
        <v>38</v>
      </c>
      <c r="I445" t="s">
        <v>74</v>
      </c>
      <c r="J445" s="2">
        <v>3</v>
      </c>
      <c r="K445" s="3">
        <v>441.07</v>
      </c>
      <c r="L445" s="3">
        <v>199.44</v>
      </c>
      <c r="M445" s="4">
        <v>0</v>
      </c>
      <c r="N445" s="3">
        <f t="shared" si="30"/>
        <v>1323.21</v>
      </c>
      <c r="O445" s="3">
        <f t="shared" si="31"/>
        <v>1323.21</v>
      </c>
      <c r="P445" s="3">
        <f t="shared" si="32"/>
        <v>598.32000000000005</v>
      </c>
      <c r="Q445" s="3">
        <f t="shared" si="33"/>
        <v>724.89</v>
      </c>
      <c r="R445" s="4">
        <f t="shared" si="34"/>
        <v>0.54779999999999995</v>
      </c>
      <c r="S445" s="2">
        <v>11</v>
      </c>
      <c r="T445" t="s">
        <v>30</v>
      </c>
      <c r="U445">
        <v>3</v>
      </c>
    </row>
    <row r="446" spans="1:22" x14ac:dyDescent="0.25">
      <c r="A446" s="1">
        <v>46037</v>
      </c>
      <c r="B446" t="s">
        <v>641</v>
      </c>
      <c r="C446" t="s">
        <v>260</v>
      </c>
      <c r="D446" t="s">
        <v>56</v>
      </c>
      <c r="E446" t="s">
        <v>57</v>
      </c>
      <c r="F446" t="s">
        <v>36</v>
      </c>
      <c r="G446" t="s">
        <v>51</v>
      </c>
      <c r="H446" t="s">
        <v>116</v>
      </c>
      <c r="I446" t="s">
        <v>65</v>
      </c>
      <c r="J446" s="2">
        <v>2</v>
      </c>
      <c r="K446" s="3">
        <v>2947.45</v>
      </c>
      <c r="L446" s="3">
        <v>1816.18</v>
      </c>
      <c r="M446" s="4">
        <v>1.23E-2</v>
      </c>
      <c r="N446" s="3">
        <f t="shared" si="30"/>
        <v>5894.9</v>
      </c>
      <c r="O446" s="3">
        <f t="shared" si="31"/>
        <v>5822.39</v>
      </c>
      <c r="P446" s="3">
        <f t="shared" si="32"/>
        <v>3632.36</v>
      </c>
      <c r="Q446" s="3">
        <f t="shared" si="33"/>
        <v>2190.0300000000002</v>
      </c>
      <c r="R446" s="4">
        <f t="shared" si="34"/>
        <v>0.37609999999999999</v>
      </c>
      <c r="S446" s="2">
        <v>12</v>
      </c>
      <c r="T446" t="s">
        <v>30</v>
      </c>
      <c r="U446">
        <v>4</v>
      </c>
    </row>
    <row r="447" spans="1:22" x14ac:dyDescent="0.25">
      <c r="A447" s="1">
        <v>46101</v>
      </c>
      <c r="B447" t="s">
        <v>642</v>
      </c>
      <c r="C447" t="s">
        <v>103</v>
      </c>
      <c r="D447" t="s">
        <v>207</v>
      </c>
      <c r="E447" t="s">
        <v>35</v>
      </c>
      <c r="F447" t="s">
        <v>64</v>
      </c>
      <c r="G447" t="s">
        <v>44</v>
      </c>
      <c r="H447" t="s">
        <v>124</v>
      </c>
      <c r="I447" t="s">
        <v>65</v>
      </c>
      <c r="J447" s="2">
        <v>5</v>
      </c>
      <c r="K447" s="3">
        <v>5663.86</v>
      </c>
      <c r="L447" s="3">
        <v>4180.1899999999996</v>
      </c>
      <c r="M447" s="4">
        <v>0.106</v>
      </c>
      <c r="N447" s="3">
        <f t="shared" si="30"/>
        <v>28319.3</v>
      </c>
      <c r="O447" s="3">
        <f t="shared" si="31"/>
        <v>25317.45</v>
      </c>
      <c r="P447" s="3">
        <f t="shared" si="32"/>
        <v>20900.95</v>
      </c>
      <c r="Q447" s="3">
        <f t="shared" si="33"/>
        <v>4416.5</v>
      </c>
      <c r="R447" s="4">
        <f t="shared" si="34"/>
        <v>0.1744</v>
      </c>
      <c r="S447" s="2">
        <v>5</v>
      </c>
      <c r="T447" t="s">
        <v>46</v>
      </c>
      <c r="U447">
        <v>4</v>
      </c>
    </row>
    <row r="448" spans="1:22" x14ac:dyDescent="0.25">
      <c r="A448" s="1">
        <v>46031</v>
      </c>
      <c r="B448" t="s">
        <v>643</v>
      </c>
      <c r="C448" t="s">
        <v>251</v>
      </c>
      <c r="D448" t="s">
        <v>130</v>
      </c>
      <c r="E448" t="s">
        <v>72</v>
      </c>
      <c r="F448" t="s">
        <v>58</v>
      </c>
      <c r="G448" t="s">
        <v>51</v>
      </c>
      <c r="H448" t="s">
        <v>59</v>
      </c>
      <c r="I448" t="s">
        <v>94</v>
      </c>
      <c r="J448" s="2">
        <v>1</v>
      </c>
      <c r="K448" s="3">
        <v>2115.88</v>
      </c>
      <c r="L448" s="3">
        <v>1439.82</v>
      </c>
      <c r="M448" s="4">
        <v>0.1089</v>
      </c>
      <c r="N448" s="3">
        <f t="shared" si="30"/>
        <v>2115.88</v>
      </c>
      <c r="O448" s="3">
        <f t="shared" si="31"/>
        <v>1885.46</v>
      </c>
      <c r="P448" s="3">
        <f t="shared" si="32"/>
        <v>1439.82</v>
      </c>
      <c r="Q448" s="3">
        <f t="shared" si="33"/>
        <v>445.64</v>
      </c>
      <c r="R448" s="4">
        <f t="shared" si="34"/>
        <v>0.2364</v>
      </c>
      <c r="S448" s="2">
        <v>10</v>
      </c>
      <c r="T448" t="s">
        <v>46</v>
      </c>
      <c r="U448">
        <v>3</v>
      </c>
    </row>
    <row r="449" spans="1:21" x14ac:dyDescent="0.25">
      <c r="A449" s="1">
        <v>46023</v>
      </c>
      <c r="B449" t="s">
        <v>644</v>
      </c>
      <c r="C449" t="s">
        <v>375</v>
      </c>
      <c r="D449" t="s">
        <v>63</v>
      </c>
      <c r="E449" t="s">
        <v>35</v>
      </c>
      <c r="F449" t="s">
        <v>36</v>
      </c>
      <c r="G449" t="s">
        <v>44</v>
      </c>
      <c r="H449" t="s">
        <v>45</v>
      </c>
      <c r="I449" t="s">
        <v>94</v>
      </c>
      <c r="J449" s="2">
        <v>2</v>
      </c>
      <c r="K449" s="3">
        <v>406.69</v>
      </c>
      <c r="L449" s="3">
        <v>207.45</v>
      </c>
      <c r="M449" s="4">
        <v>3.4700000000000002E-2</v>
      </c>
      <c r="N449" s="3">
        <f t="shared" si="30"/>
        <v>813.38</v>
      </c>
      <c r="O449" s="3">
        <f t="shared" si="31"/>
        <v>785.16</v>
      </c>
      <c r="P449" s="3">
        <f t="shared" si="32"/>
        <v>414.9</v>
      </c>
      <c r="Q449" s="3">
        <f t="shared" si="33"/>
        <v>370.26</v>
      </c>
      <c r="R449" s="4">
        <f t="shared" si="34"/>
        <v>0.47160000000000002</v>
      </c>
      <c r="S449" s="2">
        <v>5</v>
      </c>
      <c r="T449" t="s">
        <v>46</v>
      </c>
      <c r="U449">
        <v>5</v>
      </c>
    </row>
    <row r="450" spans="1:21" x14ac:dyDescent="0.25">
      <c r="A450" s="1">
        <v>46104</v>
      </c>
      <c r="B450" t="s">
        <v>645</v>
      </c>
      <c r="C450" t="s">
        <v>129</v>
      </c>
      <c r="D450" t="s">
        <v>24</v>
      </c>
      <c r="E450" t="s">
        <v>25</v>
      </c>
      <c r="F450" t="s">
        <v>36</v>
      </c>
      <c r="G450" t="s">
        <v>44</v>
      </c>
      <c r="H450" t="s">
        <v>73</v>
      </c>
      <c r="I450" t="s">
        <v>77</v>
      </c>
      <c r="J450" s="2">
        <v>6</v>
      </c>
      <c r="K450" s="3">
        <v>1592.27</v>
      </c>
      <c r="L450" s="3">
        <v>1090.52</v>
      </c>
      <c r="M450" s="4">
        <v>7.0099999999999996E-2</v>
      </c>
      <c r="N450" s="3">
        <f t="shared" ref="N450:N513" si="35">ROUND(J450*K450,2)</f>
        <v>9553.6200000000008</v>
      </c>
      <c r="O450" s="3">
        <f t="shared" ref="O450:O513" si="36">ROUND(N450*(1-M450),2)</f>
        <v>8883.91</v>
      </c>
      <c r="P450" s="3">
        <f t="shared" ref="P450:P513" si="37">ROUND(J450*L450,2)</f>
        <v>6543.12</v>
      </c>
      <c r="Q450" s="3">
        <f t="shared" ref="Q450:Q513" si="38">ROUND(O450-P450,2)</f>
        <v>2340.79</v>
      </c>
      <c r="R450" s="4">
        <f t="shared" ref="R450:R513" si="39">IF(O450=0,0,ROUND(Q450/O450,4))</f>
        <v>0.26350000000000001</v>
      </c>
      <c r="S450" s="2">
        <v>13</v>
      </c>
      <c r="T450" t="s">
        <v>40</v>
      </c>
    </row>
    <row r="451" spans="1:21" x14ac:dyDescent="0.25">
      <c r="A451" s="1">
        <v>46126</v>
      </c>
      <c r="B451" t="s">
        <v>646</v>
      </c>
      <c r="C451" t="s">
        <v>168</v>
      </c>
      <c r="D451" t="s">
        <v>71</v>
      </c>
      <c r="E451" t="s">
        <v>72</v>
      </c>
      <c r="F451" t="s">
        <v>58</v>
      </c>
      <c r="G451" t="s">
        <v>37</v>
      </c>
      <c r="H451" t="s">
        <v>178</v>
      </c>
      <c r="I451" t="s">
        <v>87</v>
      </c>
      <c r="J451" s="2">
        <v>6</v>
      </c>
      <c r="K451" s="3">
        <v>532.33000000000004</v>
      </c>
      <c r="L451" s="3">
        <v>252.2</v>
      </c>
      <c r="M451" s="4">
        <v>3.5000000000000003E-2</v>
      </c>
      <c r="N451" s="3">
        <f t="shared" si="35"/>
        <v>3193.98</v>
      </c>
      <c r="O451" s="3">
        <f t="shared" si="36"/>
        <v>3082.19</v>
      </c>
      <c r="P451" s="3">
        <f t="shared" si="37"/>
        <v>1513.2</v>
      </c>
      <c r="Q451" s="3">
        <f t="shared" si="38"/>
        <v>1568.99</v>
      </c>
      <c r="R451" s="4">
        <f t="shared" si="39"/>
        <v>0.5091</v>
      </c>
      <c r="S451" s="2">
        <v>7</v>
      </c>
      <c r="T451" t="s">
        <v>46</v>
      </c>
      <c r="U451">
        <v>5</v>
      </c>
    </row>
    <row r="452" spans="1:21" x14ac:dyDescent="0.25">
      <c r="A452" s="1">
        <v>46148</v>
      </c>
      <c r="B452" t="s">
        <v>647</v>
      </c>
      <c r="C452" t="s">
        <v>456</v>
      </c>
      <c r="D452" t="s">
        <v>34</v>
      </c>
      <c r="E452" t="s">
        <v>35</v>
      </c>
      <c r="F452" t="s">
        <v>58</v>
      </c>
      <c r="G452" t="s">
        <v>44</v>
      </c>
      <c r="H452" t="s">
        <v>45</v>
      </c>
      <c r="I452" t="s">
        <v>74</v>
      </c>
      <c r="J452" s="2">
        <v>5</v>
      </c>
      <c r="K452" s="3">
        <v>383.55</v>
      </c>
      <c r="L452" s="3">
        <v>209.2</v>
      </c>
      <c r="M452" s="4">
        <v>0.12239999999999999</v>
      </c>
      <c r="N452" s="3">
        <f t="shared" si="35"/>
        <v>1917.75</v>
      </c>
      <c r="O452" s="3">
        <f t="shared" si="36"/>
        <v>1683.02</v>
      </c>
      <c r="P452" s="3">
        <f t="shared" si="37"/>
        <v>1046</v>
      </c>
      <c r="Q452" s="3">
        <f t="shared" si="38"/>
        <v>637.02</v>
      </c>
      <c r="R452" s="4">
        <f t="shared" si="39"/>
        <v>0.3785</v>
      </c>
      <c r="S452" s="2">
        <v>7</v>
      </c>
      <c r="T452" t="s">
        <v>46</v>
      </c>
      <c r="U452">
        <v>5</v>
      </c>
    </row>
    <row r="453" spans="1:21" x14ac:dyDescent="0.25">
      <c r="A453" s="1">
        <v>46203</v>
      </c>
      <c r="B453" t="s">
        <v>648</v>
      </c>
      <c r="C453" t="s">
        <v>89</v>
      </c>
      <c r="D453" t="s">
        <v>24</v>
      </c>
      <c r="E453" t="s">
        <v>25</v>
      </c>
      <c r="F453" t="s">
        <v>58</v>
      </c>
      <c r="G453" t="s">
        <v>44</v>
      </c>
      <c r="H453" t="s">
        <v>73</v>
      </c>
      <c r="I453" t="s">
        <v>39</v>
      </c>
      <c r="J453" s="2">
        <v>4</v>
      </c>
      <c r="K453" s="3">
        <v>1695.99</v>
      </c>
      <c r="L453" s="3">
        <v>1160.48</v>
      </c>
      <c r="M453" s="4">
        <v>3.5000000000000003E-2</v>
      </c>
      <c r="N453" s="3">
        <f t="shared" si="35"/>
        <v>6783.96</v>
      </c>
      <c r="O453" s="3">
        <f t="shared" si="36"/>
        <v>6546.52</v>
      </c>
      <c r="P453" s="3">
        <f t="shared" si="37"/>
        <v>4641.92</v>
      </c>
      <c r="Q453" s="3">
        <f t="shared" si="38"/>
        <v>1904.6</v>
      </c>
      <c r="R453" s="4">
        <f t="shared" si="39"/>
        <v>0.29089999999999999</v>
      </c>
      <c r="S453" s="2">
        <v>4</v>
      </c>
      <c r="T453" t="s">
        <v>46</v>
      </c>
      <c r="U453">
        <v>2</v>
      </c>
    </row>
    <row r="454" spans="1:21" x14ac:dyDescent="0.25">
      <c r="A454" s="1">
        <v>46221</v>
      </c>
      <c r="B454" t="s">
        <v>649</v>
      </c>
      <c r="C454" t="s">
        <v>182</v>
      </c>
      <c r="D454" t="s">
        <v>43</v>
      </c>
      <c r="E454" t="s">
        <v>25</v>
      </c>
      <c r="F454" t="s">
        <v>36</v>
      </c>
      <c r="G454" t="s">
        <v>51</v>
      </c>
      <c r="H454" t="s">
        <v>116</v>
      </c>
      <c r="I454" t="s">
        <v>60</v>
      </c>
      <c r="J454" s="2">
        <v>1</v>
      </c>
      <c r="K454" s="3">
        <v>2902.9</v>
      </c>
      <c r="L454" s="3">
        <v>1810.29</v>
      </c>
      <c r="M454" s="4">
        <v>0</v>
      </c>
      <c r="N454" s="3">
        <f t="shared" si="35"/>
        <v>2902.9</v>
      </c>
      <c r="O454" s="3">
        <f t="shared" si="36"/>
        <v>2902.9</v>
      </c>
      <c r="P454" s="3">
        <f t="shared" si="37"/>
        <v>1810.29</v>
      </c>
      <c r="Q454" s="3">
        <f t="shared" si="38"/>
        <v>1092.6099999999999</v>
      </c>
      <c r="R454" s="4">
        <f t="shared" si="39"/>
        <v>0.37640000000000001</v>
      </c>
      <c r="S454" s="2">
        <v>9</v>
      </c>
      <c r="T454" t="s">
        <v>46</v>
      </c>
      <c r="U454">
        <v>2</v>
      </c>
    </row>
    <row r="455" spans="1:21" x14ac:dyDescent="0.25">
      <c r="A455" s="1">
        <v>46094</v>
      </c>
      <c r="B455" t="s">
        <v>650</v>
      </c>
      <c r="C455" t="s">
        <v>182</v>
      </c>
      <c r="D455" t="s">
        <v>24</v>
      </c>
      <c r="E455" t="s">
        <v>25</v>
      </c>
      <c r="F455" t="s">
        <v>64</v>
      </c>
      <c r="G455" t="s">
        <v>27</v>
      </c>
      <c r="H455" t="s">
        <v>86</v>
      </c>
      <c r="I455" t="s">
        <v>39</v>
      </c>
      <c r="J455" s="2">
        <v>3</v>
      </c>
      <c r="K455" s="3">
        <v>1877.6</v>
      </c>
      <c r="L455" s="3">
        <v>1237.06</v>
      </c>
      <c r="M455" s="4">
        <v>0</v>
      </c>
      <c r="N455" s="3">
        <f t="shared" si="35"/>
        <v>5632.8</v>
      </c>
      <c r="O455" s="3">
        <f t="shared" si="36"/>
        <v>5632.8</v>
      </c>
      <c r="P455" s="3">
        <f t="shared" si="37"/>
        <v>3711.18</v>
      </c>
      <c r="Q455" s="3">
        <f t="shared" si="38"/>
        <v>1921.62</v>
      </c>
      <c r="R455" s="4">
        <f t="shared" si="39"/>
        <v>0.34110000000000001</v>
      </c>
      <c r="S455" s="2">
        <v>11</v>
      </c>
      <c r="T455" t="s">
        <v>30</v>
      </c>
      <c r="U455">
        <v>2</v>
      </c>
    </row>
    <row r="456" spans="1:21" x14ac:dyDescent="0.25">
      <c r="A456" s="1">
        <v>46058</v>
      </c>
      <c r="B456" t="s">
        <v>651</v>
      </c>
      <c r="C456" t="s">
        <v>112</v>
      </c>
      <c r="D456" t="s">
        <v>34</v>
      </c>
      <c r="E456" t="s">
        <v>35</v>
      </c>
      <c r="F456" t="s">
        <v>58</v>
      </c>
      <c r="G456" t="s">
        <v>37</v>
      </c>
      <c r="H456" t="s">
        <v>38</v>
      </c>
      <c r="I456" t="s">
        <v>53</v>
      </c>
      <c r="J456" s="2">
        <v>4</v>
      </c>
      <c r="K456" s="3">
        <v>430.3</v>
      </c>
      <c r="L456" s="3">
        <v>193.93</v>
      </c>
      <c r="M456" s="4">
        <v>3.5000000000000003E-2</v>
      </c>
      <c r="N456" s="3">
        <f t="shared" si="35"/>
        <v>1721.2</v>
      </c>
      <c r="O456" s="3">
        <f t="shared" si="36"/>
        <v>1660.96</v>
      </c>
      <c r="P456" s="3">
        <f t="shared" si="37"/>
        <v>775.72</v>
      </c>
      <c r="Q456" s="3">
        <f t="shared" si="38"/>
        <v>885.24</v>
      </c>
      <c r="R456" s="4">
        <f t="shared" si="39"/>
        <v>0.53300000000000003</v>
      </c>
      <c r="S456" s="2">
        <v>7</v>
      </c>
      <c r="T456" t="s">
        <v>46</v>
      </c>
      <c r="U456">
        <v>4</v>
      </c>
    </row>
    <row r="457" spans="1:21" x14ac:dyDescent="0.25">
      <c r="A457" s="1">
        <v>46201</v>
      </c>
      <c r="B457" t="s">
        <v>652</v>
      </c>
      <c r="C457" t="s">
        <v>142</v>
      </c>
      <c r="D457" t="s">
        <v>121</v>
      </c>
      <c r="E457" t="s">
        <v>72</v>
      </c>
      <c r="F457" t="s">
        <v>58</v>
      </c>
      <c r="G457" t="s">
        <v>44</v>
      </c>
      <c r="H457" t="s">
        <v>124</v>
      </c>
      <c r="I457" t="s">
        <v>87</v>
      </c>
      <c r="J457" s="2">
        <v>2</v>
      </c>
      <c r="K457" s="3">
        <v>5893.72</v>
      </c>
      <c r="L457" s="3">
        <v>4479.37</v>
      </c>
      <c r="M457" s="4">
        <v>0.14149999999999999</v>
      </c>
      <c r="N457" s="3">
        <f t="shared" si="35"/>
        <v>11787.44</v>
      </c>
      <c r="O457" s="3">
        <f t="shared" si="36"/>
        <v>10119.52</v>
      </c>
      <c r="P457" s="3">
        <f t="shared" si="37"/>
        <v>8958.74</v>
      </c>
      <c r="Q457" s="3">
        <f t="shared" si="38"/>
        <v>1160.78</v>
      </c>
      <c r="R457" s="4">
        <f t="shared" si="39"/>
        <v>0.1147</v>
      </c>
      <c r="S457" s="2">
        <v>7</v>
      </c>
      <c r="T457" t="s">
        <v>46</v>
      </c>
      <c r="U457">
        <v>3</v>
      </c>
    </row>
    <row r="458" spans="1:21" x14ac:dyDescent="0.25">
      <c r="A458" s="1">
        <v>46106</v>
      </c>
      <c r="B458" t="s">
        <v>653</v>
      </c>
      <c r="C458" t="s">
        <v>525</v>
      </c>
      <c r="D458" t="s">
        <v>85</v>
      </c>
      <c r="E458" t="s">
        <v>50</v>
      </c>
      <c r="F458" t="s">
        <v>36</v>
      </c>
      <c r="G458" t="s">
        <v>27</v>
      </c>
      <c r="H458" t="s">
        <v>28</v>
      </c>
      <c r="I458" t="s">
        <v>87</v>
      </c>
      <c r="J458" s="2">
        <v>3</v>
      </c>
      <c r="K458" s="3">
        <v>781.58</v>
      </c>
      <c r="L458" s="3">
        <v>470.74</v>
      </c>
      <c r="M458" s="4">
        <v>0</v>
      </c>
      <c r="N458" s="3">
        <f t="shared" si="35"/>
        <v>2344.7399999999998</v>
      </c>
      <c r="O458" s="3">
        <f t="shared" si="36"/>
        <v>2344.7399999999998</v>
      </c>
      <c r="P458" s="3">
        <f t="shared" si="37"/>
        <v>1412.22</v>
      </c>
      <c r="Q458" s="3">
        <f t="shared" si="38"/>
        <v>932.52</v>
      </c>
      <c r="R458" s="4">
        <f t="shared" si="39"/>
        <v>0.3977</v>
      </c>
      <c r="S458" s="2">
        <v>9</v>
      </c>
      <c r="T458" t="s">
        <v>46</v>
      </c>
      <c r="U458">
        <v>2</v>
      </c>
    </row>
    <row r="459" spans="1:21" x14ac:dyDescent="0.25">
      <c r="A459" s="1">
        <v>46183</v>
      </c>
      <c r="B459" t="s">
        <v>654</v>
      </c>
      <c r="C459" t="s">
        <v>275</v>
      </c>
      <c r="D459" t="s">
        <v>34</v>
      </c>
      <c r="E459" t="s">
        <v>35</v>
      </c>
      <c r="F459" t="s">
        <v>58</v>
      </c>
      <c r="G459" t="s">
        <v>44</v>
      </c>
      <c r="H459" t="s">
        <v>45</v>
      </c>
      <c r="I459" t="s">
        <v>65</v>
      </c>
      <c r="J459" s="2">
        <v>1</v>
      </c>
      <c r="K459" s="3">
        <v>395.25</v>
      </c>
      <c r="L459" s="3">
        <v>219.18</v>
      </c>
      <c r="M459" s="4">
        <v>7.7299999999999994E-2</v>
      </c>
      <c r="N459" s="3">
        <f t="shared" si="35"/>
        <v>395.25</v>
      </c>
      <c r="O459" s="3">
        <f t="shared" si="36"/>
        <v>364.7</v>
      </c>
      <c r="P459" s="3">
        <f t="shared" si="37"/>
        <v>219.18</v>
      </c>
      <c r="Q459" s="3">
        <f t="shared" si="38"/>
        <v>145.52000000000001</v>
      </c>
      <c r="R459" s="4">
        <f t="shared" si="39"/>
        <v>0.39900000000000002</v>
      </c>
      <c r="S459" s="2">
        <v>2</v>
      </c>
      <c r="T459" t="s">
        <v>46</v>
      </c>
      <c r="U459">
        <v>2</v>
      </c>
    </row>
    <row r="460" spans="1:21" x14ac:dyDescent="0.25">
      <c r="A460" s="1">
        <v>46225</v>
      </c>
      <c r="B460" t="s">
        <v>655</v>
      </c>
      <c r="C460" t="s">
        <v>271</v>
      </c>
      <c r="D460" t="s">
        <v>85</v>
      </c>
      <c r="E460" t="s">
        <v>50</v>
      </c>
      <c r="F460" t="s">
        <v>26</v>
      </c>
      <c r="G460" t="s">
        <v>37</v>
      </c>
      <c r="H460" t="s">
        <v>104</v>
      </c>
      <c r="I460" t="s">
        <v>77</v>
      </c>
      <c r="J460" s="2">
        <v>8</v>
      </c>
      <c r="K460" s="3">
        <v>332.18</v>
      </c>
      <c r="L460" s="3">
        <v>141.4</v>
      </c>
      <c r="M460" s="4">
        <v>1.89E-2</v>
      </c>
      <c r="N460" s="3">
        <f t="shared" si="35"/>
        <v>2657.44</v>
      </c>
      <c r="O460" s="3">
        <f t="shared" si="36"/>
        <v>2607.21</v>
      </c>
      <c r="P460" s="3">
        <f t="shared" si="37"/>
        <v>1131.2</v>
      </c>
      <c r="Q460" s="3">
        <f t="shared" si="38"/>
        <v>1476.01</v>
      </c>
      <c r="R460" s="4">
        <f t="shared" si="39"/>
        <v>0.56610000000000005</v>
      </c>
      <c r="S460" s="2">
        <v>4</v>
      </c>
      <c r="T460" t="s">
        <v>46</v>
      </c>
      <c r="U460">
        <v>2</v>
      </c>
    </row>
    <row r="461" spans="1:21" x14ac:dyDescent="0.25">
      <c r="A461" s="1">
        <v>46168</v>
      </c>
      <c r="B461" t="s">
        <v>656</v>
      </c>
      <c r="C461" t="s">
        <v>428</v>
      </c>
      <c r="D461" t="s">
        <v>126</v>
      </c>
      <c r="E461" t="s">
        <v>57</v>
      </c>
      <c r="F461" t="s">
        <v>36</v>
      </c>
      <c r="G461" t="s">
        <v>37</v>
      </c>
      <c r="H461" t="s">
        <v>178</v>
      </c>
      <c r="I461" t="s">
        <v>77</v>
      </c>
      <c r="J461" s="2">
        <v>2</v>
      </c>
      <c r="K461" s="3">
        <v>491.63</v>
      </c>
      <c r="L461" s="3">
        <v>251.33</v>
      </c>
      <c r="M461" s="4">
        <v>5.7700000000000001E-2</v>
      </c>
      <c r="N461" s="3">
        <f t="shared" si="35"/>
        <v>983.26</v>
      </c>
      <c r="O461" s="3">
        <f t="shared" si="36"/>
        <v>926.53</v>
      </c>
      <c r="P461" s="3">
        <f t="shared" si="37"/>
        <v>502.66</v>
      </c>
      <c r="Q461" s="3">
        <f t="shared" si="38"/>
        <v>423.87</v>
      </c>
      <c r="R461" s="4">
        <f t="shared" si="39"/>
        <v>0.45750000000000002</v>
      </c>
      <c r="S461" s="2">
        <v>3</v>
      </c>
      <c r="T461" t="s">
        <v>46</v>
      </c>
      <c r="U461">
        <v>4</v>
      </c>
    </row>
    <row r="462" spans="1:21" x14ac:dyDescent="0.25">
      <c r="A462" s="1">
        <v>46231</v>
      </c>
      <c r="B462" t="s">
        <v>657</v>
      </c>
      <c r="C462" t="s">
        <v>159</v>
      </c>
      <c r="D462" t="s">
        <v>126</v>
      </c>
      <c r="E462" t="s">
        <v>57</v>
      </c>
      <c r="F462" t="s">
        <v>58</v>
      </c>
      <c r="G462" t="s">
        <v>27</v>
      </c>
      <c r="H462" t="s">
        <v>28</v>
      </c>
      <c r="I462" t="s">
        <v>65</v>
      </c>
      <c r="J462" s="2">
        <v>4</v>
      </c>
      <c r="K462" s="3">
        <v>767.27</v>
      </c>
      <c r="L462" s="3">
        <v>471.47</v>
      </c>
      <c r="M462" s="4">
        <v>3.5000000000000003E-2</v>
      </c>
      <c r="N462" s="3">
        <f t="shared" si="35"/>
        <v>3069.08</v>
      </c>
      <c r="O462" s="3">
        <f t="shared" si="36"/>
        <v>2961.66</v>
      </c>
      <c r="P462" s="3">
        <f t="shared" si="37"/>
        <v>1885.88</v>
      </c>
      <c r="Q462" s="3">
        <f t="shared" si="38"/>
        <v>1075.78</v>
      </c>
      <c r="R462" s="4">
        <f t="shared" si="39"/>
        <v>0.36320000000000002</v>
      </c>
      <c r="S462" s="2">
        <v>13</v>
      </c>
      <c r="T462" t="s">
        <v>30</v>
      </c>
      <c r="U462">
        <v>2</v>
      </c>
    </row>
    <row r="463" spans="1:21" x14ac:dyDescent="0.25">
      <c r="A463" s="1">
        <v>46055</v>
      </c>
      <c r="B463" t="s">
        <v>658</v>
      </c>
      <c r="C463" t="s">
        <v>110</v>
      </c>
      <c r="D463" t="s">
        <v>43</v>
      </c>
      <c r="E463" t="s">
        <v>25</v>
      </c>
      <c r="F463" t="s">
        <v>36</v>
      </c>
      <c r="G463" t="s">
        <v>44</v>
      </c>
      <c r="H463" t="s">
        <v>45</v>
      </c>
      <c r="I463" t="s">
        <v>87</v>
      </c>
      <c r="J463" s="2">
        <v>1</v>
      </c>
      <c r="K463" s="3">
        <v>409.5</v>
      </c>
      <c r="L463" s="3">
        <v>223.97</v>
      </c>
      <c r="M463" s="4">
        <v>0.1225</v>
      </c>
      <c r="N463" s="3">
        <f t="shared" si="35"/>
        <v>409.5</v>
      </c>
      <c r="O463" s="3">
        <f t="shared" si="36"/>
        <v>359.34</v>
      </c>
      <c r="P463" s="3">
        <f t="shared" si="37"/>
        <v>223.97</v>
      </c>
      <c r="Q463" s="3">
        <f t="shared" si="38"/>
        <v>135.37</v>
      </c>
      <c r="R463" s="4">
        <f t="shared" si="39"/>
        <v>0.37669999999999998</v>
      </c>
      <c r="S463" s="2">
        <v>8</v>
      </c>
      <c r="T463" t="s">
        <v>46</v>
      </c>
      <c r="U463">
        <v>2</v>
      </c>
    </row>
    <row r="464" spans="1:21" x14ac:dyDescent="0.25">
      <c r="A464" s="1">
        <v>46142</v>
      </c>
      <c r="B464" t="s">
        <v>659</v>
      </c>
      <c r="C464" t="s">
        <v>144</v>
      </c>
      <c r="D464" t="s">
        <v>97</v>
      </c>
      <c r="E464" t="s">
        <v>57</v>
      </c>
      <c r="F464" t="s">
        <v>58</v>
      </c>
      <c r="G464" t="s">
        <v>37</v>
      </c>
      <c r="H464" t="s">
        <v>178</v>
      </c>
      <c r="I464" t="s">
        <v>77</v>
      </c>
      <c r="J464" s="2">
        <v>3</v>
      </c>
      <c r="K464" s="3">
        <v>508.81</v>
      </c>
      <c r="L464" s="3">
        <v>237.79</v>
      </c>
      <c r="M464" s="4">
        <v>3.5000000000000003E-2</v>
      </c>
      <c r="N464" s="3">
        <f t="shared" si="35"/>
        <v>1526.43</v>
      </c>
      <c r="O464" s="3">
        <f t="shared" si="36"/>
        <v>1473</v>
      </c>
      <c r="P464" s="3">
        <f t="shared" si="37"/>
        <v>713.37</v>
      </c>
      <c r="Q464" s="3">
        <f t="shared" si="38"/>
        <v>759.63</v>
      </c>
      <c r="R464" s="4">
        <f t="shared" si="39"/>
        <v>0.51570000000000005</v>
      </c>
      <c r="S464" s="2">
        <v>14</v>
      </c>
      <c r="T464" t="s">
        <v>30</v>
      </c>
      <c r="U464">
        <v>5</v>
      </c>
    </row>
    <row r="465" spans="1:21" x14ac:dyDescent="0.25">
      <c r="A465" s="1">
        <v>46092</v>
      </c>
      <c r="B465" t="s">
        <v>660</v>
      </c>
      <c r="C465" t="s">
        <v>198</v>
      </c>
      <c r="D465" t="s">
        <v>49</v>
      </c>
      <c r="E465" t="s">
        <v>50</v>
      </c>
      <c r="F465" t="s">
        <v>26</v>
      </c>
      <c r="G465" t="s">
        <v>51</v>
      </c>
      <c r="H465" t="s">
        <v>116</v>
      </c>
      <c r="I465" t="s">
        <v>87</v>
      </c>
      <c r="J465" s="2">
        <v>6</v>
      </c>
      <c r="K465" s="3">
        <v>2840.11</v>
      </c>
      <c r="L465" s="3">
        <v>1770</v>
      </c>
      <c r="M465" s="4">
        <v>0</v>
      </c>
      <c r="N465" s="3">
        <f t="shared" si="35"/>
        <v>17040.66</v>
      </c>
      <c r="O465" s="3">
        <f t="shared" si="36"/>
        <v>17040.66</v>
      </c>
      <c r="P465" s="3">
        <f t="shared" si="37"/>
        <v>10620</v>
      </c>
      <c r="Q465" s="3">
        <f t="shared" si="38"/>
        <v>6420.66</v>
      </c>
      <c r="R465" s="4">
        <f t="shared" si="39"/>
        <v>0.37680000000000002</v>
      </c>
      <c r="S465" s="2">
        <v>11</v>
      </c>
      <c r="T465" t="s">
        <v>30</v>
      </c>
      <c r="U465">
        <v>3</v>
      </c>
    </row>
    <row r="466" spans="1:21" x14ac:dyDescent="0.25">
      <c r="A466" s="1">
        <v>46208</v>
      </c>
      <c r="B466" t="s">
        <v>661</v>
      </c>
      <c r="C466" t="s">
        <v>144</v>
      </c>
      <c r="D466" t="s">
        <v>85</v>
      </c>
      <c r="E466" t="s">
        <v>50</v>
      </c>
      <c r="F466" t="s">
        <v>36</v>
      </c>
      <c r="G466" t="s">
        <v>51</v>
      </c>
      <c r="H466" t="s">
        <v>59</v>
      </c>
      <c r="I466" t="s">
        <v>65</v>
      </c>
      <c r="J466" s="2">
        <v>3</v>
      </c>
      <c r="K466" s="3">
        <v>2140.02</v>
      </c>
      <c r="L466" s="3">
        <v>1363.48</v>
      </c>
      <c r="M466" s="4">
        <v>0.12130000000000001</v>
      </c>
      <c r="N466" s="3">
        <f t="shared" si="35"/>
        <v>6420.06</v>
      </c>
      <c r="O466" s="3">
        <f t="shared" si="36"/>
        <v>5641.31</v>
      </c>
      <c r="P466" s="3">
        <f t="shared" si="37"/>
        <v>4090.44</v>
      </c>
      <c r="Q466" s="3">
        <f t="shared" si="38"/>
        <v>1550.87</v>
      </c>
      <c r="R466" s="4">
        <f t="shared" si="39"/>
        <v>0.27489999999999998</v>
      </c>
      <c r="S466" s="2">
        <v>3</v>
      </c>
      <c r="T466" t="s">
        <v>46</v>
      </c>
      <c r="U466">
        <v>2</v>
      </c>
    </row>
    <row r="467" spans="1:21" x14ac:dyDescent="0.25">
      <c r="A467" s="1">
        <v>46151</v>
      </c>
      <c r="B467" t="s">
        <v>662</v>
      </c>
      <c r="C467" t="s">
        <v>100</v>
      </c>
      <c r="D467" t="s">
        <v>63</v>
      </c>
      <c r="E467" t="s">
        <v>35</v>
      </c>
      <c r="F467" t="s">
        <v>36</v>
      </c>
      <c r="G467" t="s">
        <v>51</v>
      </c>
      <c r="H467" t="s">
        <v>52</v>
      </c>
      <c r="I467" t="s">
        <v>94</v>
      </c>
      <c r="J467" s="2">
        <v>4</v>
      </c>
      <c r="K467" s="3">
        <v>264.45</v>
      </c>
      <c r="L467" s="3">
        <v>121.11</v>
      </c>
      <c r="M467" s="4">
        <v>0</v>
      </c>
      <c r="N467" s="3">
        <f t="shared" si="35"/>
        <v>1057.8</v>
      </c>
      <c r="O467" s="3">
        <f t="shared" si="36"/>
        <v>1057.8</v>
      </c>
      <c r="P467" s="3">
        <f t="shared" si="37"/>
        <v>484.44</v>
      </c>
      <c r="Q467" s="3">
        <f t="shared" si="38"/>
        <v>573.36</v>
      </c>
      <c r="R467" s="4">
        <f t="shared" si="39"/>
        <v>0.54200000000000004</v>
      </c>
      <c r="S467" s="2">
        <v>14</v>
      </c>
      <c r="T467" t="s">
        <v>30</v>
      </c>
      <c r="U467">
        <v>5</v>
      </c>
    </row>
    <row r="468" spans="1:21" x14ac:dyDescent="0.25">
      <c r="A468" s="1">
        <v>46044</v>
      </c>
      <c r="B468" t="s">
        <v>663</v>
      </c>
      <c r="C468" t="s">
        <v>96</v>
      </c>
      <c r="D468" t="s">
        <v>71</v>
      </c>
      <c r="E468" t="s">
        <v>72</v>
      </c>
      <c r="F468" t="s">
        <v>36</v>
      </c>
      <c r="G468" t="s">
        <v>51</v>
      </c>
      <c r="H468" t="s">
        <v>52</v>
      </c>
      <c r="I468" t="s">
        <v>77</v>
      </c>
      <c r="J468" s="2">
        <v>2</v>
      </c>
      <c r="K468" s="3">
        <v>263.14999999999998</v>
      </c>
      <c r="L468" s="3">
        <v>123.51</v>
      </c>
      <c r="M468" s="4">
        <v>6.8000000000000005E-2</v>
      </c>
      <c r="N468" s="3">
        <f t="shared" si="35"/>
        <v>526.29999999999995</v>
      </c>
      <c r="O468" s="3">
        <f t="shared" si="36"/>
        <v>490.51</v>
      </c>
      <c r="P468" s="3">
        <f t="shared" si="37"/>
        <v>247.02</v>
      </c>
      <c r="Q468" s="3">
        <f t="shared" si="38"/>
        <v>243.49</v>
      </c>
      <c r="R468" s="4">
        <f t="shared" si="39"/>
        <v>0.49640000000000001</v>
      </c>
      <c r="S468" s="2">
        <v>10</v>
      </c>
      <c r="T468" t="s">
        <v>46</v>
      </c>
      <c r="U468">
        <v>2</v>
      </c>
    </row>
    <row r="469" spans="1:21" x14ac:dyDescent="0.25">
      <c r="A469" s="1">
        <v>46182</v>
      </c>
      <c r="B469" t="s">
        <v>664</v>
      </c>
      <c r="C469" t="s">
        <v>609</v>
      </c>
      <c r="D469" t="s">
        <v>101</v>
      </c>
      <c r="E469" t="s">
        <v>35</v>
      </c>
      <c r="F469" t="s">
        <v>58</v>
      </c>
      <c r="G469" t="s">
        <v>51</v>
      </c>
      <c r="H469" t="s">
        <v>116</v>
      </c>
      <c r="I469" t="s">
        <v>65</v>
      </c>
      <c r="J469" s="2">
        <v>1</v>
      </c>
      <c r="K469" s="3">
        <v>2941.45</v>
      </c>
      <c r="L469" s="3">
        <v>1853.23</v>
      </c>
      <c r="M469" s="4">
        <v>3.5000000000000003E-2</v>
      </c>
      <c r="N469" s="3">
        <f t="shared" si="35"/>
        <v>2941.45</v>
      </c>
      <c r="O469" s="3">
        <f t="shared" si="36"/>
        <v>2838.5</v>
      </c>
      <c r="P469" s="3">
        <f t="shared" si="37"/>
        <v>1853.23</v>
      </c>
      <c r="Q469" s="3">
        <f t="shared" si="38"/>
        <v>985.27</v>
      </c>
      <c r="R469" s="4">
        <f t="shared" si="39"/>
        <v>0.34710000000000002</v>
      </c>
      <c r="S469" s="2">
        <v>3</v>
      </c>
      <c r="T469" t="s">
        <v>46</v>
      </c>
      <c r="U469">
        <v>2</v>
      </c>
    </row>
    <row r="470" spans="1:21" x14ac:dyDescent="0.25">
      <c r="A470" s="1">
        <v>46218</v>
      </c>
      <c r="B470" t="s">
        <v>665</v>
      </c>
      <c r="C470" t="s">
        <v>211</v>
      </c>
      <c r="D470" t="s">
        <v>101</v>
      </c>
      <c r="E470" t="s">
        <v>35</v>
      </c>
      <c r="F470" t="s">
        <v>58</v>
      </c>
      <c r="G470" t="s">
        <v>51</v>
      </c>
      <c r="H470" t="s">
        <v>52</v>
      </c>
      <c r="I470" t="s">
        <v>60</v>
      </c>
      <c r="J470" s="2">
        <v>8</v>
      </c>
      <c r="K470" s="3">
        <v>257.68</v>
      </c>
      <c r="L470" s="3">
        <v>121.97</v>
      </c>
      <c r="M470" s="4">
        <v>3.5000000000000003E-2</v>
      </c>
      <c r="N470" s="3">
        <f t="shared" si="35"/>
        <v>2061.44</v>
      </c>
      <c r="O470" s="3">
        <f t="shared" si="36"/>
        <v>1989.29</v>
      </c>
      <c r="P470" s="3">
        <f t="shared" si="37"/>
        <v>975.76</v>
      </c>
      <c r="Q470" s="3">
        <f t="shared" si="38"/>
        <v>1013.53</v>
      </c>
      <c r="R470" s="4">
        <f t="shared" si="39"/>
        <v>0.50949999999999995</v>
      </c>
      <c r="S470" s="2">
        <v>14</v>
      </c>
      <c r="T470" t="s">
        <v>30</v>
      </c>
      <c r="U470">
        <v>3</v>
      </c>
    </row>
    <row r="471" spans="1:21" x14ac:dyDescent="0.25">
      <c r="A471" s="1">
        <v>46169</v>
      </c>
      <c r="B471" t="s">
        <v>666</v>
      </c>
      <c r="C471" t="s">
        <v>55</v>
      </c>
      <c r="D471" t="s">
        <v>63</v>
      </c>
      <c r="E471" t="s">
        <v>35</v>
      </c>
      <c r="F471" t="s">
        <v>26</v>
      </c>
      <c r="G471" t="s">
        <v>27</v>
      </c>
      <c r="H471" t="s">
        <v>28</v>
      </c>
      <c r="I471" t="s">
        <v>65</v>
      </c>
      <c r="J471" s="2">
        <v>2</v>
      </c>
      <c r="K471" s="3">
        <v>822.16</v>
      </c>
      <c r="L471" s="3">
        <v>457.08</v>
      </c>
      <c r="M471" s="4">
        <v>9.1999999999999998E-2</v>
      </c>
      <c r="N471" s="3">
        <f t="shared" si="35"/>
        <v>1644.32</v>
      </c>
      <c r="O471" s="3">
        <f t="shared" si="36"/>
        <v>1493.04</v>
      </c>
      <c r="P471" s="3">
        <f t="shared" si="37"/>
        <v>914.16</v>
      </c>
      <c r="Q471" s="3">
        <f t="shared" si="38"/>
        <v>578.88</v>
      </c>
      <c r="R471" s="4">
        <f t="shared" si="39"/>
        <v>0.38769999999999999</v>
      </c>
      <c r="S471" s="2">
        <v>2</v>
      </c>
      <c r="T471" t="s">
        <v>46</v>
      </c>
      <c r="U471">
        <v>5</v>
      </c>
    </row>
    <row r="472" spans="1:21" x14ac:dyDescent="0.25">
      <c r="A472" s="1">
        <v>46107</v>
      </c>
      <c r="B472" t="s">
        <v>667</v>
      </c>
      <c r="C472" t="s">
        <v>112</v>
      </c>
      <c r="D472" t="s">
        <v>139</v>
      </c>
      <c r="E472" t="s">
        <v>72</v>
      </c>
      <c r="F472" t="s">
        <v>64</v>
      </c>
      <c r="G472" t="s">
        <v>44</v>
      </c>
      <c r="H472" t="s">
        <v>73</v>
      </c>
      <c r="I472" t="s">
        <v>39</v>
      </c>
      <c r="J472" s="2">
        <v>5</v>
      </c>
      <c r="K472" s="3">
        <v>1598.64</v>
      </c>
      <c r="L472" s="3">
        <v>1137.72</v>
      </c>
      <c r="M472" s="4">
        <v>4.1999999999999997E-3</v>
      </c>
      <c r="N472" s="3">
        <f t="shared" si="35"/>
        <v>7993.2</v>
      </c>
      <c r="O472" s="3">
        <f t="shared" si="36"/>
        <v>7959.63</v>
      </c>
      <c r="P472" s="3">
        <f t="shared" si="37"/>
        <v>5688.6</v>
      </c>
      <c r="Q472" s="3">
        <f t="shared" si="38"/>
        <v>2271.0300000000002</v>
      </c>
      <c r="R472" s="4">
        <f t="shared" si="39"/>
        <v>0.2853</v>
      </c>
      <c r="S472" s="2">
        <v>5</v>
      </c>
      <c r="T472" t="s">
        <v>46</v>
      </c>
      <c r="U472">
        <v>3</v>
      </c>
    </row>
    <row r="473" spans="1:21" x14ac:dyDescent="0.25">
      <c r="A473" s="1">
        <v>46225</v>
      </c>
      <c r="B473" t="s">
        <v>668</v>
      </c>
      <c r="C473" t="s">
        <v>525</v>
      </c>
      <c r="D473" t="s">
        <v>56</v>
      </c>
      <c r="E473" t="s">
        <v>57</v>
      </c>
      <c r="F473" t="s">
        <v>64</v>
      </c>
      <c r="G473" t="s">
        <v>37</v>
      </c>
      <c r="H473" t="s">
        <v>178</v>
      </c>
      <c r="I473" t="s">
        <v>77</v>
      </c>
      <c r="J473" s="2">
        <v>2</v>
      </c>
      <c r="K473" s="3">
        <v>528.66</v>
      </c>
      <c r="L473" s="3">
        <v>245.27</v>
      </c>
      <c r="M473" s="4">
        <v>3.3300000000000003E-2</v>
      </c>
      <c r="N473" s="3">
        <f t="shared" si="35"/>
        <v>1057.32</v>
      </c>
      <c r="O473" s="3">
        <f t="shared" si="36"/>
        <v>1022.11</v>
      </c>
      <c r="P473" s="3">
        <f t="shared" si="37"/>
        <v>490.54</v>
      </c>
      <c r="Q473" s="3">
        <f t="shared" si="38"/>
        <v>531.57000000000005</v>
      </c>
      <c r="R473" s="4">
        <f t="shared" si="39"/>
        <v>0.52010000000000001</v>
      </c>
      <c r="S473" s="2">
        <v>13</v>
      </c>
      <c r="T473" t="s">
        <v>30</v>
      </c>
      <c r="U473">
        <v>2</v>
      </c>
    </row>
    <row r="474" spans="1:21" x14ac:dyDescent="0.25">
      <c r="A474" s="1">
        <v>46225</v>
      </c>
      <c r="B474" t="s">
        <v>669</v>
      </c>
      <c r="C474" t="s">
        <v>315</v>
      </c>
      <c r="D474" t="s">
        <v>85</v>
      </c>
      <c r="E474" t="s">
        <v>50</v>
      </c>
      <c r="F474" t="s">
        <v>64</v>
      </c>
      <c r="G474" t="s">
        <v>37</v>
      </c>
      <c r="H474" t="s">
        <v>38</v>
      </c>
      <c r="I474" t="s">
        <v>92</v>
      </c>
      <c r="J474" s="2">
        <v>5</v>
      </c>
      <c r="K474" s="3">
        <v>435.79</v>
      </c>
      <c r="L474" s="3">
        <v>186.86</v>
      </c>
      <c r="M474" s="4">
        <v>0.1195</v>
      </c>
      <c r="N474" s="3">
        <f t="shared" si="35"/>
        <v>2178.9499999999998</v>
      </c>
      <c r="O474" s="3">
        <f t="shared" si="36"/>
        <v>1918.57</v>
      </c>
      <c r="P474" s="3">
        <f t="shared" si="37"/>
        <v>934.3</v>
      </c>
      <c r="Q474" s="3">
        <f t="shared" si="38"/>
        <v>984.27</v>
      </c>
      <c r="R474" s="4">
        <f t="shared" si="39"/>
        <v>0.51300000000000001</v>
      </c>
      <c r="S474" s="2">
        <v>6</v>
      </c>
      <c r="T474" t="s">
        <v>46</v>
      </c>
      <c r="U474">
        <v>3</v>
      </c>
    </row>
    <row r="475" spans="1:21" x14ac:dyDescent="0.25">
      <c r="A475" s="1">
        <v>46052</v>
      </c>
      <c r="B475" t="s">
        <v>670</v>
      </c>
      <c r="C475" t="s">
        <v>370</v>
      </c>
      <c r="D475" t="s">
        <v>130</v>
      </c>
      <c r="E475" t="s">
        <v>72</v>
      </c>
      <c r="F475" t="s">
        <v>58</v>
      </c>
      <c r="G475" t="s">
        <v>27</v>
      </c>
      <c r="H475" t="s">
        <v>28</v>
      </c>
      <c r="I475" t="s">
        <v>65</v>
      </c>
      <c r="J475" s="2">
        <v>1</v>
      </c>
      <c r="K475" s="3">
        <v>802.41</v>
      </c>
      <c r="L475" s="3">
        <v>492.54</v>
      </c>
      <c r="M475" s="4">
        <v>3.5000000000000003E-2</v>
      </c>
      <c r="N475" s="3">
        <f t="shared" si="35"/>
        <v>802.41</v>
      </c>
      <c r="O475" s="3">
        <f t="shared" si="36"/>
        <v>774.33</v>
      </c>
      <c r="P475" s="3">
        <f t="shared" si="37"/>
        <v>492.54</v>
      </c>
      <c r="Q475" s="3">
        <f t="shared" si="38"/>
        <v>281.79000000000002</v>
      </c>
      <c r="R475" s="4">
        <f t="shared" si="39"/>
        <v>0.3639</v>
      </c>
      <c r="S475" s="2">
        <v>11</v>
      </c>
      <c r="T475" t="s">
        <v>30</v>
      </c>
      <c r="U475">
        <v>2</v>
      </c>
    </row>
    <row r="476" spans="1:21" x14ac:dyDescent="0.25">
      <c r="A476" s="1">
        <v>46118</v>
      </c>
      <c r="B476" t="s">
        <v>671</v>
      </c>
      <c r="C476" t="s">
        <v>204</v>
      </c>
      <c r="D476" t="s">
        <v>126</v>
      </c>
      <c r="E476" t="s">
        <v>57</v>
      </c>
      <c r="F476" t="s">
        <v>58</v>
      </c>
      <c r="G476" t="s">
        <v>51</v>
      </c>
      <c r="H476" t="s">
        <v>116</v>
      </c>
      <c r="I476" t="s">
        <v>94</v>
      </c>
      <c r="J476" s="2">
        <v>2</v>
      </c>
      <c r="K476" s="3">
        <v>2841.27</v>
      </c>
      <c r="L476" s="3">
        <v>1893.92</v>
      </c>
      <c r="M476" s="4">
        <v>3.5000000000000003E-2</v>
      </c>
      <c r="N476" s="3">
        <f t="shared" si="35"/>
        <v>5682.54</v>
      </c>
      <c r="O476" s="3">
        <f t="shared" si="36"/>
        <v>5483.65</v>
      </c>
      <c r="P476" s="3">
        <f t="shared" si="37"/>
        <v>3787.84</v>
      </c>
      <c r="Q476" s="3">
        <f t="shared" si="38"/>
        <v>1695.81</v>
      </c>
      <c r="R476" s="4">
        <f t="shared" si="39"/>
        <v>0.30919999999999997</v>
      </c>
      <c r="S476" s="2">
        <v>14</v>
      </c>
      <c r="T476" t="s">
        <v>30</v>
      </c>
      <c r="U476">
        <v>3</v>
      </c>
    </row>
    <row r="477" spans="1:21" x14ac:dyDescent="0.25">
      <c r="A477" s="1">
        <v>46036</v>
      </c>
      <c r="B477" t="s">
        <v>672</v>
      </c>
      <c r="C477" t="s">
        <v>79</v>
      </c>
      <c r="D477" t="s">
        <v>126</v>
      </c>
      <c r="E477" t="s">
        <v>57</v>
      </c>
      <c r="F477" t="s">
        <v>26</v>
      </c>
      <c r="G477" t="s">
        <v>37</v>
      </c>
      <c r="H477" t="s">
        <v>104</v>
      </c>
      <c r="I477" t="s">
        <v>87</v>
      </c>
      <c r="J477" s="2">
        <v>3</v>
      </c>
      <c r="K477" s="3">
        <v>323.83999999999997</v>
      </c>
      <c r="L477" s="3">
        <v>134.25</v>
      </c>
      <c r="M477" s="4">
        <v>0</v>
      </c>
      <c r="N477" s="3">
        <f t="shared" si="35"/>
        <v>971.52</v>
      </c>
      <c r="O477" s="3">
        <f t="shared" si="36"/>
        <v>971.52</v>
      </c>
      <c r="P477" s="3">
        <f t="shared" si="37"/>
        <v>402.75</v>
      </c>
      <c r="Q477" s="3">
        <f t="shared" si="38"/>
        <v>568.77</v>
      </c>
      <c r="R477" s="4">
        <f t="shared" si="39"/>
        <v>0.58540000000000003</v>
      </c>
      <c r="S477" s="2">
        <v>10</v>
      </c>
      <c r="T477" t="s">
        <v>46</v>
      </c>
      <c r="U477">
        <v>4</v>
      </c>
    </row>
    <row r="478" spans="1:21" x14ac:dyDescent="0.25">
      <c r="A478" s="1">
        <v>46058</v>
      </c>
      <c r="B478" t="s">
        <v>673</v>
      </c>
      <c r="C478" t="s">
        <v>146</v>
      </c>
      <c r="D478" t="s">
        <v>24</v>
      </c>
      <c r="E478" t="s">
        <v>25</v>
      </c>
      <c r="F478" t="s">
        <v>26</v>
      </c>
      <c r="G478" t="s">
        <v>37</v>
      </c>
      <c r="H478" t="s">
        <v>178</v>
      </c>
      <c r="I478" t="s">
        <v>29</v>
      </c>
      <c r="J478" s="2">
        <v>4</v>
      </c>
      <c r="K478" s="3">
        <v>500.39</v>
      </c>
      <c r="L478" s="3">
        <v>260.62</v>
      </c>
      <c r="M478" s="4">
        <v>7.4399999999999994E-2</v>
      </c>
      <c r="N478" s="3">
        <f t="shared" si="35"/>
        <v>2001.56</v>
      </c>
      <c r="O478" s="3">
        <f t="shared" si="36"/>
        <v>1852.64</v>
      </c>
      <c r="P478" s="3">
        <f t="shared" si="37"/>
        <v>1042.48</v>
      </c>
      <c r="Q478" s="3">
        <f t="shared" si="38"/>
        <v>810.16</v>
      </c>
      <c r="R478" s="4">
        <f t="shared" si="39"/>
        <v>0.43730000000000002</v>
      </c>
      <c r="S478" s="2">
        <v>11</v>
      </c>
      <c r="T478" t="s">
        <v>30</v>
      </c>
      <c r="U478">
        <v>3</v>
      </c>
    </row>
    <row r="479" spans="1:21" x14ac:dyDescent="0.25">
      <c r="A479" s="1">
        <v>46177</v>
      </c>
      <c r="B479" t="s">
        <v>674</v>
      </c>
      <c r="C479" t="s">
        <v>315</v>
      </c>
      <c r="D479" t="s">
        <v>43</v>
      </c>
      <c r="E479" t="s">
        <v>25</v>
      </c>
      <c r="F479" t="s">
        <v>58</v>
      </c>
      <c r="G479" t="s">
        <v>44</v>
      </c>
      <c r="H479" t="s">
        <v>45</v>
      </c>
      <c r="I479" t="s">
        <v>53</v>
      </c>
      <c r="J479" s="2">
        <v>7</v>
      </c>
      <c r="K479" s="3">
        <v>394.21</v>
      </c>
      <c r="L479" s="3">
        <v>220.96</v>
      </c>
      <c r="M479" s="4">
        <v>6.2100000000000002E-2</v>
      </c>
      <c r="N479" s="3">
        <f t="shared" si="35"/>
        <v>2759.47</v>
      </c>
      <c r="O479" s="3">
        <f t="shared" si="36"/>
        <v>2588.11</v>
      </c>
      <c r="P479" s="3">
        <f t="shared" si="37"/>
        <v>1546.72</v>
      </c>
      <c r="Q479" s="3">
        <f t="shared" si="38"/>
        <v>1041.3900000000001</v>
      </c>
      <c r="R479" s="4">
        <f t="shared" si="39"/>
        <v>0.40239999999999998</v>
      </c>
      <c r="S479" s="2">
        <v>14</v>
      </c>
      <c r="T479" t="s">
        <v>30</v>
      </c>
      <c r="U479">
        <v>3</v>
      </c>
    </row>
    <row r="480" spans="1:21" x14ac:dyDescent="0.25">
      <c r="A480" s="1">
        <v>46115</v>
      </c>
      <c r="B480" t="s">
        <v>675</v>
      </c>
      <c r="C480" t="s">
        <v>134</v>
      </c>
      <c r="D480" t="s">
        <v>126</v>
      </c>
      <c r="E480" t="s">
        <v>57</v>
      </c>
      <c r="F480" t="s">
        <v>36</v>
      </c>
      <c r="G480" t="s">
        <v>37</v>
      </c>
      <c r="H480" t="s">
        <v>178</v>
      </c>
      <c r="I480" t="s">
        <v>53</v>
      </c>
      <c r="J480" s="2">
        <v>2</v>
      </c>
      <c r="K480" s="3">
        <v>499.05</v>
      </c>
      <c r="L480" s="3">
        <v>248.04</v>
      </c>
      <c r="M480" s="4">
        <v>4.1399999999999999E-2</v>
      </c>
      <c r="N480" s="3">
        <f t="shared" si="35"/>
        <v>998.1</v>
      </c>
      <c r="O480" s="3">
        <f t="shared" si="36"/>
        <v>956.78</v>
      </c>
      <c r="P480" s="3">
        <f t="shared" si="37"/>
        <v>496.08</v>
      </c>
      <c r="Q480" s="3">
        <f t="shared" si="38"/>
        <v>460.7</v>
      </c>
      <c r="R480" s="4">
        <f t="shared" si="39"/>
        <v>0.48149999999999998</v>
      </c>
      <c r="S480" s="2">
        <v>8</v>
      </c>
      <c r="T480" t="s">
        <v>46</v>
      </c>
      <c r="U480">
        <v>4</v>
      </c>
    </row>
    <row r="481" spans="1:21" x14ac:dyDescent="0.25">
      <c r="A481" s="1">
        <v>46053</v>
      </c>
      <c r="B481" t="s">
        <v>676</v>
      </c>
      <c r="C481" t="s">
        <v>201</v>
      </c>
      <c r="D481" t="s">
        <v>63</v>
      </c>
      <c r="E481" t="s">
        <v>35</v>
      </c>
      <c r="F481" t="s">
        <v>26</v>
      </c>
      <c r="G481" t="s">
        <v>44</v>
      </c>
      <c r="H481" t="s">
        <v>73</v>
      </c>
      <c r="I481" t="s">
        <v>60</v>
      </c>
      <c r="J481" s="2">
        <v>8</v>
      </c>
      <c r="K481" s="3">
        <v>1781.8</v>
      </c>
      <c r="L481" s="3">
        <v>1073.7</v>
      </c>
      <c r="M481" s="4">
        <v>0.1179</v>
      </c>
      <c r="N481" s="3">
        <f t="shared" si="35"/>
        <v>14254.4</v>
      </c>
      <c r="O481" s="3">
        <f t="shared" si="36"/>
        <v>12573.81</v>
      </c>
      <c r="P481" s="3">
        <f t="shared" si="37"/>
        <v>8589.6</v>
      </c>
      <c r="Q481" s="3">
        <f t="shared" si="38"/>
        <v>3984.21</v>
      </c>
      <c r="R481" s="4">
        <f t="shared" si="39"/>
        <v>0.31690000000000002</v>
      </c>
      <c r="S481" s="2">
        <v>11</v>
      </c>
      <c r="T481" t="s">
        <v>30</v>
      </c>
      <c r="U481">
        <v>4</v>
      </c>
    </row>
    <row r="482" spans="1:21" x14ac:dyDescent="0.25">
      <c r="A482" s="1">
        <v>46192</v>
      </c>
      <c r="B482" t="s">
        <v>677</v>
      </c>
      <c r="C482" t="s">
        <v>138</v>
      </c>
      <c r="D482" t="s">
        <v>24</v>
      </c>
      <c r="E482" t="s">
        <v>25</v>
      </c>
      <c r="F482" t="s">
        <v>26</v>
      </c>
      <c r="G482" t="s">
        <v>37</v>
      </c>
      <c r="H482" t="s">
        <v>178</v>
      </c>
      <c r="I482" t="s">
        <v>53</v>
      </c>
      <c r="J482" s="2">
        <v>7</v>
      </c>
      <c r="K482" s="3">
        <v>500.03</v>
      </c>
      <c r="L482" s="3">
        <v>239.33</v>
      </c>
      <c r="M482" s="4">
        <v>0.10009999999999999</v>
      </c>
      <c r="N482" s="3">
        <f t="shared" si="35"/>
        <v>3500.21</v>
      </c>
      <c r="O482" s="3">
        <f t="shared" si="36"/>
        <v>3149.84</v>
      </c>
      <c r="P482" s="3">
        <f t="shared" si="37"/>
        <v>1675.31</v>
      </c>
      <c r="Q482" s="3">
        <f t="shared" si="38"/>
        <v>1474.53</v>
      </c>
      <c r="R482" s="4">
        <f t="shared" si="39"/>
        <v>0.46810000000000002</v>
      </c>
      <c r="S482" s="2">
        <v>9</v>
      </c>
      <c r="T482" t="s">
        <v>46</v>
      </c>
      <c r="U482">
        <v>5</v>
      </c>
    </row>
    <row r="483" spans="1:21" x14ac:dyDescent="0.25">
      <c r="A483" s="1">
        <v>46182</v>
      </c>
      <c r="B483" t="s">
        <v>678</v>
      </c>
      <c r="C483" t="s">
        <v>84</v>
      </c>
      <c r="D483" t="s">
        <v>101</v>
      </c>
      <c r="E483" t="s">
        <v>35</v>
      </c>
      <c r="F483" t="s">
        <v>64</v>
      </c>
      <c r="G483" t="s">
        <v>27</v>
      </c>
      <c r="H483" t="s">
        <v>86</v>
      </c>
      <c r="I483" t="s">
        <v>92</v>
      </c>
      <c r="J483" s="2">
        <v>8</v>
      </c>
      <c r="K483" s="3">
        <v>1976.15</v>
      </c>
      <c r="L483" s="3">
        <v>1147.4000000000001</v>
      </c>
      <c r="M483" s="4">
        <v>3.4099999999999998E-2</v>
      </c>
      <c r="N483" s="3">
        <f t="shared" si="35"/>
        <v>15809.2</v>
      </c>
      <c r="O483" s="3">
        <f t="shared" si="36"/>
        <v>15270.11</v>
      </c>
      <c r="P483" s="3">
        <f t="shared" si="37"/>
        <v>9179.2000000000007</v>
      </c>
      <c r="Q483" s="3">
        <f t="shared" si="38"/>
        <v>6090.91</v>
      </c>
      <c r="R483" s="4">
        <f t="shared" si="39"/>
        <v>0.39889999999999998</v>
      </c>
      <c r="S483" s="2">
        <v>14</v>
      </c>
      <c r="T483" t="s">
        <v>30</v>
      </c>
      <c r="U483">
        <v>4</v>
      </c>
    </row>
    <row r="484" spans="1:21" x14ac:dyDescent="0.25">
      <c r="A484" s="1">
        <v>46226</v>
      </c>
      <c r="B484" t="s">
        <v>679</v>
      </c>
      <c r="C484" t="s">
        <v>251</v>
      </c>
      <c r="D484" t="s">
        <v>113</v>
      </c>
      <c r="E484" t="s">
        <v>50</v>
      </c>
      <c r="F484" t="s">
        <v>64</v>
      </c>
      <c r="G484" t="s">
        <v>27</v>
      </c>
      <c r="H484" t="s">
        <v>28</v>
      </c>
      <c r="I484" t="s">
        <v>92</v>
      </c>
      <c r="J484" s="2">
        <v>2</v>
      </c>
      <c r="K484" s="3">
        <v>804.7</v>
      </c>
      <c r="L484" s="3">
        <v>468.18</v>
      </c>
      <c r="M484" s="4">
        <v>0</v>
      </c>
      <c r="N484" s="3">
        <f t="shared" si="35"/>
        <v>1609.4</v>
      </c>
      <c r="O484" s="3">
        <f t="shared" si="36"/>
        <v>1609.4</v>
      </c>
      <c r="P484" s="3">
        <f t="shared" si="37"/>
        <v>936.36</v>
      </c>
      <c r="Q484" s="3">
        <f t="shared" si="38"/>
        <v>673.04</v>
      </c>
      <c r="R484" s="4">
        <f t="shared" si="39"/>
        <v>0.41820000000000002</v>
      </c>
      <c r="S484" s="2">
        <v>14</v>
      </c>
      <c r="T484" t="s">
        <v>30</v>
      </c>
      <c r="U484">
        <v>2</v>
      </c>
    </row>
    <row r="485" spans="1:21" x14ac:dyDescent="0.25">
      <c r="A485" s="1">
        <v>46208</v>
      </c>
      <c r="B485" t="s">
        <v>680</v>
      </c>
      <c r="C485" t="s">
        <v>96</v>
      </c>
      <c r="D485" t="s">
        <v>101</v>
      </c>
      <c r="E485" t="s">
        <v>35</v>
      </c>
      <c r="F485" t="s">
        <v>36</v>
      </c>
      <c r="G485" t="s">
        <v>44</v>
      </c>
      <c r="H485" t="s">
        <v>45</v>
      </c>
      <c r="I485" t="s">
        <v>65</v>
      </c>
      <c r="J485" s="2">
        <v>2</v>
      </c>
      <c r="K485" s="3">
        <v>403.07</v>
      </c>
      <c r="L485" s="3">
        <v>211.42</v>
      </c>
      <c r="M485" s="4">
        <v>0</v>
      </c>
      <c r="N485" s="3">
        <f t="shared" si="35"/>
        <v>806.14</v>
      </c>
      <c r="O485" s="3">
        <f t="shared" si="36"/>
        <v>806.14</v>
      </c>
      <c r="P485" s="3">
        <f t="shared" si="37"/>
        <v>422.84</v>
      </c>
      <c r="Q485" s="3">
        <f t="shared" si="38"/>
        <v>383.3</v>
      </c>
      <c r="R485" s="4">
        <f t="shared" si="39"/>
        <v>0.47549999999999998</v>
      </c>
      <c r="S485" s="2">
        <v>5</v>
      </c>
      <c r="T485" t="s">
        <v>46</v>
      </c>
      <c r="U485">
        <v>5</v>
      </c>
    </row>
    <row r="486" spans="1:21" x14ac:dyDescent="0.25">
      <c r="A486" s="1">
        <v>46181</v>
      </c>
      <c r="B486" t="s">
        <v>681</v>
      </c>
      <c r="C486" t="s">
        <v>198</v>
      </c>
      <c r="D486" t="s">
        <v>130</v>
      </c>
      <c r="E486" t="s">
        <v>72</v>
      </c>
      <c r="F486" t="s">
        <v>58</v>
      </c>
      <c r="G486" t="s">
        <v>44</v>
      </c>
      <c r="H486" t="s">
        <v>124</v>
      </c>
      <c r="I486" t="s">
        <v>65</v>
      </c>
      <c r="J486" s="2">
        <v>3</v>
      </c>
      <c r="K486" s="3">
        <v>5795.16</v>
      </c>
      <c r="L486" s="3">
        <v>4512.41</v>
      </c>
      <c r="M486" s="4">
        <v>3.5000000000000003E-2</v>
      </c>
      <c r="N486" s="3">
        <f t="shared" si="35"/>
        <v>17385.48</v>
      </c>
      <c r="O486" s="3">
        <f t="shared" si="36"/>
        <v>16776.990000000002</v>
      </c>
      <c r="P486" s="3">
        <f t="shared" si="37"/>
        <v>13537.23</v>
      </c>
      <c r="Q486" s="3">
        <f t="shared" si="38"/>
        <v>3239.76</v>
      </c>
      <c r="R486" s="4">
        <f t="shared" si="39"/>
        <v>0.19309999999999999</v>
      </c>
      <c r="S486" s="2">
        <v>4</v>
      </c>
      <c r="T486" t="s">
        <v>46</v>
      </c>
      <c r="U486">
        <v>3</v>
      </c>
    </row>
    <row r="487" spans="1:21" x14ac:dyDescent="0.25">
      <c r="A487" s="1">
        <v>46142</v>
      </c>
      <c r="B487" t="s">
        <v>682</v>
      </c>
      <c r="C487" t="s">
        <v>168</v>
      </c>
      <c r="D487" t="s">
        <v>97</v>
      </c>
      <c r="E487" t="s">
        <v>57</v>
      </c>
      <c r="F487" t="s">
        <v>26</v>
      </c>
      <c r="G487" t="s">
        <v>37</v>
      </c>
      <c r="H487" t="s">
        <v>38</v>
      </c>
      <c r="I487" t="s">
        <v>29</v>
      </c>
      <c r="J487" s="2">
        <v>7</v>
      </c>
      <c r="K487" s="3">
        <v>426.74</v>
      </c>
      <c r="L487" s="3">
        <v>198.6</v>
      </c>
      <c r="M487" s="4">
        <v>0.1024</v>
      </c>
      <c r="N487" s="3">
        <f t="shared" si="35"/>
        <v>2987.18</v>
      </c>
      <c r="O487" s="3">
        <f t="shared" si="36"/>
        <v>2681.29</v>
      </c>
      <c r="P487" s="3">
        <f t="shared" si="37"/>
        <v>1390.2</v>
      </c>
      <c r="Q487" s="3">
        <f t="shared" si="38"/>
        <v>1291.0899999999999</v>
      </c>
      <c r="R487" s="4">
        <f t="shared" si="39"/>
        <v>0.48149999999999998</v>
      </c>
      <c r="S487" s="2">
        <v>10</v>
      </c>
      <c r="T487" t="s">
        <v>46</v>
      </c>
      <c r="U487">
        <v>4</v>
      </c>
    </row>
    <row r="488" spans="1:21" x14ac:dyDescent="0.25">
      <c r="A488" s="1">
        <v>46059</v>
      </c>
      <c r="B488" t="s">
        <v>683</v>
      </c>
      <c r="C488" t="s">
        <v>401</v>
      </c>
      <c r="D488" t="s">
        <v>97</v>
      </c>
      <c r="E488" t="s">
        <v>57</v>
      </c>
      <c r="F488" t="s">
        <v>36</v>
      </c>
      <c r="G488" t="s">
        <v>27</v>
      </c>
      <c r="H488" t="s">
        <v>68</v>
      </c>
      <c r="I488" t="s">
        <v>29</v>
      </c>
      <c r="J488" s="2">
        <v>3</v>
      </c>
      <c r="K488" s="3">
        <v>1307.1099999999999</v>
      </c>
      <c r="L488" s="3">
        <v>739.77</v>
      </c>
      <c r="M488" s="4">
        <v>4.8800000000000003E-2</v>
      </c>
      <c r="N488" s="3">
        <f t="shared" si="35"/>
        <v>3921.33</v>
      </c>
      <c r="O488" s="3">
        <f t="shared" si="36"/>
        <v>3729.97</v>
      </c>
      <c r="P488" s="3">
        <f t="shared" si="37"/>
        <v>2219.31</v>
      </c>
      <c r="Q488" s="3">
        <f t="shared" si="38"/>
        <v>1510.66</v>
      </c>
      <c r="R488" s="4">
        <f t="shared" si="39"/>
        <v>0.40500000000000003</v>
      </c>
      <c r="S488" s="2">
        <v>6</v>
      </c>
      <c r="T488" t="s">
        <v>40</v>
      </c>
    </row>
    <row r="489" spans="1:21" x14ac:dyDescent="0.25">
      <c r="A489" s="1">
        <v>46066</v>
      </c>
      <c r="B489" t="s">
        <v>684</v>
      </c>
      <c r="C489" t="s">
        <v>159</v>
      </c>
      <c r="D489" t="s">
        <v>63</v>
      </c>
      <c r="E489" t="s">
        <v>35</v>
      </c>
      <c r="F489" t="s">
        <v>64</v>
      </c>
      <c r="G489" t="s">
        <v>27</v>
      </c>
      <c r="H489" t="s">
        <v>68</v>
      </c>
      <c r="I489" t="s">
        <v>94</v>
      </c>
      <c r="J489" s="2">
        <v>4</v>
      </c>
      <c r="K489" s="3">
        <v>1214.33</v>
      </c>
      <c r="L489" s="3">
        <v>799.16</v>
      </c>
      <c r="M489" s="4">
        <v>0</v>
      </c>
      <c r="N489" s="3">
        <f t="shared" si="35"/>
        <v>4857.32</v>
      </c>
      <c r="O489" s="3">
        <f t="shared" si="36"/>
        <v>4857.32</v>
      </c>
      <c r="P489" s="3">
        <f t="shared" si="37"/>
        <v>3196.64</v>
      </c>
      <c r="Q489" s="3">
        <f t="shared" si="38"/>
        <v>1660.68</v>
      </c>
      <c r="R489" s="4">
        <f t="shared" si="39"/>
        <v>0.34189999999999998</v>
      </c>
      <c r="S489" s="2">
        <v>3</v>
      </c>
      <c r="T489" t="s">
        <v>46</v>
      </c>
      <c r="U489">
        <v>4</v>
      </c>
    </row>
    <row r="490" spans="1:21" x14ac:dyDescent="0.25">
      <c r="A490" s="1">
        <v>46173</v>
      </c>
      <c r="B490" t="s">
        <v>685</v>
      </c>
      <c r="C490" t="s">
        <v>190</v>
      </c>
      <c r="D490" t="s">
        <v>126</v>
      </c>
      <c r="E490" t="s">
        <v>57</v>
      </c>
      <c r="F490" t="s">
        <v>36</v>
      </c>
      <c r="G490" t="s">
        <v>51</v>
      </c>
      <c r="H490" t="s">
        <v>52</v>
      </c>
      <c r="I490" t="s">
        <v>29</v>
      </c>
      <c r="J490" s="2">
        <v>7</v>
      </c>
      <c r="K490" s="3">
        <v>260.63</v>
      </c>
      <c r="L490" s="3">
        <v>117.15</v>
      </c>
      <c r="M490" s="4">
        <v>0</v>
      </c>
      <c r="N490" s="3">
        <f t="shared" si="35"/>
        <v>1824.41</v>
      </c>
      <c r="O490" s="3">
        <f t="shared" si="36"/>
        <v>1824.41</v>
      </c>
      <c r="P490" s="3">
        <f t="shared" si="37"/>
        <v>820.05</v>
      </c>
      <c r="Q490" s="3">
        <f t="shared" si="38"/>
        <v>1004.36</v>
      </c>
      <c r="R490" s="4">
        <f t="shared" si="39"/>
        <v>0.55049999999999999</v>
      </c>
      <c r="S490" s="2">
        <v>4</v>
      </c>
      <c r="T490" t="s">
        <v>46</v>
      </c>
      <c r="U490">
        <v>2</v>
      </c>
    </row>
    <row r="491" spans="1:21" x14ac:dyDescent="0.25">
      <c r="A491" s="1">
        <v>46085</v>
      </c>
      <c r="B491" t="s">
        <v>686</v>
      </c>
      <c r="C491" t="s">
        <v>687</v>
      </c>
      <c r="D491" t="s">
        <v>139</v>
      </c>
      <c r="E491" t="s">
        <v>72</v>
      </c>
      <c r="F491" t="s">
        <v>58</v>
      </c>
      <c r="G491" t="s">
        <v>37</v>
      </c>
      <c r="H491" t="s">
        <v>38</v>
      </c>
      <c r="I491" t="s">
        <v>77</v>
      </c>
      <c r="J491" s="2">
        <v>7</v>
      </c>
      <c r="K491" s="3">
        <v>405.64</v>
      </c>
      <c r="L491" s="3">
        <v>190.01</v>
      </c>
      <c r="M491" s="4">
        <v>0.12330000000000001</v>
      </c>
      <c r="N491" s="3">
        <f t="shared" si="35"/>
        <v>2839.48</v>
      </c>
      <c r="O491" s="3">
        <f t="shared" si="36"/>
        <v>2489.37</v>
      </c>
      <c r="P491" s="3">
        <f t="shared" si="37"/>
        <v>1330.07</v>
      </c>
      <c r="Q491" s="3">
        <f t="shared" si="38"/>
        <v>1159.3</v>
      </c>
      <c r="R491" s="4">
        <f t="shared" si="39"/>
        <v>0.4657</v>
      </c>
      <c r="S491" s="2">
        <v>12</v>
      </c>
      <c r="T491" t="s">
        <v>30</v>
      </c>
      <c r="U491">
        <v>4</v>
      </c>
    </row>
    <row r="492" spans="1:21" x14ac:dyDescent="0.25">
      <c r="A492" s="1">
        <v>46187</v>
      </c>
      <c r="B492" t="s">
        <v>688</v>
      </c>
      <c r="C492" t="s">
        <v>384</v>
      </c>
      <c r="D492" t="s">
        <v>34</v>
      </c>
      <c r="E492" t="s">
        <v>35</v>
      </c>
      <c r="F492" t="s">
        <v>26</v>
      </c>
      <c r="G492" t="s">
        <v>51</v>
      </c>
      <c r="H492" t="s">
        <v>59</v>
      </c>
      <c r="I492" t="s">
        <v>87</v>
      </c>
      <c r="J492" s="2">
        <v>8</v>
      </c>
      <c r="K492" s="3">
        <v>2217.84</v>
      </c>
      <c r="L492" s="3">
        <v>1367.46</v>
      </c>
      <c r="M492" s="4">
        <v>0</v>
      </c>
      <c r="N492" s="3">
        <f t="shared" si="35"/>
        <v>17742.72</v>
      </c>
      <c r="O492" s="3">
        <f t="shared" si="36"/>
        <v>17742.72</v>
      </c>
      <c r="P492" s="3">
        <f t="shared" si="37"/>
        <v>10939.68</v>
      </c>
      <c r="Q492" s="3">
        <f t="shared" si="38"/>
        <v>6803.04</v>
      </c>
      <c r="R492" s="4">
        <f t="shared" si="39"/>
        <v>0.38340000000000002</v>
      </c>
      <c r="S492" s="2">
        <v>7</v>
      </c>
      <c r="T492" t="s">
        <v>46</v>
      </c>
      <c r="U492">
        <v>3</v>
      </c>
    </row>
    <row r="493" spans="1:21" x14ac:dyDescent="0.25">
      <c r="A493" s="1">
        <v>46234</v>
      </c>
      <c r="B493" t="s">
        <v>689</v>
      </c>
      <c r="C493" t="s">
        <v>297</v>
      </c>
      <c r="D493" t="s">
        <v>49</v>
      </c>
      <c r="E493" t="s">
        <v>50</v>
      </c>
      <c r="F493" t="s">
        <v>26</v>
      </c>
      <c r="G493" t="s">
        <v>27</v>
      </c>
      <c r="H493" t="s">
        <v>28</v>
      </c>
      <c r="I493" t="s">
        <v>65</v>
      </c>
      <c r="J493" s="2">
        <v>3</v>
      </c>
      <c r="K493" s="3">
        <v>768.58</v>
      </c>
      <c r="L493" s="3">
        <v>441.74</v>
      </c>
      <c r="M493" s="4">
        <v>2.3999999999999998E-3</v>
      </c>
      <c r="N493" s="3">
        <f t="shared" si="35"/>
        <v>2305.7399999999998</v>
      </c>
      <c r="O493" s="3">
        <f t="shared" si="36"/>
        <v>2300.21</v>
      </c>
      <c r="P493" s="3">
        <f t="shared" si="37"/>
        <v>1325.22</v>
      </c>
      <c r="Q493" s="3">
        <f t="shared" si="38"/>
        <v>974.99</v>
      </c>
      <c r="R493" s="4">
        <f t="shared" si="39"/>
        <v>0.4239</v>
      </c>
      <c r="S493" s="2">
        <v>4</v>
      </c>
      <c r="T493" t="s">
        <v>46</v>
      </c>
      <c r="U493">
        <v>3</v>
      </c>
    </row>
    <row r="494" spans="1:21" x14ac:dyDescent="0.25">
      <c r="A494" s="1">
        <v>46226</v>
      </c>
      <c r="B494" t="s">
        <v>690</v>
      </c>
      <c r="C494" t="s">
        <v>120</v>
      </c>
      <c r="D494" t="s">
        <v>139</v>
      </c>
      <c r="E494" t="s">
        <v>72</v>
      </c>
      <c r="F494" t="s">
        <v>58</v>
      </c>
      <c r="G494" t="s">
        <v>37</v>
      </c>
      <c r="H494" t="s">
        <v>104</v>
      </c>
      <c r="I494" t="s">
        <v>87</v>
      </c>
      <c r="J494" s="2">
        <v>6</v>
      </c>
      <c r="K494" s="3">
        <v>312.14</v>
      </c>
      <c r="L494" s="3">
        <v>134.19999999999999</v>
      </c>
      <c r="M494" s="4">
        <v>0.1178</v>
      </c>
      <c r="N494" s="3">
        <f t="shared" si="35"/>
        <v>1872.84</v>
      </c>
      <c r="O494" s="3">
        <f t="shared" si="36"/>
        <v>1652.22</v>
      </c>
      <c r="P494" s="3">
        <f t="shared" si="37"/>
        <v>805.2</v>
      </c>
      <c r="Q494" s="3">
        <f t="shared" si="38"/>
        <v>847.02</v>
      </c>
      <c r="R494" s="4">
        <f t="shared" si="39"/>
        <v>0.51270000000000004</v>
      </c>
      <c r="S494" s="2">
        <v>11</v>
      </c>
      <c r="T494" t="s">
        <v>30</v>
      </c>
      <c r="U494">
        <v>4</v>
      </c>
    </row>
    <row r="495" spans="1:21" x14ac:dyDescent="0.25">
      <c r="A495" s="1">
        <v>46034</v>
      </c>
      <c r="B495" t="s">
        <v>691</v>
      </c>
      <c r="C495" t="s">
        <v>525</v>
      </c>
      <c r="D495" t="s">
        <v>85</v>
      </c>
      <c r="E495" t="s">
        <v>50</v>
      </c>
      <c r="F495" t="s">
        <v>58</v>
      </c>
      <c r="G495" t="s">
        <v>27</v>
      </c>
      <c r="H495" t="s">
        <v>86</v>
      </c>
      <c r="I495" t="s">
        <v>53</v>
      </c>
      <c r="J495" s="2">
        <v>2</v>
      </c>
      <c r="K495" s="3">
        <v>1881.77</v>
      </c>
      <c r="L495" s="3">
        <v>1154.03</v>
      </c>
      <c r="M495" s="4">
        <v>0.13070000000000001</v>
      </c>
      <c r="N495" s="3">
        <f t="shared" si="35"/>
        <v>3763.54</v>
      </c>
      <c r="O495" s="3">
        <f t="shared" si="36"/>
        <v>3271.65</v>
      </c>
      <c r="P495" s="3">
        <f t="shared" si="37"/>
        <v>2308.06</v>
      </c>
      <c r="Q495" s="3">
        <f t="shared" si="38"/>
        <v>963.59</v>
      </c>
      <c r="R495" s="4">
        <f t="shared" si="39"/>
        <v>0.29449999999999998</v>
      </c>
      <c r="S495" s="2">
        <v>12</v>
      </c>
      <c r="T495" t="s">
        <v>30</v>
      </c>
      <c r="U495">
        <v>2</v>
      </c>
    </row>
    <row r="496" spans="1:21" x14ac:dyDescent="0.25">
      <c r="A496" s="1">
        <v>46196</v>
      </c>
      <c r="B496" t="s">
        <v>692</v>
      </c>
      <c r="C496" t="s">
        <v>23</v>
      </c>
      <c r="D496" t="s">
        <v>56</v>
      </c>
      <c r="E496" t="s">
        <v>57</v>
      </c>
      <c r="F496" t="s">
        <v>36</v>
      </c>
      <c r="G496" t="s">
        <v>27</v>
      </c>
      <c r="H496" t="s">
        <v>28</v>
      </c>
      <c r="I496" t="s">
        <v>77</v>
      </c>
      <c r="J496" s="2">
        <v>3</v>
      </c>
      <c r="K496" s="3">
        <v>792.61</v>
      </c>
      <c r="L496" s="3">
        <v>466.8</v>
      </c>
      <c r="M496" s="4">
        <v>3.2199999999999999E-2</v>
      </c>
      <c r="N496" s="3">
        <f t="shared" si="35"/>
        <v>2377.83</v>
      </c>
      <c r="O496" s="3">
        <f t="shared" si="36"/>
        <v>2301.2600000000002</v>
      </c>
      <c r="P496" s="3">
        <f t="shared" si="37"/>
        <v>1400.4</v>
      </c>
      <c r="Q496" s="3">
        <f t="shared" si="38"/>
        <v>900.86</v>
      </c>
      <c r="R496" s="4">
        <f t="shared" si="39"/>
        <v>0.39150000000000001</v>
      </c>
      <c r="S496" s="2">
        <v>6</v>
      </c>
      <c r="T496" t="s">
        <v>46</v>
      </c>
      <c r="U496">
        <v>2</v>
      </c>
    </row>
    <row r="497" spans="1:21" x14ac:dyDescent="0.25">
      <c r="A497" s="1">
        <v>46069</v>
      </c>
      <c r="B497" t="s">
        <v>693</v>
      </c>
      <c r="C497" t="s">
        <v>142</v>
      </c>
      <c r="D497" t="s">
        <v>71</v>
      </c>
      <c r="E497" t="s">
        <v>72</v>
      </c>
      <c r="F497" t="s">
        <v>26</v>
      </c>
      <c r="G497" t="s">
        <v>51</v>
      </c>
      <c r="H497" t="s">
        <v>52</v>
      </c>
      <c r="I497" t="s">
        <v>53</v>
      </c>
      <c r="J497" s="2">
        <v>3</v>
      </c>
      <c r="K497" s="3">
        <v>249.89</v>
      </c>
      <c r="L497" s="3">
        <v>118.03</v>
      </c>
      <c r="M497" s="4">
        <v>0</v>
      </c>
      <c r="N497" s="3">
        <f t="shared" si="35"/>
        <v>749.67</v>
      </c>
      <c r="O497" s="3">
        <f t="shared" si="36"/>
        <v>749.67</v>
      </c>
      <c r="P497" s="3">
        <f t="shared" si="37"/>
        <v>354.09</v>
      </c>
      <c r="Q497" s="3">
        <f t="shared" si="38"/>
        <v>395.58</v>
      </c>
      <c r="R497" s="4">
        <f t="shared" si="39"/>
        <v>0.52769999999999995</v>
      </c>
      <c r="S497" s="2">
        <v>6</v>
      </c>
      <c r="T497" t="s">
        <v>46</v>
      </c>
      <c r="U497">
        <v>2</v>
      </c>
    </row>
    <row r="498" spans="1:21" x14ac:dyDescent="0.25">
      <c r="A498" s="1">
        <v>46032</v>
      </c>
      <c r="B498" t="s">
        <v>694</v>
      </c>
      <c r="C498" t="s">
        <v>288</v>
      </c>
      <c r="D498" t="s">
        <v>97</v>
      </c>
      <c r="E498" t="s">
        <v>57</v>
      </c>
      <c r="F498" t="s">
        <v>58</v>
      </c>
      <c r="G498" t="s">
        <v>37</v>
      </c>
      <c r="H498" t="s">
        <v>38</v>
      </c>
      <c r="I498" t="s">
        <v>60</v>
      </c>
      <c r="J498" s="2">
        <v>7</v>
      </c>
      <c r="K498" s="3">
        <v>432.71</v>
      </c>
      <c r="L498" s="3">
        <v>182.9</v>
      </c>
      <c r="M498" s="4">
        <v>3.5000000000000003E-2</v>
      </c>
      <c r="N498" s="3">
        <f t="shared" si="35"/>
        <v>3028.97</v>
      </c>
      <c r="O498" s="3">
        <f t="shared" si="36"/>
        <v>2922.96</v>
      </c>
      <c r="P498" s="3">
        <f t="shared" si="37"/>
        <v>1280.3</v>
      </c>
      <c r="Q498" s="3">
        <f t="shared" si="38"/>
        <v>1642.66</v>
      </c>
      <c r="R498" s="4">
        <f t="shared" si="39"/>
        <v>0.56200000000000006</v>
      </c>
      <c r="S498" s="2">
        <v>9</v>
      </c>
      <c r="T498" t="s">
        <v>46</v>
      </c>
      <c r="U498">
        <v>4</v>
      </c>
    </row>
    <row r="499" spans="1:21" x14ac:dyDescent="0.25">
      <c r="A499" s="1">
        <v>46121</v>
      </c>
      <c r="B499" t="s">
        <v>695</v>
      </c>
      <c r="C499" t="s">
        <v>433</v>
      </c>
      <c r="D499" t="s">
        <v>207</v>
      </c>
      <c r="E499" t="s">
        <v>35</v>
      </c>
      <c r="F499" t="s">
        <v>58</v>
      </c>
      <c r="G499" t="s">
        <v>27</v>
      </c>
      <c r="H499" t="s">
        <v>86</v>
      </c>
      <c r="I499" t="s">
        <v>65</v>
      </c>
      <c r="J499" s="2">
        <v>7</v>
      </c>
      <c r="K499" s="3">
        <v>1916.77</v>
      </c>
      <c r="L499" s="3">
        <v>1191.0899999999999</v>
      </c>
      <c r="M499" s="4">
        <v>3.5000000000000003E-2</v>
      </c>
      <c r="N499" s="3">
        <f t="shared" si="35"/>
        <v>13417.39</v>
      </c>
      <c r="O499" s="3">
        <f t="shared" si="36"/>
        <v>12947.78</v>
      </c>
      <c r="P499" s="3">
        <f t="shared" si="37"/>
        <v>8337.6299999999992</v>
      </c>
      <c r="Q499" s="3">
        <f t="shared" si="38"/>
        <v>4610.1499999999996</v>
      </c>
      <c r="R499" s="4">
        <f t="shared" si="39"/>
        <v>0.35610000000000003</v>
      </c>
      <c r="S499" s="2">
        <v>14</v>
      </c>
      <c r="T499" t="s">
        <v>30</v>
      </c>
      <c r="U499">
        <v>2</v>
      </c>
    </row>
    <row r="500" spans="1:21" x14ac:dyDescent="0.25">
      <c r="A500" s="1">
        <v>46173</v>
      </c>
      <c r="B500" t="s">
        <v>696</v>
      </c>
      <c r="C500" t="s">
        <v>96</v>
      </c>
      <c r="D500" t="s">
        <v>56</v>
      </c>
      <c r="E500" t="s">
        <v>57</v>
      </c>
      <c r="F500" t="s">
        <v>26</v>
      </c>
      <c r="G500" t="s">
        <v>51</v>
      </c>
      <c r="H500" t="s">
        <v>52</v>
      </c>
      <c r="I500" t="s">
        <v>77</v>
      </c>
      <c r="J500" s="2">
        <v>7</v>
      </c>
      <c r="K500" s="3">
        <v>264.11</v>
      </c>
      <c r="L500" s="3">
        <v>117.76</v>
      </c>
      <c r="M500" s="4">
        <v>0</v>
      </c>
      <c r="N500" s="3">
        <f t="shared" si="35"/>
        <v>1848.77</v>
      </c>
      <c r="O500" s="3">
        <f t="shared" si="36"/>
        <v>1848.77</v>
      </c>
      <c r="P500" s="3">
        <f t="shared" si="37"/>
        <v>824.32</v>
      </c>
      <c r="Q500" s="3">
        <f t="shared" si="38"/>
        <v>1024.45</v>
      </c>
      <c r="R500" s="4">
        <f t="shared" si="39"/>
        <v>0.55410000000000004</v>
      </c>
      <c r="S500" s="2">
        <v>3</v>
      </c>
      <c r="T500" t="s">
        <v>46</v>
      </c>
      <c r="U500">
        <v>2</v>
      </c>
    </row>
    <row r="501" spans="1:21" x14ac:dyDescent="0.25">
      <c r="A501" s="1">
        <v>46218</v>
      </c>
      <c r="B501" t="s">
        <v>697</v>
      </c>
      <c r="C501" t="s">
        <v>48</v>
      </c>
      <c r="D501" t="s">
        <v>56</v>
      </c>
      <c r="E501" t="s">
        <v>57</v>
      </c>
      <c r="F501" t="s">
        <v>64</v>
      </c>
      <c r="G501" t="s">
        <v>44</v>
      </c>
      <c r="H501" t="s">
        <v>124</v>
      </c>
      <c r="I501" t="s">
        <v>87</v>
      </c>
      <c r="J501" s="2">
        <v>7</v>
      </c>
      <c r="K501" s="3">
        <v>5960.83</v>
      </c>
      <c r="L501" s="3">
        <v>4310.8599999999997</v>
      </c>
      <c r="M501" s="4">
        <v>8.9999999999999993E-3</v>
      </c>
      <c r="N501" s="3">
        <f t="shared" si="35"/>
        <v>41725.81</v>
      </c>
      <c r="O501" s="3">
        <f t="shared" si="36"/>
        <v>41350.28</v>
      </c>
      <c r="P501" s="3">
        <f t="shared" si="37"/>
        <v>30176.02</v>
      </c>
      <c r="Q501" s="3">
        <f t="shared" si="38"/>
        <v>11174.26</v>
      </c>
      <c r="R501" s="4">
        <f t="shared" si="39"/>
        <v>0.2702</v>
      </c>
      <c r="S501" s="2">
        <v>8</v>
      </c>
      <c r="T501" t="s">
        <v>40</v>
      </c>
    </row>
    <row r="502" spans="1:21" x14ac:dyDescent="0.25">
      <c r="A502" s="1">
        <v>46080</v>
      </c>
      <c r="B502" t="s">
        <v>698</v>
      </c>
      <c r="C502" t="s">
        <v>231</v>
      </c>
      <c r="D502" t="s">
        <v>97</v>
      </c>
      <c r="E502" t="s">
        <v>57</v>
      </c>
      <c r="F502" t="s">
        <v>26</v>
      </c>
      <c r="G502" t="s">
        <v>37</v>
      </c>
      <c r="H502" t="s">
        <v>104</v>
      </c>
      <c r="I502" t="s">
        <v>92</v>
      </c>
      <c r="J502" s="2">
        <v>4</v>
      </c>
      <c r="K502" s="3">
        <v>330.14</v>
      </c>
      <c r="L502" s="3">
        <v>135.94999999999999</v>
      </c>
      <c r="M502" s="4">
        <v>9.7900000000000001E-2</v>
      </c>
      <c r="N502" s="3">
        <f t="shared" si="35"/>
        <v>1320.56</v>
      </c>
      <c r="O502" s="3">
        <f t="shared" si="36"/>
        <v>1191.28</v>
      </c>
      <c r="P502" s="3">
        <f t="shared" si="37"/>
        <v>543.79999999999995</v>
      </c>
      <c r="Q502" s="3">
        <f t="shared" si="38"/>
        <v>647.48</v>
      </c>
      <c r="R502" s="4">
        <f t="shared" si="39"/>
        <v>0.54349999999999998</v>
      </c>
      <c r="S502" s="2">
        <v>4</v>
      </c>
      <c r="T502" t="s">
        <v>46</v>
      </c>
      <c r="U502">
        <v>2</v>
      </c>
    </row>
    <row r="503" spans="1:21" x14ac:dyDescent="0.25">
      <c r="A503" s="1">
        <v>46137</v>
      </c>
      <c r="B503" t="s">
        <v>699</v>
      </c>
      <c r="C503" t="s">
        <v>247</v>
      </c>
      <c r="D503" t="s">
        <v>49</v>
      </c>
      <c r="E503" t="s">
        <v>50</v>
      </c>
      <c r="F503" t="s">
        <v>36</v>
      </c>
      <c r="G503" t="s">
        <v>27</v>
      </c>
      <c r="H503" t="s">
        <v>68</v>
      </c>
      <c r="I503" t="s">
        <v>74</v>
      </c>
      <c r="J503" s="2">
        <v>3</v>
      </c>
      <c r="K503" s="3">
        <v>1308.53</v>
      </c>
      <c r="L503" s="3">
        <v>783.56</v>
      </c>
      <c r="M503" s="4">
        <v>9.7999999999999997E-3</v>
      </c>
      <c r="N503" s="3">
        <f t="shared" si="35"/>
        <v>3925.59</v>
      </c>
      <c r="O503" s="3">
        <f t="shared" si="36"/>
        <v>3887.12</v>
      </c>
      <c r="P503" s="3">
        <f t="shared" si="37"/>
        <v>2350.6799999999998</v>
      </c>
      <c r="Q503" s="3">
        <f t="shared" si="38"/>
        <v>1536.44</v>
      </c>
      <c r="R503" s="4">
        <f t="shared" si="39"/>
        <v>0.39529999999999998</v>
      </c>
      <c r="S503" s="2">
        <v>7</v>
      </c>
      <c r="T503" t="s">
        <v>46</v>
      </c>
      <c r="U503">
        <v>4</v>
      </c>
    </row>
    <row r="504" spans="1:21" x14ac:dyDescent="0.25">
      <c r="A504" s="1">
        <v>46120</v>
      </c>
      <c r="B504" t="s">
        <v>700</v>
      </c>
      <c r="C504" t="s">
        <v>271</v>
      </c>
      <c r="D504" t="s">
        <v>126</v>
      </c>
      <c r="E504" t="s">
        <v>57</v>
      </c>
      <c r="F504" t="s">
        <v>26</v>
      </c>
      <c r="G504" t="s">
        <v>51</v>
      </c>
      <c r="H504" t="s">
        <v>59</v>
      </c>
      <c r="I504" t="s">
        <v>74</v>
      </c>
      <c r="J504" s="2">
        <v>2</v>
      </c>
      <c r="K504" s="3">
        <v>2245.19</v>
      </c>
      <c r="L504" s="3">
        <v>1430.08</v>
      </c>
      <c r="M504" s="4">
        <v>5.74E-2</v>
      </c>
      <c r="N504" s="3">
        <f t="shared" si="35"/>
        <v>4490.38</v>
      </c>
      <c r="O504" s="3">
        <f t="shared" si="36"/>
        <v>4232.63</v>
      </c>
      <c r="P504" s="3">
        <f t="shared" si="37"/>
        <v>2860.16</v>
      </c>
      <c r="Q504" s="3">
        <f t="shared" si="38"/>
        <v>1372.47</v>
      </c>
      <c r="R504" s="4">
        <f t="shared" si="39"/>
        <v>0.32429999999999998</v>
      </c>
      <c r="S504" s="2">
        <v>2</v>
      </c>
      <c r="T504" t="s">
        <v>46</v>
      </c>
      <c r="U504">
        <v>4</v>
      </c>
    </row>
    <row r="505" spans="1:21" x14ac:dyDescent="0.25">
      <c r="A505" s="1">
        <v>46142</v>
      </c>
      <c r="B505" t="s">
        <v>701</v>
      </c>
      <c r="C505" t="s">
        <v>134</v>
      </c>
      <c r="D505" t="s">
        <v>43</v>
      </c>
      <c r="E505" t="s">
        <v>25</v>
      </c>
      <c r="F505" t="s">
        <v>58</v>
      </c>
      <c r="G505" t="s">
        <v>51</v>
      </c>
      <c r="H505" t="s">
        <v>116</v>
      </c>
      <c r="I505" t="s">
        <v>87</v>
      </c>
      <c r="J505" s="2">
        <v>2</v>
      </c>
      <c r="K505" s="3">
        <v>2883.79</v>
      </c>
      <c r="L505" s="3">
        <v>1803.11</v>
      </c>
      <c r="M505" s="4">
        <v>0.1147</v>
      </c>
      <c r="N505" s="3">
        <f t="shared" si="35"/>
        <v>5767.58</v>
      </c>
      <c r="O505" s="3">
        <f t="shared" si="36"/>
        <v>5106.04</v>
      </c>
      <c r="P505" s="3">
        <f t="shared" si="37"/>
        <v>3606.22</v>
      </c>
      <c r="Q505" s="3">
        <f t="shared" si="38"/>
        <v>1499.82</v>
      </c>
      <c r="R505" s="4">
        <f t="shared" si="39"/>
        <v>0.29370000000000002</v>
      </c>
      <c r="S505" s="2">
        <v>9</v>
      </c>
      <c r="T505" t="s">
        <v>46</v>
      </c>
      <c r="U505">
        <v>2</v>
      </c>
    </row>
    <row r="506" spans="1:21" x14ac:dyDescent="0.25">
      <c r="A506" s="1">
        <v>46129</v>
      </c>
      <c r="B506" t="s">
        <v>702</v>
      </c>
      <c r="C506" t="s">
        <v>134</v>
      </c>
      <c r="D506" t="s">
        <v>121</v>
      </c>
      <c r="E506" t="s">
        <v>72</v>
      </c>
      <c r="F506" t="s">
        <v>64</v>
      </c>
      <c r="G506" t="s">
        <v>27</v>
      </c>
      <c r="H506" t="s">
        <v>68</v>
      </c>
      <c r="I506" t="s">
        <v>94</v>
      </c>
      <c r="J506" s="2">
        <v>8</v>
      </c>
      <c r="K506" s="3">
        <v>1255.3599999999999</v>
      </c>
      <c r="L506" s="3">
        <v>783.97</v>
      </c>
      <c r="M506" s="4">
        <v>0.1207</v>
      </c>
      <c r="N506" s="3">
        <f t="shared" si="35"/>
        <v>10042.879999999999</v>
      </c>
      <c r="O506" s="3">
        <f t="shared" si="36"/>
        <v>8830.7000000000007</v>
      </c>
      <c r="P506" s="3">
        <f t="shared" si="37"/>
        <v>6271.76</v>
      </c>
      <c r="Q506" s="3">
        <f t="shared" si="38"/>
        <v>2558.94</v>
      </c>
      <c r="R506" s="4">
        <f t="shared" si="39"/>
        <v>0.2898</v>
      </c>
      <c r="S506" s="2">
        <v>6</v>
      </c>
      <c r="T506" t="s">
        <v>46</v>
      </c>
      <c r="U506">
        <v>4</v>
      </c>
    </row>
    <row r="507" spans="1:21" x14ac:dyDescent="0.25">
      <c r="A507" s="1">
        <v>46202</v>
      </c>
      <c r="B507" t="s">
        <v>703</v>
      </c>
      <c r="C507" t="s">
        <v>146</v>
      </c>
      <c r="D507" t="s">
        <v>126</v>
      </c>
      <c r="E507" t="s">
        <v>57</v>
      </c>
      <c r="F507" t="s">
        <v>36</v>
      </c>
      <c r="G507" t="s">
        <v>27</v>
      </c>
      <c r="H507" t="s">
        <v>86</v>
      </c>
      <c r="I507" t="s">
        <v>60</v>
      </c>
      <c r="J507" s="2">
        <v>1</v>
      </c>
      <c r="K507" s="3">
        <v>1993.12</v>
      </c>
      <c r="L507" s="3">
        <v>1152.08</v>
      </c>
      <c r="M507" s="4">
        <v>6.0100000000000001E-2</v>
      </c>
      <c r="N507" s="3">
        <f t="shared" si="35"/>
        <v>1993.12</v>
      </c>
      <c r="O507" s="3">
        <f t="shared" si="36"/>
        <v>1873.33</v>
      </c>
      <c r="P507" s="3">
        <f t="shared" si="37"/>
        <v>1152.08</v>
      </c>
      <c r="Q507" s="3">
        <f t="shared" si="38"/>
        <v>721.25</v>
      </c>
      <c r="R507" s="4">
        <f t="shared" si="39"/>
        <v>0.38500000000000001</v>
      </c>
      <c r="S507" s="2">
        <v>10</v>
      </c>
      <c r="T507" t="s">
        <v>46</v>
      </c>
      <c r="U507">
        <v>2</v>
      </c>
    </row>
    <row r="508" spans="1:21" x14ac:dyDescent="0.25">
      <c r="A508" s="1">
        <v>46204</v>
      </c>
      <c r="B508" t="s">
        <v>704</v>
      </c>
      <c r="C508" t="s">
        <v>514</v>
      </c>
      <c r="D508" t="s">
        <v>139</v>
      </c>
      <c r="E508" t="s">
        <v>72</v>
      </c>
      <c r="F508" t="s">
        <v>36</v>
      </c>
      <c r="G508" t="s">
        <v>44</v>
      </c>
      <c r="H508" t="s">
        <v>124</v>
      </c>
      <c r="I508" t="s">
        <v>92</v>
      </c>
      <c r="J508" s="2">
        <v>4</v>
      </c>
      <c r="K508" s="3">
        <v>5954.43</v>
      </c>
      <c r="L508" s="3">
        <v>4336.84</v>
      </c>
      <c r="M508" s="4">
        <v>9.6299999999999997E-2</v>
      </c>
      <c r="N508" s="3">
        <f t="shared" si="35"/>
        <v>23817.72</v>
      </c>
      <c r="O508" s="3">
        <f t="shared" si="36"/>
        <v>21524.07</v>
      </c>
      <c r="P508" s="3">
        <f t="shared" si="37"/>
        <v>17347.36</v>
      </c>
      <c r="Q508" s="3">
        <f t="shared" si="38"/>
        <v>4176.71</v>
      </c>
      <c r="R508" s="4">
        <f t="shared" si="39"/>
        <v>0.19400000000000001</v>
      </c>
      <c r="S508" s="2">
        <v>8</v>
      </c>
      <c r="T508" t="s">
        <v>46</v>
      </c>
      <c r="U508">
        <v>2</v>
      </c>
    </row>
    <row r="509" spans="1:21" x14ac:dyDescent="0.25">
      <c r="A509" s="1">
        <v>46039</v>
      </c>
      <c r="B509" t="s">
        <v>705</v>
      </c>
      <c r="C509" t="s">
        <v>23</v>
      </c>
      <c r="D509" t="s">
        <v>101</v>
      </c>
      <c r="E509" t="s">
        <v>35</v>
      </c>
      <c r="F509" t="s">
        <v>26</v>
      </c>
      <c r="G509" t="s">
        <v>44</v>
      </c>
      <c r="H509" t="s">
        <v>45</v>
      </c>
      <c r="I509" t="s">
        <v>60</v>
      </c>
      <c r="J509" s="2">
        <v>3</v>
      </c>
      <c r="K509" s="3">
        <v>386.51</v>
      </c>
      <c r="L509" s="3">
        <v>210.33</v>
      </c>
      <c r="M509" s="4">
        <v>0</v>
      </c>
      <c r="N509" s="3">
        <f t="shared" si="35"/>
        <v>1159.53</v>
      </c>
      <c r="O509" s="3">
        <f t="shared" si="36"/>
        <v>1159.53</v>
      </c>
      <c r="P509" s="3">
        <f t="shared" si="37"/>
        <v>630.99</v>
      </c>
      <c r="Q509" s="3">
        <f t="shared" si="38"/>
        <v>528.54</v>
      </c>
      <c r="R509" s="4">
        <f t="shared" si="39"/>
        <v>0.45579999999999998</v>
      </c>
      <c r="S509" s="2">
        <v>9</v>
      </c>
      <c r="T509" t="s">
        <v>46</v>
      </c>
      <c r="U509">
        <v>2</v>
      </c>
    </row>
    <row r="510" spans="1:21" x14ac:dyDescent="0.25">
      <c r="A510" s="1">
        <v>46215</v>
      </c>
      <c r="B510" t="s">
        <v>706</v>
      </c>
      <c r="C510" t="s">
        <v>480</v>
      </c>
      <c r="D510" t="s">
        <v>126</v>
      </c>
      <c r="E510" t="s">
        <v>57</v>
      </c>
      <c r="F510" t="s">
        <v>36</v>
      </c>
      <c r="G510" t="s">
        <v>27</v>
      </c>
      <c r="H510" t="s">
        <v>86</v>
      </c>
      <c r="I510" t="s">
        <v>60</v>
      </c>
      <c r="J510" s="2">
        <v>5</v>
      </c>
      <c r="K510" s="3">
        <v>1825.57</v>
      </c>
      <c r="L510" s="3">
        <v>1160.47</v>
      </c>
      <c r="M510" s="4">
        <v>0</v>
      </c>
      <c r="N510" s="3">
        <f t="shared" si="35"/>
        <v>9127.85</v>
      </c>
      <c r="O510" s="3">
        <f t="shared" si="36"/>
        <v>9127.85</v>
      </c>
      <c r="P510" s="3">
        <f t="shared" si="37"/>
        <v>5802.35</v>
      </c>
      <c r="Q510" s="3">
        <f t="shared" si="38"/>
        <v>3325.5</v>
      </c>
      <c r="R510" s="4">
        <f t="shared" si="39"/>
        <v>0.36430000000000001</v>
      </c>
      <c r="S510" s="2">
        <v>12</v>
      </c>
      <c r="T510" t="s">
        <v>30</v>
      </c>
      <c r="U510">
        <v>5</v>
      </c>
    </row>
    <row r="511" spans="1:21" x14ac:dyDescent="0.25">
      <c r="A511" s="1">
        <v>46146</v>
      </c>
      <c r="B511" t="s">
        <v>707</v>
      </c>
      <c r="C511" t="s">
        <v>433</v>
      </c>
      <c r="D511" t="s">
        <v>24</v>
      </c>
      <c r="E511" t="s">
        <v>25</v>
      </c>
      <c r="F511" t="s">
        <v>36</v>
      </c>
      <c r="G511" t="s">
        <v>27</v>
      </c>
      <c r="H511" t="s">
        <v>68</v>
      </c>
      <c r="I511" t="s">
        <v>92</v>
      </c>
      <c r="J511" s="2">
        <v>1</v>
      </c>
      <c r="K511" s="3">
        <v>1329.97</v>
      </c>
      <c r="L511" s="3">
        <v>835.35</v>
      </c>
      <c r="M511" s="4">
        <v>4.0000000000000001E-3</v>
      </c>
      <c r="N511" s="3">
        <f t="shared" si="35"/>
        <v>1329.97</v>
      </c>
      <c r="O511" s="3">
        <f t="shared" si="36"/>
        <v>1324.65</v>
      </c>
      <c r="P511" s="3">
        <f t="shared" si="37"/>
        <v>835.35</v>
      </c>
      <c r="Q511" s="3">
        <f t="shared" si="38"/>
        <v>489.3</v>
      </c>
      <c r="R511" s="4">
        <f t="shared" si="39"/>
        <v>0.36940000000000001</v>
      </c>
      <c r="S511" s="2">
        <v>10</v>
      </c>
      <c r="T511" t="s">
        <v>46</v>
      </c>
      <c r="U511">
        <v>3</v>
      </c>
    </row>
    <row r="512" spans="1:21" x14ac:dyDescent="0.25">
      <c r="A512" s="1">
        <v>46141</v>
      </c>
      <c r="B512" t="s">
        <v>708</v>
      </c>
      <c r="C512" t="s">
        <v>112</v>
      </c>
      <c r="D512" t="s">
        <v>34</v>
      </c>
      <c r="E512" t="s">
        <v>35</v>
      </c>
      <c r="F512" t="s">
        <v>58</v>
      </c>
      <c r="G512" t="s">
        <v>27</v>
      </c>
      <c r="H512" t="s">
        <v>68</v>
      </c>
      <c r="I512" t="s">
        <v>94</v>
      </c>
      <c r="J512" s="2">
        <v>5</v>
      </c>
      <c r="K512" s="3">
        <v>1238.6600000000001</v>
      </c>
      <c r="L512" s="3">
        <v>799.11</v>
      </c>
      <c r="M512" s="4">
        <v>0.1004</v>
      </c>
      <c r="N512" s="3">
        <f t="shared" si="35"/>
        <v>6193.3</v>
      </c>
      <c r="O512" s="3">
        <f t="shared" si="36"/>
        <v>5571.49</v>
      </c>
      <c r="P512" s="3">
        <f t="shared" si="37"/>
        <v>3995.55</v>
      </c>
      <c r="Q512" s="3">
        <f t="shared" si="38"/>
        <v>1575.94</v>
      </c>
      <c r="R512" s="4">
        <f t="shared" si="39"/>
        <v>0.28289999999999998</v>
      </c>
      <c r="S512" s="2">
        <v>14</v>
      </c>
      <c r="T512" t="s">
        <v>30</v>
      </c>
      <c r="U512">
        <v>4</v>
      </c>
    </row>
    <row r="513" spans="1:22" x14ac:dyDescent="0.25">
      <c r="A513" s="1">
        <v>46155</v>
      </c>
      <c r="B513" t="s">
        <v>709</v>
      </c>
      <c r="C513" t="s">
        <v>266</v>
      </c>
      <c r="D513" t="s">
        <v>139</v>
      </c>
      <c r="E513" t="s">
        <v>72</v>
      </c>
      <c r="F513" t="s">
        <v>64</v>
      </c>
      <c r="G513" t="s">
        <v>27</v>
      </c>
      <c r="H513" t="s">
        <v>28</v>
      </c>
      <c r="I513" t="s">
        <v>39</v>
      </c>
      <c r="J513" s="2">
        <v>8</v>
      </c>
      <c r="K513" s="3">
        <v>837.23</v>
      </c>
      <c r="L513" s="3">
        <v>476.05</v>
      </c>
      <c r="M513" s="4">
        <v>0.124</v>
      </c>
      <c r="N513" s="3">
        <f t="shared" si="35"/>
        <v>6697.84</v>
      </c>
      <c r="O513" s="3">
        <f t="shared" si="36"/>
        <v>5867.31</v>
      </c>
      <c r="P513" s="3">
        <f t="shared" si="37"/>
        <v>3808.4</v>
      </c>
      <c r="Q513" s="3">
        <f t="shared" si="38"/>
        <v>2058.91</v>
      </c>
      <c r="R513" s="4">
        <f t="shared" si="39"/>
        <v>0.35089999999999999</v>
      </c>
      <c r="S513" s="2">
        <v>23</v>
      </c>
      <c r="T513" t="s">
        <v>30</v>
      </c>
      <c r="U513">
        <v>1</v>
      </c>
      <c r="V513" t="s">
        <v>208</v>
      </c>
    </row>
    <row r="514" spans="1:22" x14ac:dyDescent="0.25">
      <c r="A514" s="1">
        <v>46080</v>
      </c>
      <c r="B514" t="s">
        <v>710</v>
      </c>
      <c r="C514" t="s">
        <v>370</v>
      </c>
      <c r="D514" t="s">
        <v>34</v>
      </c>
      <c r="E514" t="s">
        <v>35</v>
      </c>
      <c r="F514" t="s">
        <v>64</v>
      </c>
      <c r="G514" t="s">
        <v>27</v>
      </c>
      <c r="H514" t="s">
        <v>86</v>
      </c>
      <c r="I514" t="s">
        <v>77</v>
      </c>
      <c r="J514" s="2">
        <v>7</v>
      </c>
      <c r="K514" s="3">
        <v>1847.22</v>
      </c>
      <c r="L514" s="3">
        <v>1193.75</v>
      </c>
      <c r="M514" s="4">
        <v>9.1200000000000003E-2</v>
      </c>
      <c r="N514" s="3">
        <f t="shared" ref="N514:N577" si="40">ROUND(J514*K514,2)</f>
        <v>12930.54</v>
      </c>
      <c r="O514" s="3">
        <f t="shared" ref="O514:O577" si="41">ROUND(N514*(1-M514),2)</f>
        <v>11751.27</v>
      </c>
      <c r="P514" s="3">
        <f t="shared" ref="P514:P577" si="42">ROUND(J514*L514,2)</f>
        <v>8356.25</v>
      </c>
      <c r="Q514" s="3">
        <f t="shared" ref="Q514:Q577" si="43">ROUND(O514-P514,2)</f>
        <v>3395.02</v>
      </c>
      <c r="R514" s="4">
        <f t="shared" ref="R514:R577" si="44">IF(O514=0,0,ROUND(Q514/O514,4))</f>
        <v>0.28889999999999999</v>
      </c>
      <c r="S514" s="2">
        <v>4</v>
      </c>
      <c r="T514" t="s">
        <v>46</v>
      </c>
      <c r="U514">
        <v>5</v>
      </c>
    </row>
    <row r="515" spans="1:22" x14ac:dyDescent="0.25">
      <c r="A515" s="1">
        <v>46031</v>
      </c>
      <c r="B515" t="s">
        <v>711</v>
      </c>
      <c r="C515" t="s">
        <v>358</v>
      </c>
      <c r="D515" t="s">
        <v>71</v>
      </c>
      <c r="E515" t="s">
        <v>72</v>
      </c>
      <c r="F515" t="s">
        <v>36</v>
      </c>
      <c r="G515" t="s">
        <v>37</v>
      </c>
      <c r="H515" t="s">
        <v>104</v>
      </c>
      <c r="I515" t="s">
        <v>29</v>
      </c>
      <c r="J515" s="2">
        <v>4</v>
      </c>
      <c r="K515" s="3">
        <v>307.68</v>
      </c>
      <c r="L515" s="3">
        <v>145.47</v>
      </c>
      <c r="M515" s="4">
        <v>0.10879999999999999</v>
      </c>
      <c r="N515" s="3">
        <f t="shared" si="40"/>
        <v>1230.72</v>
      </c>
      <c r="O515" s="3">
        <f t="shared" si="41"/>
        <v>1096.82</v>
      </c>
      <c r="P515" s="3">
        <f t="shared" si="42"/>
        <v>581.88</v>
      </c>
      <c r="Q515" s="3">
        <f t="shared" si="43"/>
        <v>514.94000000000005</v>
      </c>
      <c r="R515" s="4">
        <f t="shared" si="44"/>
        <v>0.46949999999999997</v>
      </c>
      <c r="S515" s="2">
        <v>5</v>
      </c>
      <c r="T515" t="s">
        <v>46</v>
      </c>
      <c r="U515">
        <v>3</v>
      </c>
    </row>
    <row r="516" spans="1:22" x14ac:dyDescent="0.25">
      <c r="A516" s="1">
        <v>46227</v>
      </c>
      <c r="B516" t="s">
        <v>712</v>
      </c>
      <c r="C516" t="s">
        <v>321</v>
      </c>
      <c r="D516" t="s">
        <v>49</v>
      </c>
      <c r="E516" t="s">
        <v>50</v>
      </c>
      <c r="F516" t="s">
        <v>64</v>
      </c>
      <c r="G516" t="s">
        <v>37</v>
      </c>
      <c r="H516" t="s">
        <v>104</v>
      </c>
      <c r="I516" t="s">
        <v>53</v>
      </c>
      <c r="J516" s="2">
        <v>8</v>
      </c>
      <c r="K516" s="3">
        <v>330.2</v>
      </c>
      <c r="L516" s="3">
        <v>134.65</v>
      </c>
      <c r="M516" s="4">
        <v>3.1199999999999999E-2</v>
      </c>
      <c r="N516" s="3">
        <f t="shared" si="40"/>
        <v>2641.6</v>
      </c>
      <c r="O516" s="3">
        <f t="shared" si="41"/>
        <v>2559.1799999999998</v>
      </c>
      <c r="P516" s="3">
        <f t="shared" si="42"/>
        <v>1077.2</v>
      </c>
      <c r="Q516" s="3">
        <f t="shared" si="43"/>
        <v>1481.98</v>
      </c>
      <c r="R516" s="4">
        <f t="shared" si="44"/>
        <v>0.57909999999999995</v>
      </c>
      <c r="S516" s="2">
        <v>9</v>
      </c>
      <c r="T516" t="s">
        <v>46</v>
      </c>
      <c r="U516">
        <v>4</v>
      </c>
    </row>
    <row r="517" spans="1:22" x14ac:dyDescent="0.25">
      <c r="A517" s="1">
        <v>46028</v>
      </c>
      <c r="B517" t="s">
        <v>713</v>
      </c>
      <c r="C517" t="s">
        <v>370</v>
      </c>
      <c r="D517" t="s">
        <v>130</v>
      </c>
      <c r="E517" t="s">
        <v>72</v>
      </c>
      <c r="F517" t="s">
        <v>26</v>
      </c>
      <c r="G517" t="s">
        <v>44</v>
      </c>
      <c r="H517" t="s">
        <v>73</v>
      </c>
      <c r="I517" t="s">
        <v>65</v>
      </c>
      <c r="J517" s="2">
        <v>8</v>
      </c>
      <c r="K517" s="3">
        <v>1666.3</v>
      </c>
      <c r="L517" s="3">
        <v>1124.51</v>
      </c>
      <c r="M517" s="4">
        <v>1.6299999999999999E-2</v>
      </c>
      <c r="N517" s="3">
        <f t="shared" si="40"/>
        <v>13330.4</v>
      </c>
      <c r="O517" s="3">
        <f t="shared" si="41"/>
        <v>13113.11</v>
      </c>
      <c r="P517" s="3">
        <f t="shared" si="42"/>
        <v>8996.08</v>
      </c>
      <c r="Q517" s="3">
        <f t="shared" si="43"/>
        <v>4117.03</v>
      </c>
      <c r="R517" s="4">
        <f t="shared" si="44"/>
        <v>0.314</v>
      </c>
      <c r="S517" s="2">
        <v>12</v>
      </c>
      <c r="T517" t="s">
        <v>30</v>
      </c>
      <c r="U517">
        <v>3</v>
      </c>
    </row>
    <row r="518" spans="1:22" x14ac:dyDescent="0.25">
      <c r="A518" s="1">
        <v>46218</v>
      </c>
      <c r="B518" t="s">
        <v>714</v>
      </c>
      <c r="C518" t="s">
        <v>466</v>
      </c>
      <c r="D518" t="s">
        <v>43</v>
      </c>
      <c r="E518" t="s">
        <v>25</v>
      </c>
      <c r="F518" t="s">
        <v>58</v>
      </c>
      <c r="G518" t="s">
        <v>37</v>
      </c>
      <c r="H518" t="s">
        <v>178</v>
      </c>
      <c r="I518" t="s">
        <v>92</v>
      </c>
      <c r="J518" s="2">
        <v>1</v>
      </c>
      <c r="K518" s="3">
        <v>539.24</v>
      </c>
      <c r="L518" s="3">
        <v>240.65</v>
      </c>
      <c r="M518" s="4">
        <v>7.0499999999999993E-2</v>
      </c>
      <c r="N518" s="3">
        <f t="shared" si="40"/>
        <v>539.24</v>
      </c>
      <c r="O518" s="3">
        <f t="shared" si="41"/>
        <v>501.22</v>
      </c>
      <c r="P518" s="3">
        <f t="shared" si="42"/>
        <v>240.65</v>
      </c>
      <c r="Q518" s="3">
        <f t="shared" si="43"/>
        <v>260.57</v>
      </c>
      <c r="R518" s="4">
        <f t="shared" si="44"/>
        <v>0.51990000000000003</v>
      </c>
      <c r="S518" s="2">
        <v>5</v>
      </c>
      <c r="T518" t="s">
        <v>46</v>
      </c>
      <c r="U518">
        <v>4</v>
      </c>
    </row>
    <row r="519" spans="1:22" x14ac:dyDescent="0.25">
      <c r="A519" s="1">
        <v>46229</v>
      </c>
      <c r="B519" t="s">
        <v>715</v>
      </c>
      <c r="C519" t="s">
        <v>23</v>
      </c>
      <c r="D519" t="s">
        <v>43</v>
      </c>
      <c r="E519" t="s">
        <v>25</v>
      </c>
      <c r="F519" t="s">
        <v>36</v>
      </c>
      <c r="G519" t="s">
        <v>51</v>
      </c>
      <c r="H519" t="s">
        <v>59</v>
      </c>
      <c r="I519" t="s">
        <v>53</v>
      </c>
      <c r="J519" s="2">
        <v>5</v>
      </c>
      <c r="K519" s="3">
        <v>2218.64</v>
      </c>
      <c r="L519" s="3">
        <v>1522.53</v>
      </c>
      <c r="M519" s="4">
        <v>8.43E-2</v>
      </c>
      <c r="N519" s="3">
        <f t="shared" si="40"/>
        <v>11093.2</v>
      </c>
      <c r="O519" s="3">
        <f t="shared" si="41"/>
        <v>10158.040000000001</v>
      </c>
      <c r="P519" s="3">
        <f t="shared" si="42"/>
        <v>7612.65</v>
      </c>
      <c r="Q519" s="3">
        <f t="shared" si="43"/>
        <v>2545.39</v>
      </c>
      <c r="R519" s="4">
        <f t="shared" si="44"/>
        <v>0.25059999999999999</v>
      </c>
      <c r="S519" s="2">
        <v>13</v>
      </c>
      <c r="T519" t="s">
        <v>30</v>
      </c>
      <c r="U519">
        <v>4</v>
      </c>
    </row>
    <row r="520" spans="1:22" x14ac:dyDescent="0.25">
      <c r="A520" s="1">
        <v>46058</v>
      </c>
      <c r="B520" t="s">
        <v>716</v>
      </c>
      <c r="C520" t="s">
        <v>315</v>
      </c>
      <c r="D520" t="s">
        <v>101</v>
      </c>
      <c r="E520" t="s">
        <v>35</v>
      </c>
      <c r="F520" t="s">
        <v>64</v>
      </c>
      <c r="G520" t="s">
        <v>51</v>
      </c>
      <c r="H520" t="s">
        <v>116</v>
      </c>
      <c r="I520" t="s">
        <v>77</v>
      </c>
      <c r="J520" s="2">
        <v>2</v>
      </c>
      <c r="K520" s="3">
        <v>2672.29</v>
      </c>
      <c r="L520" s="3">
        <v>1792.68</v>
      </c>
      <c r="M520" s="4">
        <v>0</v>
      </c>
      <c r="N520" s="3">
        <f t="shared" si="40"/>
        <v>5344.58</v>
      </c>
      <c r="O520" s="3">
        <f t="shared" si="41"/>
        <v>5344.58</v>
      </c>
      <c r="P520" s="3">
        <f t="shared" si="42"/>
        <v>3585.36</v>
      </c>
      <c r="Q520" s="3">
        <f t="shared" si="43"/>
        <v>1759.22</v>
      </c>
      <c r="R520" s="4">
        <f t="shared" si="44"/>
        <v>0.32919999999999999</v>
      </c>
      <c r="S520" s="2">
        <v>5</v>
      </c>
      <c r="T520" t="s">
        <v>46</v>
      </c>
      <c r="U520">
        <v>5</v>
      </c>
    </row>
    <row r="521" spans="1:22" x14ac:dyDescent="0.25">
      <c r="A521" s="1">
        <v>46094</v>
      </c>
      <c r="B521" t="s">
        <v>717</v>
      </c>
      <c r="C521" t="s">
        <v>224</v>
      </c>
      <c r="D521" t="s">
        <v>97</v>
      </c>
      <c r="E521" t="s">
        <v>57</v>
      </c>
      <c r="F521" t="s">
        <v>36</v>
      </c>
      <c r="G521" t="s">
        <v>27</v>
      </c>
      <c r="H521" t="s">
        <v>28</v>
      </c>
      <c r="I521" t="s">
        <v>39</v>
      </c>
      <c r="J521" s="2">
        <v>8</v>
      </c>
      <c r="K521" s="3">
        <v>823.38</v>
      </c>
      <c r="L521" s="3">
        <v>449.44</v>
      </c>
      <c r="M521" s="4">
        <v>0</v>
      </c>
      <c r="N521" s="3">
        <f t="shared" si="40"/>
        <v>6587.04</v>
      </c>
      <c r="O521" s="3">
        <f t="shared" si="41"/>
        <v>6587.04</v>
      </c>
      <c r="P521" s="3">
        <f t="shared" si="42"/>
        <v>3595.52</v>
      </c>
      <c r="Q521" s="3">
        <f t="shared" si="43"/>
        <v>2991.52</v>
      </c>
      <c r="R521" s="4">
        <f t="shared" si="44"/>
        <v>0.45419999999999999</v>
      </c>
      <c r="S521" s="2">
        <v>2</v>
      </c>
      <c r="T521" t="s">
        <v>46</v>
      </c>
      <c r="U521">
        <v>5</v>
      </c>
    </row>
    <row r="522" spans="1:22" x14ac:dyDescent="0.25">
      <c r="A522" s="1">
        <v>46198</v>
      </c>
      <c r="B522" t="s">
        <v>718</v>
      </c>
      <c r="C522" t="s">
        <v>62</v>
      </c>
      <c r="D522" t="s">
        <v>85</v>
      </c>
      <c r="E522" t="s">
        <v>50</v>
      </c>
      <c r="F522" t="s">
        <v>64</v>
      </c>
      <c r="G522" t="s">
        <v>27</v>
      </c>
      <c r="H522" t="s">
        <v>28</v>
      </c>
      <c r="I522" t="s">
        <v>29</v>
      </c>
      <c r="J522" s="2">
        <v>5</v>
      </c>
      <c r="K522" s="3">
        <v>767.26</v>
      </c>
      <c r="L522" s="3">
        <v>465.52</v>
      </c>
      <c r="M522" s="4">
        <v>0.1008</v>
      </c>
      <c r="N522" s="3">
        <f t="shared" si="40"/>
        <v>3836.3</v>
      </c>
      <c r="O522" s="3">
        <f t="shared" si="41"/>
        <v>3449.6</v>
      </c>
      <c r="P522" s="3">
        <f t="shared" si="42"/>
        <v>2327.6</v>
      </c>
      <c r="Q522" s="3">
        <f t="shared" si="43"/>
        <v>1122</v>
      </c>
      <c r="R522" s="4">
        <f t="shared" si="44"/>
        <v>0.32529999999999998</v>
      </c>
      <c r="S522" s="2">
        <v>8</v>
      </c>
      <c r="T522" t="s">
        <v>46</v>
      </c>
      <c r="U522">
        <v>4</v>
      </c>
    </row>
    <row r="523" spans="1:22" x14ac:dyDescent="0.25">
      <c r="A523" s="1">
        <v>46037</v>
      </c>
      <c r="B523" t="s">
        <v>719</v>
      </c>
      <c r="C523" t="s">
        <v>172</v>
      </c>
      <c r="D523" t="s">
        <v>126</v>
      </c>
      <c r="E523" t="s">
        <v>57</v>
      </c>
      <c r="F523" t="s">
        <v>26</v>
      </c>
      <c r="G523" t="s">
        <v>51</v>
      </c>
      <c r="H523" t="s">
        <v>52</v>
      </c>
      <c r="I523" t="s">
        <v>60</v>
      </c>
      <c r="J523" s="2">
        <v>2</v>
      </c>
      <c r="K523" s="3">
        <v>263.52</v>
      </c>
      <c r="L523" s="3">
        <v>122.44</v>
      </c>
      <c r="M523" s="4">
        <v>3.6299999999999999E-2</v>
      </c>
      <c r="N523" s="3">
        <f t="shared" si="40"/>
        <v>527.04</v>
      </c>
      <c r="O523" s="3">
        <f t="shared" si="41"/>
        <v>507.91</v>
      </c>
      <c r="P523" s="3">
        <f t="shared" si="42"/>
        <v>244.88</v>
      </c>
      <c r="Q523" s="3">
        <f t="shared" si="43"/>
        <v>263.02999999999997</v>
      </c>
      <c r="R523" s="4">
        <f t="shared" si="44"/>
        <v>0.51790000000000003</v>
      </c>
      <c r="S523" s="2">
        <v>5</v>
      </c>
      <c r="T523" t="s">
        <v>46</v>
      </c>
      <c r="U523">
        <v>2</v>
      </c>
    </row>
    <row r="524" spans="1:22" x14ac:dyDescent="0.25">
      <c r="A524" s="1">
        <v>46231</v>
      </c>
      <c r="B524" t="s">
        <v>720</v>
      </c>
      <c r="C524" t="s">
        <v>89</v>
      </c>
      <c r="D524" t="s">
        <v>139</v>
      </c>
      <c r="E524" t="s">
        <v>72</v>
      </c>
      <c r="F524" t="s">
        <v>64</v>
      </c>
      <c r="G524" t="s">
        <v>44</v>
      </c>
      <c r="H524" t="s">
        <v>73</v>
      </c>
      <c r="I524" t="s">
        <v>65</v>
      </c>
      <c r="J524" s="2">
        <v>2</v>
      </c>
      <c r="K524" s="3">
        <v>1617.9</v>
      </c>
      <c r="L524" s="3">
        <v>1094.9000000000001</v>
      </c>
      <c r="M524" s="4">
        <v>0.11550000000000001</v>
      </c>
      <c r="N524" s="3">
        <f t="shared" si="40"/>
        <v>3235.8</v>
      </c>
      <c r="O524" s="3">
        <f t="shared" si="41"/>
        <v>2862.07</v>
      </c>
      <c r="P524" s="3">
        <f t="shared" si="42"/>
        <v>2189.8000000000002</v>
      </c>
      <c r="Q524" s="3">
        <f t="shared" si="43"/>
        <v>672.27</v>
      </c>
      <c r="R524" s="4">
        <f t="shared" si="44"/>
        <v>0.2349</v>
      </c>
      <c r="S524" s="2">
        <v>12</v>
      </c>
      <c r="T524" t="s">
        <v>30</v>
      </c>
      <c r="U524">
        <v>5</v>
      </c>
    </row>
    <row r="525" spans="1:22" x14ac:dyDescent="0.25">
      <c r="A525" s="1">
        <v>46163</v>
      </c>
      <c r="B525" t="s">
        <v>721</v>
      </c>
      <c r="C525" t="s">
        <v>231</v>
      </c>
      <c r="D525" t="s">
        <v>56</v>
      </c>
      <c r="E525" t="s">
        <v>57</v>
      </c>
      <c r="F525" t="s">
        <v>64</v>
      </c>
      <c r="G525" t="s">
        <v>44</v>
      </c>
      <c r="H525" t="s">
        <v>45</v>
      </c>
      <c r="I525" t="s">
        <v>87</v>
      </c>
      <c r="J525" s="2">
        <v>7</v>
      </c>
      <c r="K525" s="3">
        <v>366.94</v>
      </c>
      <c r="L525" s="3">
        <v>218.47</v>
      </c>
      <c r="M525" s="4">
        <v>0.1103</v>
      </c>
      <c r="N525" s="3">
        <f t="shared" si="40"/>
        <v>2568.58</v>
      </c>
      <c r="O525" s="3">
        <f t="shared" si="41"/>
        <v>2285.27</v>
      </c>
      <c r="P525" s="3">
        <f t="shared" si="42"/>
        <v>1529.29</v>
      </c>
      <c r="Q525" s="3">
        <f t="shared" si="43"/>
        <v>755.98</v>
      </c>
      <c r="R525" s="4">
        <f t="shared" si="44"/>
        <v>0.33079999999999998</v>
      </c>
      <c r="S525" s="2">
        <v>3</v>
      </c>
      <c r="T525" t="s">
        <v>46</v>
      </c>
      <c r="U525">
        <v>3</v>
      </c>
    </row>
    <row r="526" spans="1:22" x14ac:dyDescent="0.25">
      <c r="A526" s="1">
        <v>46043</v>
      </c>
      <c r="B526" t="s">
        <v>722</v>
      </c>
      <c r="C526" t="s">
        <v>176</v>
      </c>
      <c r="D526" t="s">
        <v>34</v>
      </c>
      <c r="E526" t="s">
        <v>35</v>
      </c>
      <c r="F526" t="s">
        <v>58</v>
      </c>
      <c r="G526" t="s">
        <v>27</v>
      </c>
      <c r="H526" t="s">
        <v>28</v>
      </c>
      <c r="I526" t="s">
        <v>39</v>
      </c>
      <c r="J526" s="2">
        <v>2</v>
      </c>
      <c r="K526" s="3">
        <v>745.03</v>
      </c>
      <c r="L526" s="3">
        <v>475.93</v>
      </c>
      <c r="M526" s="4">
        <v>0.1249</v>
      </c>
      <c r="N526" s="3">
        <f t="shared" si="40"/>
        <v>1490.06</v>
      </c>
      <c r="O526" s="3">
        <f t="shared" si="41"/>
        <v>1303.95</v>
      </c>
      <c r="P526" s="3">
        <f t="shared" si="42"/>
        <v>951.86</v>
      </c>
      <c r="Q526" s="3">
        <f t="shared" si="43"/>
        <v>352.09</v>
      </c>
      <c r="R526" s="4">
        <f t="shared" si="44"/>
        <v>0.27</v>
      </c>
      <c r="S526" s="2">
        <v>11</v>
      </c>
      <c r="T526" t="s">
        <v>30</v>
      </c>
      <c r="U526">
        <v>2</v>
      </c>
    </row>
    <row r="527" spans="1:22" x14ac:dyDescent="0.25">
      <c r="A527" s="1">
        <v>46047</v>
      </c>
      <c r="B527" t="s">
        <v>723</v>
      </c>
      <c r="C527" t="s">
        <v>82</v>
      </c>
      <c r="D527" t="s">
        <v>207</v>
      </c>
      <c r="E527" t="s">
        <v>35</v>
      </c>
      <c r="F527" t="s">
        <v>36</v>
      </c>
      <c r="G527" t="s">
        <v>44</v>
      </c>
      <c r="H527" t="s">
        <v>73</v>
      </c>
      <c r="I527" t="s">
        <v>74</v>
      </c>
      <c r="J527" s="2">
        <v>4</v>
      </c>
      <c r="K527" s="3">
        <v>1771.56</v>
      </c>
      <c r="L527" s="3">
        <v>1055.8499999999999</v>
      </c>
      <c r="M527" s="4">
        <v>3.27E-2</v>
      </c>
      <c r="N527" s="3">
        <f t="shared" si="40"/>
        <v>7086.24</v>
      </c>
      <c r="O527" s="3">
        <f t="shared" si="41"/>
        <v>6854.52</v>
      </c>
      <c r="P527" s="3">
        <f t="shared" si="42"/>
        <v>4223.3999999999996</v>
      </c>
      <c r="Q527" s="3">
        <f t="shared" si="43"/>
        <v>2631.12</v>
      </c>
      <c r="R527" s="4">
        <f t="shared" si="44"/>
        <v>0.38390000000000002</v>
      </c>
      <c r="S527" s="2">
        <v>11</v>
      </c>
      <c r="T527" t="s">
        <v>30</v>
      </c>
      <c r="U527">
        <v>4</v>
      </c>
    </row>
    <row r="528" spans="1:22" x14ac:dyDescent="0.25">
      <c r="A528" s="1">
        <v>46024</v>
      </c>
      <c r="B528" t="s">
        <v>724</v>
      </c>
      <c r="C528" t="s">
        <v>123</v>
      </c>
      <c r="D528" t="s">
        <v>56</v>
      </c>
      <c r="E528" t="s">
        <v>57</v>
      </c>
      <c r="F528" t="s">
        <v>36</v>
      </c>
      <c r="G528" t="s">
        <v>44</v>
      </c>
      <c r="H528" t="s">
        <v>73</v>
      </c>
      <c r="I528" t="s">
        <v>94</v>
      </c>
      <c r="J528" s="2">
        <v>8</v>
      </c>
      <c r="K528" s="3">
        <v>1735.21</v>
      </c>
      <c r="L528" s="3">
        <v>1058.53</v>
      </c>
      <c r="M528" s="4">
        <v>0</v>
      </c>
      <c r="N528" s="3">
        <f t="shared" si="40"/>
        <v>13881.68</v>
      </c>
      <c r="O528" s="3">
        <f t="shared" si="41"/>
        <v>13881.68</v>
      </c>
      <c r="P528" s="3">
        <f t="shared" si="42"/>
        <v>8468.24</v>
      </c>
      <c r="Q528" s="3">
        <f t="shared" si="43"/>
        <v>5413.44</v>
      </c>
      <c r="R528" s="4">
        <f t="shared" si="44"/>
        <v>0.39</v>
      </c>
      <c r="S528" s="2">
        <v>8</v>
      </c>
      <c r="T528" t="s">
        <v>46</v>
      </c>
      <c r="U528">
        <v>3</v>
      </c>
    </row>
    <row r="529" spans="1:21" x14ac:dyDescent="0.25">
      <c r="A529" s="1">
        <v>46078</v>
      </c>
      <c r="B529" t="s">
        <v>725</v>
      </c>
      <c r="C529" t="s">
        <v>67</v>
      </c>
      <c r="D529" t="s">
        <v>49</v>
      </c>
      <c r="E529" t="s">
        <v>50</v>
      </c>
      <c r="F529" t="s">
        <v>58</v>
      </c>
      <c r="G529" t="s">
        <v>37</v>
      </c>
      <c r="H529" t="s">
        <v>38</v>
      </c>
      <c r="I529" t="s">
        <v>74</v>
      </c>
      <c r="J529" s="2">
        <v>6</v>
      </c>
      <c r="K529" s="3">
        <v>408.32</v>
      </c>
      <c r="L529" s="3">
        <v>197.98</v>
      </c>
      <c r="M529" s="4">
        <v>0.14030000000000001</v>
      </c>
      <c r="N529" s="3">
        <f t="shared" si="40"/>
        <v>2449.92</v>
      </c>
      <c r="O529" s="3">
        <f t="shared" si="41"/>
        <v>2106.1999999999998</v>
      </c>
      <c r="P529" s="3">
        <f t="shared" si="42"/>
        <v>1187.8800000000001</v>
      </c>
      <c r="Q529" s="3">
        <f t="shared" si="43"/>
        <v>918.32</v>
      </c>
      <c r="R529" s="4">
        <f t="shared" si="44"/>
        <v>0.436</v>
      </c>
      <c r="S529" s="2">
        <v>13</v>
      </c>
      <c r="T529" t="s">
        <v>30</v>
      </c>
      <c r="U529">
        <v>3</v>
      </c>
    </row>
    <row r="530" spans="1:21" x14ac:dyDescent="0.25">
      <c r="A530" s="1">
        <v>46030</v>
      </c>
      <c r="B530" t="s">
        <v>726</v>
      </c>
      <c r="C530" t="s">
        <v>260</v>
      </c>
      <c r="D530" t="s">
        <v>24</v>
      </c>
      <c r="E530" t="s">
        <v>25</v>
      </c>
      <c r="F530" t="s">
        <v>36</v>
      </c>
      <c r="G530" t="s">
        <v>37</v>
      </c>
      <c r="H530" t="s">
        <v>104</v>
      </c>
      <c r="I530" t="s">
        <v>60</v>
      </c>
      <c r="J530" s="2">
        <v>1</v>
      </c>
      <c r="K530" s="3">
        <v>307.27999999999997</v>
      </c>
      <c r="L530" s="3">
        <v>136.24</v>
      </c>
      <c r="M530" s="4">
        <v>0</v>
      </c>
      <c r="N530" s="3">
        <f t="shared" si="40"/>
        <v>307.27999999999997</v>
      </c>
      <c r="O530" s="3">
        <f t="shared" si="41"/>
        <v>307.27999999999997</v>
      </c>
      <c r="P530" s="3">
        <f t="shared" si="42"/>
        <v>136.24</v>
      </c>
      <c r="Q530" s="3">
        <f t="shared" si="43"/>
        <v>171.04</v>
      </c>
      <c r="R530" s="4">
        <f t="shared" si="44"/>
        <v>0.55659999999999998</v>
      </c>
      <c r="S530" s="2">
        <v>13</v>
      </c>
      <c r="T530" t="s">
        <v>30</v>
      </c>
      <c r="U530">
        <v>2</v>
      </c>
    </row>
    <row r="531" spans="1:21" x14ac:dyDescent="0.25">
      <c r="A531" s="1">
        <v>46214</v>
      </c>
      <c r="B531" t="s">
        <v>727</v>
      </c>
      <c r="C531" t="s">
        <v>91</v>
      </c>
      <c r="D531" t="s">
        <v>49</v>
      </c>
      <c r="E531" t="s">
        <v>50</v>
      </c>
      <c r="F531" t="s">
        <v>64</v>
      </c>
      <c r="G531" t="s">
        <v>51</v>
      </c>
      <c r="H531" t="s">
        <v>116</v>
      </c>
      <c r="I531" t="s">
        <v>87</v>
      </c>
      <c r="J531" s="2">
        <v>6</v>
      </c>
      <c r="K531" s="3">
        <v>2911.79</v>
      </c>
      <c r="L531" s="3">
        <v>1824.88</v>
      </c>
      <c r="M531" s="4">
        <v>7.0199999999999999E-2</v>
      </c>
      <c r="N531" s="3">
        <f t="shared" si="40"/>
        <v>17470.740000000002</v>
      </c>
      <c r="O531" s="3">
        <f t="shared" si="41"/>
        <v>16244.29</v>
      </c>
      <c r="P531" s="3">
        <f t="shared" si="42"/>
        <v>10949.28</v>
      </c>
      <c r="Q531" s="3">
        <f t="shared" si="43"/>
        <v>5295.01</v>
      </c>
      <c r="R531" s="4">
        <f t="shared" si="44"/>
        <v>0.32600000000000001</v>
      </c>
      <c r="S531" s="2">
        <v>11</v>
      </c>
      <c r="T531" t="s">
        <v>30</v>
      </c>
      <c r="U531">
        <v>3</v>
      </c>
    </row>
    <row r="532" spans="1:21" x14ac:dyDescent="0.25">
      <c r="A532" s="1">
        <v>46145</v>
      </c>
      <c r="B532" t="s">
        <v>728</v>
      </c>
      <c r="C532" t="s">
        <v>150</v>
      </c>
      <c r="D532" t="s">
        <v>34</v>
      </c>
      <c r="E532" t="s">
        <v>35</v>
      </c>
      <c r="F532" t="s">
        <v>64</v>
      </c>
      <c r="G532" t="s">
        <v>44</v>
      </c>
      <c r="H532" t="s">
        <v>124</v>
      </c>
      <c r="I532" t="s">
        <v>60</v>
      </c>
      <c r="J532" s="2">
        <v>1</v>
      </c>
      <c r="K532" s="3">
        <v>5915.71</v>
      </c>
      <c r="L532" s="3">
        <v>4478.46</v>
      </c>
      <c r="M532" s="4">
        <v>4.0599999999999997E-2</v>
      </c>
      <c r="N532" s="3">
        <f t="shared" si="40"/>
        <v>5915.71</v>
      </c>
      <c r="O532" s="3">
        <f t="shared" si="41"/>
        <v>5675.53</v>
      </c>
      <c r="P532" s="3">
        <f t="shared" si="42"/>
        <v>4478.46</v>
      </c>
      <c r="Q532" s="3">
        <f t="shared" si="43"/>
        <v>1197.07</v>
      </c>
      <c r="R532" s="4">
        <f t="shared" si="44"/>
        <v>0.2109</v>
      </c>
      <c r="S532" s="2">
        <v>2</v>
      </c>
      <c r="T532" t="s">
        <v>46</v>
      </c>
      <c r="U532">
        <v>4</v>
      </c>
    </row>
    <row r="533" spans="1:21" x14ac:dyDescent="0.25">
      <c r="A533" s="1">
        <v>46137</v>
      </c>
      <c r="B533" t="s">
        <v>729</v>
      </c>
      <c r="C533" t="s">
        <v>67</v>
      </c>
      <c r="D533" t="s">
        <v>34</v>
      </c>
      <c r="E533" t="s">
        <v>35</v>
      </c>
      <c r="F533" t="s">
        <v>36</v>
      </c>
      <c r="G533" t="s">
        <v>37</v>
      </c>
      <c r="H533" t="s">
        <v>178</v>
      </c>
      <c r="I533" t="s">
        <v>74</v>
      </c>
      <c r="J533" s="2">
        <v>7</v>
      </c>
      <c r="K533" s="3">
        <v>481.65</v>
      </c>
      <c r="L533" s="3">
        <v>236.17</v>
      </c>
      <c r="M533" s="4">
        <v>1.6500000000000001E-2</v>
      </c>
      <c r="N533" s="3">
        <f t="shared" si="40"/>
        <v>3371.55</v>
      </c>
      <c r="O533" s="3">
        <f t="shared" si="41"/>
        <v>3315.92</v>
      </c>
      <c r="P533" s="3">
        <f t="shared" si="42"/>
        <v>1653.19</v>
      </c>
      <c r="Q533" s="3">
        <f t="shared" si="43"/>
        <v>1662.73</v>
      </c>
      <c r="R533" s="4">
        <f t="shared" si="44"/>
        <v>0.50139999999999996</v>
      </c>
      <c r="S533" s="2">
        <v>7</v>
      </c>
      <c r="T533" t="s">
        <v>46</v>
      </c>
      <c r="U533">
        <v>2</v>
      </c>
    </row>
    <row r="534" spans="1:21" x14ac:dyDescent="0.25">
      <c r="A534" s="1">
        <v>46117</v>
      </c>
      <c r="B534" t="s">
        <v>730</v>
      </c>
      <c r="C534" t="s">
        <v>174</v>
      </c>
      <c r="D534" t="s">
        <v>71</v>
      </c>
      <c r="E534" t="s">
        <v>72</v>
      </c>
      <c r="F534" t="s">
        <v>26</v>
      </c>
      <c r="G534" t="s">
        <v>27</v>
      </c>
      <c r="H534" t="s">
        <v>86</v>
      </c>
      <c r="I534" t="s">
        <v>39</v>
      </c>
      <c r="J534" s="2">
        <v>4</v>
      </c>
      <c r="K534" s="3">
        <v>1976.82</v>
      </c>
      <c r="L534" s="3">
        <v>1233.58</v>
      </c>
      <c r="M534" s="4">
        <v>0</v>
      </c>
      <c r="N534" s="3">
        <f t="shared" si="40"/>
        <v>7907.28</v>
      </c>
      <c r="O534" s="3">
        <f t="shared" si="41"/>
        <v>7907.28</v>
      </c>
      <c r="P534" s="3">
        <f t="shared" si="42"/>
        <v>4934.32</v>
      </c>
      <c r="Q534" s="3">
        <f t="shared" si="43"/>
        <v>2972.96</v>
      </c>
      <c r="R534" s="4">
        <f t="shared" si="44"/>
        <v>0.376</v>
      </c>
      <c r="S534" s="2">
        <v>6</v>
      </c>
      <c r="T534" t="s">
        <v>46</v>
      </c>
      <c r="U534">
        <v>2</v>
      </c>
    </row>
    <row r="535" spans="1:21" x14ac:dyDescent="0.25">
      <c r="A535" s="1">
        <v>46134</v>
      </c>
      <c r="B535" t="s">
        <v>731</v>
      </c>
      <c r="C535" t="s">
        <v>170</v>
      </c>
      <c r="D535" t="s">
        <v>97</v>
      </c>
      <c r="E535" t="s">
        <v>57</v>
      </c>
      <c r="F535" t="s">
        <v>36</v>
      </c>
      <c r="G535" t="s">
        <v>27</v>
      </c>
      <c r="H535" t="s">
        <v>28</v>
      </c>
      <c r="I535" t="s">
        <v>87</v>
      </c>
      <c r="J535" s="2">
        <v>1</v>
      </c>
      <c r="K535" s="3">
        <v>794.16</v>
      </c>
      <c r="L535" s="3">
        <v>472.73</v>
      </c>
      <c r="M535" s="4">
        <v>0</v>
      </c>
      <c r="N535" s="3">
        <f t="shared" si="40"/>
        <v>794.16</v>
      </c>
      <c r="O535" s="3">
        <f t="shared" si="41"/>
        <v>794.16</v>
      </c>
      <c r="P535" s="3">
        <f t="shared" si="42"/>
        <v>472.73</v>
      </c>
      <c r="Q535" s="3">
        <f t="shared" si="43"/>
        <v>321.43</v>
      </c>
      <c r="R535" s="4">
        <f t="shared" si="44"/>
        <v>0.4047</v>
      </c>
      <c r="S535" s="2">
        <v>12</v>
      </c>
      <c r="T535" t="s">
        <v>30</v>
      </c>
      <c r="U535">
        <v>3</v>
      </c>
    </row>
    <row r="536" spans="1:21" x14ac:dyDescent="0.25">
      <c r="A536" s="1">
        <v>46223</v>
      </c>
      <c r="B536" t="s">
        <v>732</v>
      </c>
      <c r="C536" t="s">
        <v>514</v>
      </c>
      <c r="D536" t="s">
        <v>139</v>
      </c>
      <c r="E536" t="s">
        <v>72</v>
      </c>
      <c r="F536" t="s">
        <v>58</v>
      </c>
      <c r="G536" t="s">
        <v>37</v>
      </c>
      <c r="H536" t="s">
        <v>38</v>
      </c>
      <c r="I536" t="s">
        <v>65</v>
      </c>
      <c r="J536" s="2">
        <v>4</v>
      </c>
      <c r="K536" s="3">
        <v>421.94</v>
      </c>
      <c r="L536" s="3">
        <v>189.15</v>
      </c>
      <c r="M536" s="4">
        <v>3.5000000000000003E-2</v>
      </c>
      <c r="N536" s="3">
        <f t="shared" si="40"/>
        <v>1687.76</v>
      </c>
      <c r="O536" s="3">
        <f t="shared" si="41"/>
        <v>1628.69</v>
      </c>
      <c r="P536" s="3">
        <f t="shared" si="42"/>
        <v>756.6</v>
      </c>
      <c r="Q536" s="3">
        <f t="shared" si="43"/>
        <v>872.09</v>
      </c>
      <c r="R536" s="4">
        <f t="shared" si="44"/>
        <v>0.53549999999999998</v>
      </c>
      <c r="S536" s="2">
        <v>14</v>
      </c>
      <c r="T536" t="s">
        <v>30</v>
      </c>
      <c r="U536">
        <v>2</v>
      </c>
    </row>
    <row r="537" spans="1:21" x14ac:dyDescent="0.25">
      <c r="A537" s="1">
        <v>46119</v>
      </c>
      <c r="B537" t="s">
        <v>733</v>
      </c>
      <c r="C537" t="s">
        <v>129</v>
      </c>
      <c r="D537" t="s">
        <v>121</v>
      </c>
      <c r="E537" t="s">
        <v>72</v>
      </c>
      <c r="F537" t="s">
        <v>36</v>
      </c>
      <c r="G537" t="s">
        <v>37</v>
      </c>
      <c r="H537" t="s">
        <v>38</v>
      </c>
      <c r="I537" t="s">
        <v>87</v>
      </c>
      <c r="J537" s="2">
        <v>8</v>
      </c>
      <c r="K537" s="3">
        <v>405.21</v>
      </c>
      <c r="L537" s="3">
        <v>194.72</v>
      </c>
      <c r="M537" s="4">
        <v>3.0499999999999999E-2</v>
      </c>
      <c r="N537" s="3">
        <f t="shared" si="40"/>
        <v>3241.68</v>
      </c>
      <c r="O537" s="3">
        <f t="shared" si="41"/>
        <v>3142.81</v>
      </c>
      <c r="P537" s="3">
        <f t="shared" si="42"/>
        <v>1557.76</v>
      </c>
      <c r="Q537" s="3">
        <f t="shared" si="43"/>
        <v>1585.05</v>
      </c>
      <c r="R537" s="4">
        <f t="shared" si="44"/>
        <v>0.50429999999999997</v>
      </c>
      <c r="S537" s="2">
        <v>12</v>
      </c>
      <c r="T537" t="s">
        <v>30</v>
      </c>
      <c r="U537">
        <v>4</v>
      </c>
    </row>
    <row r="538" spans="1:21" x14ac:dyDescent="0.25">
      <c r="A538" s="1">
        <v>46054</v>
      </c>
      <c r="B538" t="s">
        <v>734</v>
      </c>
      <c r="C538" t="s">
        <v>433</v>
      </c>
      <c r="D538" t="s">
        <v>113</v>
      </c>
      <c r="E538" t="s">
        <v>50</v>
      </c>
      <c r="F538" t="s">
        <v>58</v>
      </c>
      <c r="G538" t="s">
        <v>27</v>
      </c>
      <c r="H538" t="s">
        <v>86</v>
      </c>
      <c r="I538" t="s">
        <v>92</v>
      </c>
      <c r="J538" s="2">
        <v>8</v>
      </c>
      <c r="K538" s="3">
        <v>1780.02</v>
      </c>
      <c r="L538" s="3">
        <v>1177.83</v>
      </c>
      <c r="M538" s="4">
        <v>8.2199999999999995E-2</v>
      </c>
      <c r="N538" s="3">
        <f t="shared" si="40"/>
        <v>14240.16</v>
      </c>
      <c r="O538" s="3">
        <f t="shared" si="41"/>
        <v>13069.62</v>
      </c>
      <c r="P538" s="3">
        <f t="shared" si="42"/>
        <v>9422.64</v>
      </c>
      <c r="Q538" s="3">
        <f t="shared" si="43"/>
        <v>3646.98</v>
      </c>
      <c r="R538" s="4">
        <f t="shared" si="44"/>
        <v>0.27900000000000003</v>
      </c>
      <c r="S538" s="2">
        <v>10</v>
      </c>
      <c r="T538" t="s">
        <v>46</v>
      </c>
      <c r="U538">
        <v>4</v>
      </c>
    </row>
    <row r="539" spans="1:21" x14ac:dyDescent="0.25">
      <c r="A539" s="1">
        <v>46222</v>
      </c>
      <c r="B539" t="s">
        <v>735</v>
      </c>
      <c r="C539" t="s">
        <v>260</v>
      </c>
      <c r="D539" t="s">
        <v>85</v>
      </c>
      <c r="E539" t="s">
        <v>50</v>
      </c>
      <c r="F539" t="s">
        <v>64</v>
      </c>
      <c r="G539" t="s">
        <v>51</v>
      </c>
      <c r="H539" t="s">
        <v>116</v>
      </c>
      <c r="I539" t="s">
        <v>92</v>
      </c>
      <c r="J539" s="2">
        <v>8</v>
      </c>
      <c r="K539" s="3">
        <v>2853.11</v>
      </c>
      <c r="L539" s="3">
        <v>1866.86</v>
      </c>
      <c r="M539" s="4">
        <v>3.32E-2</v>
      </c>
      <c r="N539" s="3">
        <f t="shared" si="40"/>
        <v>22824.880000000001</v>
      </c>
      <c r="O539" s="3">
        <f t="shared" si="41"/>
        <v>22067.09</v>
      </c>
      <c r="P539" s="3">
        <f t="shared" si="42"/>
        <v>14934.88</v>
      </c>
      <c r="Q539" s="3">
        <f t="shared" si="43"/>
        <v>7132.21</v>
      </c>
      <c r="R539" s="4">
        <f t="shared" si="44"/>
        <v>0.32319999999999999</v>
      </c>
      <c r="S539" s="2">
        <v>8</v>
      </c>
      <c r="T539" t="s">
        <v>46</v>
      </c>
      <c r="U539">
        <v>2</v>
      </c>
    </row>
    <row r="540" spans="1:21" x14ac:dyDescent="0.25">
      <c r="A540" s="1">
        <v>46107</v>
      </c>
      <c r="B540" t="s">
        <v>736</v>
      </c>
      <c r="C540" t="s">
        <v>218</v>
      </c>
      <c r="D540" t="s">
        <v>121</v>
      </c>
      <c r="E540" t="s">
        <v>72</v>
      </c>
      <c r="F540" t="s">
        <v>58</v>
      </c>
      <c r="G540" t="s">
        <v>44</v>
      </c>
      <c r="H540" t="s">
        <v>73</v>
      </c>
      <c r="I540" t="s">
        <v>94</v>
      </c>
      <c r="J540" s="2">
        <v>8</v>
      </c>
      <c r="K540" s="3">
        <v>1774.86</v>
      </c>
      <c r="L540" s="3">
        <v>1158.81</v>
      </c>
      <c r="M540" s="4">
        <v>6.7500000000000004E-2</v>
      </c>
      <c r="N540" s="3">
        <f t="shared" si="40"/>
        <v>14198.88</v>
      </c>
      <c r="O540" s="3">
        <f t="shared" si="41"/>
        <v>13240.46</v>
      </c>
      <c r="P540" s="3">
        <f t="shared" si="42"/>
        <v>9270.48</v>
      </c>
      <c r="Q540" s="3">
        <f t="shared" si="43"/>
        <v>3969.98</v>
      </c>
      <c r="R540" s="4">
        <f t="shared" si="44"/>
        <v>0.29980000000000001</v>
      </c>
      <c r="S540" s="2">
        <v>5</v>
      </c>
      <c r="T540" t="s">
        <v>40</v>
      </c>
    </row>
    <row r="541" spans="1:21" x14ac:dyDescent="0.25">
      <c r="A541" s="1">
        <v>46164</v>
      </c>
      <c r="B541" t="s">
        <v>737</v>
      </c>
      <c r="C541" t="s">
        <v>172</v>
      </c>
      <c r="D541" t="s">
        <v>207</v>
      </c>
      <c r="E541" t="s">
        <v>35</v>
      </c>
      <c r="F541" t="s">
        <v>64</v>
      </c>
      <c r="G541" t="s">
        <v>27</v>
      </c>
      <c r="H541" t="s">
        <v>68</v>
      </c>
      <c r="I541" t="s">
        <v>94</v>
      </c>
      <c r="J541" s="2">
        <v>5</v>
      </c>
      <c r="K541" s="3">
        <v>1337.51</v>
      </c>
      <c r="L541" s="3">
        <v>779.16</v>
      </c>
      <c r="M541" s="4">
        <v>0</v>
      </c>
      <c r="N541" s="3">
        <f t="shared" si="40"/>
        <v>6687.55</v>
      </c>
      <c r="O541" s="3">
        <f t="shared" si="41"/>
        <v>6687.55</v>
      </c>
      <c r="P541" s="3">
        <f t="shared" si="42"/>
        <v>3895.8</v>
      </c>
      <c r="Q541" s="3">
        <f t="shared" si="43"/>
        <v>2791.75</v>
      </c>
      <c r="R541" s="4">
        <f t="shared" si="44"/>
        <v>0.41749999999999998</v>
      </c>
      <c r="S541" s="2">
        <v>11</v>
      </c>
      <c r="T541" t="s">
        <v>30</v>
      </c>
      <c r="U541">
        <v>3</v>
      </c>
    </row>
    <row r="542" spans="1:21" x14ac:dyDescent="0.25">
      <c r="A542" s="1">
        <v>46209</v>
      </c>
      <c r="B542" t="s">
        <v>738</v>
      </c>
      <c r="C542" t="s">
        <v>428</v>
      </c>
      <c r="D542" t="s">
        <v>63</v>
      </c>
      <c r="E542" t="s">
        <v>35</v>
      </c>
      <c r="F542" t="s">
        <v>58</v>
      </c>
      <c r="G542" t="s">
        <v>27</v>
      </c>
      <c r="H542" t="s">
        <v>28</v>
      </c>
      <c r="I542" t="s">
        <v>29</v>
      </c>
      <c r="J542" s="2">
        <v>7</v>
      </c>
      <c r="K542" s="3">
        <v>773.08</v>
      </c>
      <c r="L542" s="3">
        <v>464.36</v>
      </c>
      <c r="M542" s="4">
        <v>3.5000000000000003E-2</v>
      </c>
      <c r="N542" s="3">
        <f t="shared" si="40"/>
        <v>5411.56</v>
      </c>
      <c r="O542" s="3">
        <f t="shared" si="41"/>
        <v>5222.16</v>
      </c>
      <c r="P542" s="3">
        <f t="shared" si="42"/>
        <v>3250.52</v>
      </c>
      <c r="Q542" s="3">
        <f t="shared" si="43"/>
        <v>1971.64</v>
      </c>
      <c r="R542" s="4">
        <f t="shared" si="44"/>
        <v>0.37759999999999999</v>
      </c>
      <c r="S542" s="2">
        <v>8</v>
      </c>
      <c r="T542" t="s">
        <v>46</v>
      </c>
      <c r="U542">
        <v>5</v>
      </c>
    </row>
    <row r="543" spans="1:21" x14ac:dyDescent="0.25">
      <c r="A543" s="1">
        <v>46200</v>
      </c>
      <c r="B543" t="s">
        <v>739</v>
      </c>
      <c r="C543" t="s">
        <v>176</v>
      </c>
      <c r="D543" t="s">
        <v>207</v>
      </c>
      <c r="E543" t="s">
        <v>35</v>
      </c>
      <c r="F543" t="s">
        <v>26</v>
      </c>
      <c r="G543" t="s">
        <v>37</v>
      </c>
      <c r="H543" t="s">
        <v>38</v>
      </c>
      <c r="I543" t="s">
        <v>39</v>
      </c>
      <c r="J543" s="2">
        <v>4</v>
      </c>
      <c r="K543" s="3">
        <v>428.81</v>
      </c>
      <c r="L543" s="3">
        <v>190.32</v>
      </c>
      <c r="M543" s="4">
        <v>8.8800000000000004E-2</v>
      </c>
      <c r="N543" s="3">
        <f t="shared" si="40"/>
        <v>1715.24</v>
      </c>
      <c r="O543" s="3">
        <f t="shared" si="41"/>
        <v>1562.93</v>
      </c>
      <c r="P543" s="3">
        <f t="shared" si="42"/>
        <v>761.28</v>
      </c>
      <c r="Q543" s="3">
        <f t="shared" si="43"/>
        <v>801.65</v>
      </c>
      <c r="R543" s="4">
        <f t="shared" si="44"/>
        <v>0.51290000000000002</v>
      </c>
      <c r="S543" s="2">
        <v>7</v>
      </c>
      <c r="T543" t="s">
        <v>46</v>
      </c>
      <c r="U543">
        <v>3</v>
      </c>
    </row>
    <row r="544" spans="1:21" x14ac:dyDescent="0.25">
      <c r="A544" s="1">
        <v>46173</v>
      </c>
      <c r="B544" t="s">
        <v>740</v>
      </c>
      <c r="C544" t="s">
        <v>106</v>
      </c>
      <c r="D544" t="s">
        <v>97</v>
      </c>
      <c r="E544" t="s">
        <v>57</v>
      </c>
      <c r="F544" t="s">
        <v>64</v>
      </c>
      <c r="G544" t="s">
        <v>27</v>
      </c>
      <c r="H544" t="s">
        <v>68</v>
      </c>
      <c r="I544" t="s">
        <v>65</v>
      </c>
      <c r="J544" s="2">
        <v>1</v>
      </c>
      <c r="K544" s="3">
        <v>1336.89</v>
      </c>
      <c r="L544" s="3">
        <v>787.99</v>
      </c>
      <c r="M544" s="4">
        <v>0</v>
      </c>
      <c r="N544" s="3">
        <f t="shared" si="40"/>
        <v>1336.89</v>
      </c>
      <c r="O544" s="3">
        <f t="shared" si="41"/>
        <v>1336.89</v>
      </c>
      <c r="P544" s="3">
        <f t="shared" si="42"/>
        <v>787.99</v>
      </c>
      <c r="Q544" s="3">
        <f t="shared" si="43"/>
        <v>548.9</v>
      </c>
      <c r="R544" s="4">
        <f t="shared" si="44"/>
        <v>0.41060000000000002</v>
      </c>
      <c r="S544" s="2">
        <v>12</v>
      </c>
      <c r="T544" t="s">
        <v>30</v>
      </c>
      <c r="U544">
        <v>3</v>
      </c>
    </row>
    <row r="545" spans="1:21" x14ac:dyDescent="0.25">
      <c r="A545" s="1">
        <v>46140</v>
      </c>
      <c r="B545" t="s">
        <v>741</v>
      </c>
      <c r="C545" t="s">
        <v>115</v>
      </c>
      <c r="D545" t="s">
        <v>113</v>
      </c>
      <c r="E545" t="s">
        <v>50</v>
      </c>
      <c r="F545" t="s">
        <v>26</v>
      </c>
      <c r="G545" t="s">
        <v>44</v>
      </c>
      <c r="H545" t="s">
        <v>73</v>
      </c>
      <c r="I545" t="s">
        <v>77</v>
      </c>
      <c r="J545" s="2">
        <v>7</v>
      </c>
      <c r="K545" s="3">
        <v>1659.37</v>
      </c>
      <c r="L545" s="3">
        <v>1103.1600000000001</v>
      </c>
      <c r="M545" s="4">
        <v>8.3500000000000005E-2</v>
      </c>
      <c r="N545" s="3">
        <f t="shared" si="40"/>
        <v>11615.59</v>
      </c>
      <c r="O545" s="3">
        <f t="shared" si="41"/>
        <v>10645.69</v>
      </c>
      <c r="P545" s="3">
        <f t="shared" si="42"/>
        <v>7722.12</v>
      </c>
      <c r="Q545" s="3">
        <f t="shared" si="43"/>
        <v>2923.57</v>
      </c>
      <c r="R545" s="4">
        <f t="shared" si="44"/>
        <v>0.27460000000000001</v>
      </c>
      <c r="S545" s="2">
        <v>10</v>
      </c>
      <c r="T545" t="s">
        <v>46</v>
      </c>
      <c r="U545">
        <v>3</v>
      </c>
    </row>
    <row r="546" spans="1:21" x14ac:dyDescent="0.25">
      <c r="A546" s="1">
        <v>46086</v>
      </c>
      <c r="B546" t="s">
        <v>742</v>
      </c>
      <c r="C546" t="s">
        <v>290</v>
      </c>
      <c r="D546" t="s">
        <v>101</v>
      </c>
      <c r="E546" t="s">
        <v>35</v>
      </c>
      <c r="F546" t="s">
        <v>64</v>
      </c>
      <c r="G546" t="s">
        <v>44</v>
      </c>
      <c r="H546" t="s">
        <v>73</v>
      </c>
      <c r="I546" t="s">
        <v>74</v>
      </c>
      <c r="J546" s="2">
        <v>5</v>
      </c>
      <c r="K546" s="3">
        <v>1755.4</v>
      </c>
      <c r="L546" s="3">
        <v>1062.8900000000001</v>
      </c>
      <c r="M546" s="4">
        <v>5.1200000000000002E-2</v>
      </c>
      <c r="N546" s="3">
        <f t="shared" si="40"/>
        <v>8777</v>
      </c>
      <c r="O546" s="3">
        <f t="shared" si="41"/>
        <v>8327.6200000000008</v>
      </c>
      <c r="P546" s="3">
        <f t="shared" si="42"/>
        <v>5314.45</v>
      </c>
      <c r="Q546" s="3">
        <f t="shared" si="43"/>
        <v>3013.17</v>
      </c>
      <c r="R546" s="4">
        <f t="shared" si="44"/>
        <v>0.36180000000000001</v>
      </c>
      <c r="S546" s="2">
        <v>14</v>
      </c>
      <c r="T546" t="s">
        <v>30</v>
      </c>
      <c r="U546">
        <v>5</v>
      </c>
    </row>
    <row r="547" spans="1:21" x14ac:dyDescent="0.25">
      <c r="A547" s="1">
        <v>46024</v>
      </c>
      <c r="B547" t="s">
        <v>743</v>
      </c>
      <c r="C547" t="s">
        <v>286</v>
      </c>
      <c r="D547" t="s">
        <v>126</v>
      </c>
      <c r="E547" t="s">
        <v>57</v>
      </c>
      <c r="F547" t="s">
        <v>26</v>
      </c>
      <c r="G547" t="s">
        <v>51</v>
      </c>
      <c r="H547" t="s">
        <v>52</v>
      </c>
      <c r="I547" t="s">
        <v>65</v>
      </c>
      <c r="J547" s="2">
        <v>3</v>
      </c>
      <c r="K547" s="3">
        <v>275.12</v>
      </c>
      <c r="L547" s="3">
        <v>118.02</v>
      </c>
      <c r="M547" s="4">
        <v>5.6599999999999998E-2</v>
      </c>
      <c r="N547" s="3">
        <f t="shared" si="40"/>
        <v>825.36</v>
      </c>
      <c r="O547" s="3">
        <f t="shared" si="41"/>
        <v>778.64</v>
      </c>
      <c r="P547" s="3">
        <f t="shared" si="42"/>
        <v>354.06</v>
      </c>
      <c r="Q547" s="3">
        <f t="shared" si="43"/>
        <v>424.58</v>
      </c>
      <c r="R547" s="4">
        <f t="shared" si="44"/>
        <v>0.54530000000000001</v>
      </c>
      <c r="S547" s="2">
        <v>9</v>
      </c>
      <c r="T547" t="s">
        <v>46</v>
      </c>
      <c r="U547">
        <v>4</v>
      </c>
    </row>
    <row r="548" spans="1:21" x14ac:dyDescent="0.25">
      <c r="A548" s="1">
        <v>46024</v>
      </c>
      <c r="B548" t="s">
        <v>744</v>
      </c>
      <c r="C548" t="s">
        <v>321</v>
      </c>
      <c r="D548" t="s">
        <v>49</v>
      </c>
      <c r="E548" t="s">
        <v>50</v>
      </c>
      <c r="F548" t="s">
        <v>58</v>
      </c>
      <c r="G548" t="s">
        <v>44</v>
      </c>
      <c r="H548" t="s">
        <v>124</v>
      </c>
      <c r="I548" t="s">
        <v>53</v>
      </c>
      <c r="J548" s="2">
        <v>6</v>
      </c>
      <c r="K548" s="3">
        <v>5814.95</v>
      </c>
      <c r="L548" s="3">
        <v>4210.28</v>
      </c>
      <c r="M548" s="4">
        <v>6.2799999999999995E-2</v>
      </c>
      <c r="N548" s="3">
        <f t="shared" si="40"/>
        <v>34889.699999999997</v>
      </c>
      <c r="O548" s="3">
        <f t="shared" si="41"/>
        <v>32698.63</v>
      </c>
      <c r="P548" s="3">
        <f t="shared" si="42"/>
        <v>25261.68</v>
      </c>
      <c r="Q548" s="3">
        <f t="shared" si="43"/>
        <v>7436.95</v>
      </c>
      <c r="R548" s="4">
        <f t="shared" si="44"/>
        <v>0.22739999999999999</v>
      </c>
      <c r="S548" s="2">
        <v>13</v>
      </c>
      <c r="T548" t="s">
        <v>30</v>
      </c>
      <c r="U548">
        <v>5</v>
      </c>
    </row>
    <row r="549" spans="1:21" x14ac:dyDescent="0.25">
      <c r="A549" s="1">
        <v>46085</v>
      </c>
      <c r="B549" t="s">
        <v>745</v>
      </c>
      <c r="C549" t="s">
        <v>271</v>
      </c>
      <c r="D549" t="s">
        <v>85</v>
      </c>
      <c r="E549" t="s">
        <v>50</v>
      </c>
      <c r="F549" t="s">
        <v>26</v>
      </c>
      <c r="G549" t="s">
        <v>44</v>
      </c>
      <c r="H549" t="s">
        <v>124</v>
      </c>
      <c r="I549" t="s">
        <v>92</v>
      </c>
      <c r="J549" s="2">
        <v>3</v>
      </c>
      <c r="K549" s="3">
        <v>5672.74</v>
      </c>
      <c r="L549" s="3">
        <v>4470</v>
      </c>
      <c r="M549" s="4">
        <v>0.1135</v>
      </c>
      <c r="N549" s="3">
        <f t="shared" si="40"/>
        <v>17018.22</v>
      </c>
      <c r="O549" s="3">
        <f t="shared" si="41"/>
        <v>15086.65</v>
      </c>
      <c r="P549" s="3">
        <f t="shared" si="42"/>
        <v>13410</v>
      </c>
      <c r="Q549" s="3">
        <f t="shared" si="43"/>
        <v>1676.65</v>
      </c>
      <c r="R549" s="4">
        <f t="shared" si="44"/>
        <v>0.1111</v>
      </c>
      <c r="S549" s="2">
        <v>3</v>
      </c>
      <c r="T549" t="s">
        <v>46</v>
      </c>
      <c r="U549">
        <v>3</v>
      </c>
    </row>
    <row r="550" spans="1:21" x14ac:dyDescent="0.25">
      <c r="A550" s="1">
        <v>46189</v>
      </c>
      <c r="B550" t="s">
        <v>746</v>
      </c>
      <c r="C550" t="s">
        <v>129</v>
      </c>
      <c r="D550" t="s">
        <v>130</v>
      </c>
      <c r="E550" t="s">
        <v>72</v>
      </c>
      <c r="F550" t="s">
        <v>36</v>
      </c>
      <c r="G550" t="s">
        <v>44</v>
      </c>
      <c r="H550" t="s">
        <v>45</v>
      </c>
      <c r="I550" t="s">
        <v>60</v>
      </c>
      <c r="J550" s="2">
        <v>2</v>
      </c>
      <c r="K550" s="3">
        <v>407.06</v>
      </c>
      <c r="L550" s="3">
        <v>221.77</v>
      </c>
      <c r="M550" s="4">
        <v>0</v>
      </c>
      <c r="N550" s="3">
        <f t="shared" si="40"/>
        <v>814.12</v>
      </c>
      <c r="O550" s="3">
        <f t="shared" si="41"/>
        <v>814.12</v>
      </c>
      <c r="P550" s="3">
        <f t="shared" si="42"/>
        <v>443.54</v>
      </c>
      <c r="Q550" s="3">
        <f t="shared" si="43"/>
        <v>370.58</v>
      </c>
      <c r="R550" s="4">
        <f t="shared" si="44"/>
        <v>0.45519999999999999</v>
      </c>
      <c r="S550" s="2">
        <v>7</v>
      </c>
      <c r="T550" t="s">
        <v>46</v>
      </c>
      <c r="U550">
        <v>5</v>
      </c>
    </row>
    <row r="551" spans="1:21" x14ac:dyDescent="0.25">
      <c r="A551" s="1">
        <v>46108</v>
      </c>
      <c r="B551" t="s">
        <v>747</v>
      </c>
      <c r="C551" t="s">
        <v>590</v>
      </c>
      <c r="D551" t="s">
        <v>43</v>
      </c>
      <c r="E551" t="s">
        <v>25</v>
      </c>
      <c r="F551" t="s">
        <v>58</v>
      </c>
      <c r="G551" t="s">
        <v>27</v>
      </c>
      <c r="H551" t="s">
        <v>28</v>
      </c>
      <c r="I551" t="s">
        <v>39</v>
      </c>
      <c r="J551" s="2">
        <v>5</v>
      </c>
      <c r="K551" s="3">
        <v>806.02</v>
      </c>
      <c r="L551" s="3">
        <v>468.95</v>
      </c>
      <c r="M551" s="4">
        <v>3.5000000000000003E-2</v>
      </c>
      <c r="N551" s="3">
        <f t="shared" si="40"/>
        <v>4030.1</v>
      </c>
      <c r="O551" s="3">
        <f t="shared" si="41"/>
        <v>3889.05</v>
      </c>
      <c r="P551" s="3">
        <f t="shared" si="42"/>
        <v>2344.75</v>
      </c>
      <c r="Q551" s="3">
        <f t="shared" si="43"/>
        <v>1544.3</v>
      </c>
      <c r="R551" s="4">
        <f t="shared" si="44"/>
        <v>0.39710000000000001</v>
      </c>
      <c r="S551" s="2">
        <v>14</v>
      </c>
      <c r="T551" t="s">
        <v>30</v>
      </c>
      <c r="U551">
        <v>2</v>
      </c>
    </row>
    <row r="552" spans="1:21" x14ac:dyDescent="0.25">
      <c r="A552" s="1">
        <v>46063</v>
      </c>
      <c r="B552" t="s">
        <v>748</v>
      </c>
      <c r="C552" t="s">
        <v>476</v>
      </c>
      <c r="D552" t="s">
        <v>63</v>
      </c>
      <c r="E552" t="s">
        <v>35</v>
      </c>
      <c r="F552" t="s">
        <v>64</v>
      </c>
      <c r="G552" t="s">
        <v>44</v>
      </c>
      <c r="H552" t="s">
        <v>124</v>
      </c>
      <c r="I552" t="s">
        <v>53</v>
      </c>
      <c r="J552" s="2">
        <v>3</v>
      </c>
      <c r="K552" s="3">
        <v>6103.48</v>
      </c>
      <c r="L552" s="3">
        <v>4341.0600000000004</v>
      </c>
      <c r="M552" s="4">
        <v>9.0899999999999995E-2</v>
      </c>
      <c r="N552" s="3">
        <f t="shared" si="40"/>
        <v>18310.439999999999</v>
      </c>
      <c r="O552" s="3">
        <f t="shared" si="41"/>
        <v>16646.02</v>
      </c>
      <c r="P552" s="3">
        <f t="shared" si="42"/>
        <v>13023.18</v>
      </c>
      <c r="Q552" s="3">
        <f t="shared" si="43"/>
        <v>3622.84</v>
      </c>
      <c r="R552" s="4">
        <f t="shared" si="44"/>
        <v>0.21759999999999999</v>
      </c>
      <c r="S552" s="2">
        <v>3</v>
      </c>
      <c r="T552" t="s">
        <v>46</v>
      </c>
      <c r="U552">
        <v>3</v>
      </c>
    </row>
    <row r="553" spans="1:21" x14ac:dyDescent="0.25">
      <c r="A553" s="1">
        <v>46049</v>
      </c>
      <c r="B553" t="s">
        <v>749</v>
      </c>
      <c r="C553" t="s">
        <v>590</v>
      </c>
      <c r="D553" t="s">
        <v>97</v>
      </c>
      <c r="E553" t="s">
        <v>57</v>
      </c>
      <c r="F553" t="s">
        <v>26</v>
      </c>
      <c r="G553" t="s">
        <v>44</v>
      </c>
      <c r="H553" t="s">
        <v>73</v>
      </c>
      <c r="I553" t="s">
        <v>60</v>
      </c>
      <c r="J553" s="2">
        <v>4</v>
      </c>
      <c r="K553" s="3">
        <v>1758.87</v>
      </c>
      <c r="L553" s="3">
        <v>1064.83</v>
      </c>
      <c r="M553" s="4">
        <v>7.2599999999999998E-2</v>
      </c>
      <c r="N553" s="3">
        <f t="shared" si="40"/>
        <v>7035.48</v>
      </c>
      <c r="O553" s="3">
        <f t="shared" si="41"/>
        <v>6524.7</v>
      </c>
      <c r="P553" s="3">
        <f t="shared" si="42"/>
        <v>4259.32</v>
      </c>
      <c r="Q553" s="3">
        <f t="shared" si="43"/>
        <v>2265.38</v>
      </c>
      <c r="R553" s="4">
        <f t="shared" si="44"/>
        <v>0.34720000000000001</v>
      </c>
      <c r="S553" s="2">
        <v>9</v>
      </c>
      <c r="T553" t="s">
        <v>46</v>
      </c>
      <c r="U553">
        <v>3</v>
      </c>
    </row>
    <row r="554" spans="1:21" x14ac:dyDescent="0.25">
      <c r="A554" s="1">
        <v>46052</v>
      </c>
      <c r="B554" t="s">
        <v>750</v>
      </c>
      <c r="C554" t="s">
        <v>260</v>
      </c>
      <c r="D554" t="s">
        <v>101</v>
      </c>
      <c r="E554" t="s">
        <v>35</v>
      </c>
      <c r="F554" t="s">
        <v>58</v>
      </c>
      <c r="G554" t="s">
        <v>51</v>
      </c>
      <c r="H554" t="s">
        <v>59</v>
      </c>
      <c r="I554" t="s">
        <v>53</v>
      </c>
      <c r="J554" s="2">
        <v>4</v>
      </c>
      <c r="K554" s="3">
        <v>2257.5700000000002</v>
      </c>
      <c r="L554" s="3">
        <v>1420.87</v>
      </c>
      <c r="M554" s="4">
        <v>3.5000000000000003E-2</v>
      </c>
      <c r="N554" s="3">
        <f t="shared" si="40"/>
        <v>9030.2800000000007</v>
      </c>
      <c r="O554" s="3">
        <f t="shared" si="41"/>
        <v>8714.2199999999993</v>
      </c>
      <c r="P554" s="3">
        <f t="shared" si="42"/>
        <v>5683.48</v>
      </c>
      <c r="Q554" s="3">
        <f t="shared" si="43"/>
        <v>3030.74</v>
      </c>
      <c r="R554" s="4">
        <f t="shared" si="44"/>
        <v>0.3478</v>
      </c>
      <c r="S554" s="2">
        <v>13</v>
      </c>
      <c r="T554" t="s">
        <v>30</v>
      </c>
      <c r="U554">
        <v>5</v>
      </c>
    </row>
    <row r="555" spans="1:21" x14ac:dyDescent="0.25">
      <c r="A555" s="1">
        <v>46146</v>
      </c>
      <c r="B555" t="s">
        <v>751</v>
      </c>
      <c r="C555" t="s">
        <v>231</v>
      </c>
      <c r="D555" t="s">
        <v>43</v>
      </c>
      <c r="E555" t="s">
        <v>25</v>
      </c>
      <c r="F555" t="s">
        <v>64</v>
      </c>
      <c r="G555" t="s">
        <v>44</v>
      </c>
      <c r="H555" t="s">
        <v>45</v>
      </c>
      <c r="I555" t="s">
        <v>74</v>
      </c>
      <c r="J555" s="2">
        <v>4</v>
      </c>
      <c r="K555" s="3">
        <v>410.15</v>
      </c>
      <c r="L555" s="3">
        <v>209.32</v>
      </c>
      <c r="M555" s="4">
        <v>0.1178</v>
      </c>
      <c r="N555" s="3">
        <f t="shared" si="40"/>
        <v>1640.6</v>
      </c>
      <c r="O555" s="3">
        <f t="shared" si="41"/>
        <v>1447.34</v>
      </c>
      <c r="P555" s="3">
        <f t="shared" si="42"/>
        <v>837.28</v>
      </c>
      <c r="Q555" s="3">
        <f t="shared" si="43"/>
        <v>610.05999999999995</v>
      </c>
      <c r="R555" s="4">
        <f t="shared" si="44"/>
        <v>0.42149999999999999</v>
      </c>
      <c r="S555" s="2">
        <v>12</v>
      </c>
      <c r="T555" t="s">
        <v>30</v>
      </c>
      <c r="U555">
        <v>5</v>
      </c>
    </row>
    <row r="556" spans="1:21" x14ac:dyDescent="0.25">
      <c r="A556" s="1">
        <v>46099</v>
      </c>
      <c r="B556" t="s">
        <v>752</v>
      </c>
      <c r="C556" t="s">
        <v>480</v>
      </c>
      <c r="D556" t="s">
        <v>49</v>
      </c>
      <c r="E556" t="s">
        <v>50</v>
      </c>
      <c r="F556" t="s">
        <v>58</v>
      </c>
      <c r="G556" t="s">
        <v>37</v>
      </c>
      <c r="H556" t="s">
        <v>104</v>
      </c>
      <c r="I556" t="s">
        <v>77</v>
      </c>
      <c r="J556" s="2">
        <v>6</v>
      </c>
      <c r="K556" s="3">
        <v>310.89999999999998</v>
      </c>
      <c r="L556" s="3">
        <v>141.1</v>
      </c>
      <c r="M556" s="4">
        <v>8.6699999999999999E-2</v>
      </c>
      <c r="N556" s="3">
        <f t="shared" si="40"/>
        <v>1865.4</v>
      </c>
      <c r="O556" s="3">
        <f t="shared" si="41"/>
        <v>1703.67</v>
      </c>
      <c r="P556" s="3">
        <f t="shared" si="42"/>
        <v>846.6</v>
      </c>
      <c r="Q556" s="3">
        <f t="shared" si="43"/>
        <v>857.07</v>
      </c>
      <c r="R556" s="4">
        <f t="shared" si="44"/>
        <v>0.50309999999999999</v>
      </c>
      <c r="S556" s="2">
        <v>4</v>
      </c>
      <c r="T556" t="s">
        <v>46</v>
      </c>
      <c r="U556">
        <v>2</v>
      </c>
    </row>
    <row r="557" spans="1:21" x14ac:dyDescent="0.25">
      <c r="A557" s="1">
        <v>46184</v>
      </c>
      <c r="B557" t="s">
        <v>753</v>
      </c>
      <c r="C557" t="s">
        <v>609</v>
      </c>
      <c r="D557" t="s">
        <v>71</v>
      </c>
      <c r="E557" t="s">
        <v>72</v>
      </c>
      <c r="F557" t="s">
        <v>64</v>
      </c>
      <c r="G557" t="s">
        <v>51</v>
      </c>
      <c r="H557" t="s">
        <v>59</v>
      </c>
      <c r="I557" t="s">
        <v>94</v>
      </c>
      <c r="J557" s="2">
        <v>6</v>
      </c>
      <c r="K557" s="3">
        <v>2250.4</v>
      </c>
      <c r="L557" s="3">
        <v>1462.68</v>
      </c>
      <c r="M557" s="4">
        <v>9.7000000000000003E-3</v>
      </c>
      <c r="N557" s="3">
        <f t="shared" si="40"/>
        <v>13502.4</v>
      </c>
      <c r="O557" s="3">
        <f t="shared" si="41"/>
        <v>13371.43</v>
      </c>
      <c r="P557" s="3">
        <f t="shared" si="42"/>
        <v>8776.08</v>
      </c>
      <c r="Q557" s="3">
        <f t="shared" si="43"/>
        <v>4595.3500000000004</v>
      </c>
      <c r="R557" s="4">
        <f t="shared" si="44"/>
        <v>0.34370000000000001</v>
      </c>
      <c r="S557" s="2">
        <v>3</v>
      </c>
      <c r="T557" t="s">
        <v>46</v>
      </c>
      <c r="U557">
        <v>3</v>
      </c>
    </row>
    <row r="558" spans="1:21" x14ac:dyDescent="0.25">
      <c r="A558" s="1">
        <v>46229</v>
      </c>
      <c r="B558" t="s">
        <v>754</v>
      </c>
      <c r="C558" t="s">
        <v>224</v>
      </c>
      <c r="D558" t="s">
        <v>49</v>
      </c>
      <c r="E558" t="s">
        <v>50</v>
      </c>
      <c r="F558" t="s">
        <v>64</v>
      </c>
      <c r="G558" t="s">
        <v>51</v>
      </c>
      <c r="H558" t="s">
        <v>52</v>
      </c>
      <c r="I558" t="s">
        <v>92</v>
      </c>
      <c r="J558" s="2">
        <v>7</v>
      </c>
      <c r="K558" s="3">
        <v>275.12</v>
      </c>
      <c r="L558" s="3">
        <v>122.59</v>
      </c>
      <c r="M558" s="4">
        <v>1.5900000000000001E-2</v>
      </c>
      <c r="N558" s="3">
        <f t="shared" si="40"/>
        <v>1925.84</v>
      </c>
      <c r="O558" s="3">
        <f t="shared" si="41"/>
        <v>1895.22</v>
      </c>
      <c r="P558" s="3">
        <f t="shared" si="42"/>
        <v>858.13</v>
      </c>
      <c r="Q558" s="3">
        <f t="shared" si="43"/>
        <v>1037.0899999999999</v>
      </c>
      <c r="R558" s="4">
        <f t="shared" si="44"/>
        <v>0.54720000000000002</v>
      </c>
      <c r="S558" s="2">
        <v>5</v>
      </c>
      <c r="T558" t="s">
        <v>46</v>
      </c>
      <c r="U558">
        <v>3</v>
      </c>
    </row>
    <row r="559" spans="1:21" x14ac:dyDescent="0.25">
      <c r="A559" s="1">
        <v>46169</v>
      </c>
      <c r="B559" t="s">
        <v>755</v>
      </c>
      <c r="C559" t="s">
        <v>466</v>
      </c>
      <c r="D559" t="s">
        <v>97</v>
      </c>
      <c r="E559" t="s">
        <v>57</v>
      </c>
      <c r="F559" t="s">
        <v>36</v>
      </c>
      <c r="G559" t="s">
        <v>44</v>
      </c>
      <c r="H559" t="s">
        <v>73</v>
      </c>
      <c r="I559" t="s">
        <v>94</v>
      </c>
      <c r="J559" s="2">
        <v>6</v>
      </c>
      <c r="K559" s="3">
        <v>1727.82</v>
      </c>
      <c r="L559" s="3">
        <v>1071.71</v>
      </c>
      <c r="M559" s="4">
        <v>9.2200000000000004E-2</v>
      </c>
      <c r="N559" s="3">
        <f t="shared" si="40"/>
        <v>10366.92</v>
      </c>
      <c r="O559" s="3">
        <f t="shared" si="41"/>
        <v>9411.09</v>
      </c>
      <c r="P559" s="3">
        <f t="shared" si="42"/>
        <v>6430.26</v>
      </c>
      <c r="Q559" s="3">
        <f t="shared" si="43"/>
        <v>2980.83</v>
      </c>
      <c r="R559" s="4">
        <f t="shared" si="44"/>
        <v>0.31669999999999998</v>
      </c>
      <c r="S559" s="2">
        <v>4</v>
      </c>
      <c r="T559" t="s">
        <v>46</v>
      </c>
      <c r="U559">
        <v>4</v>
      </c>
    </row>
    <row r="560" spans="1:21" x14ac:dyDescent="0.25">
      <c r="A560" s="1">
        <v>46132</v>
      </c>
      <c r="B560" t="s">
        <v>756</v>
      </c>
      <c r="C560" t="s">
        <v>79</v>
      </c>
      <c r="D560" t="s">
        <v>121</v>
      </c>
      <c r="E560" t="s">
        <v>72</v>
      </c>
      <c r="F560" t="s">
        <v>26</v>
      </c>
      <c r="G560" t="s">
        <v>27</v>
      </c>
      <c r="H560" t="s">
        <v>68</v>
      </c>
      <c r="I560" t="s">
        <v>29</v>
      </c>
      <c r="J560" s="2">
        <v>4</v>
      </c>
      <c r="K560" s="3">
        <v>1339.95</v>
      </c>
      <c r="L560" s="3">
        <v>826.34</v>
      </c>
      <c r="M560" s="4">
        <v>4.5100000000000001E-2</v>
      </c>
      <c r="N560" s="3">
        <f t="shared" si="40"/>
        <v>5359.8</v>
      </c>
      <c r="O560" s="3">
        <f t="shared" si="41"/>
        <v>5118.07</v>
      </c>
      <c r="P560" s="3">
        <f t="shared" si="42"/>
        <v>3305.36</v>
      </c>
      <c r="Q560" s="3">
        <f t="shared" si="43"/>
        <v>1812.71</v>
      </c>
      <c r="R560" s="4">
        <f t="shared" si="44"/>
        <v>0.35420000000000001</v>
      </c>
      <c r="S560" s="2">
        <v>11</v>
      </c>
      <c r="T560" t="s">
        <v>30</v>
      </c>
      <c r="U560">
        <v>5</v>
      </c>
    </row>
    <row r="561" spans="1:21" x14ac:dyDescent="0.25">
      <c r="A561" s="1">
        <v>46138</v>
      </c>
      <c r="B561" t="s">
        <v>757</v>
      </c>
      <c r="C561" t="s">
        <v>96</v>
      </c>
      <c r="D561" t="s">
        <v>49</v>
      </c>
      <c r="E561" t="s">
        <v>50</v>
      </c>
      <c r="F561" t="s">
        <v>64</v>
      </c>
      <c r="G561" t="s">
        <v>37</v>
      </c>
      <c r="H561" t="s">
        <v>104</v>
      </c>
      <c r="I561" t="s">
        <v>74</v>
      </c>
      <c r="J561" s="2">
        <v>1</v>
      </c>
      <c r="K561" s="3">
        <v>302.08999999999997</v>
      </c>
      <c r="L561" s="3">
        <v>131.65</v>
      </c>
      <c r="M561" s="4">
        <v>4.9500000000000002E-2</v>
      </c>
      <c r="N561" s="3">
        <f t="shared" si="40"/>
        <v>302.08999999999997</v>
      </c>
      <c r="O561" s="3">
        <f t="shared" si="41"/>
        <v>287.14</v>
      </c>
      <c r="P561" s="3">
        <f t="shared" si="42"/>
        <v>131.65</v>
      </c>
      <c r="Q561" s="3">
        <f t="shared" si="43"/>
        <v>155.49</v>
      </c>
      <c r="R561" s="4">
        <f t="shared" si="44"/>
        <v>0.54149999999999998</v>
      </c>
      <c r="S561" s="2">
        <v>11</v>
      </c>
      <c r="T561" t="s">
        <v>30</v>
      </c>
      <c r="U561">
        <v>4</v>
      </c>
    </row>
    <row r="562" spans="1:21" x14ac:dyDescent="0.25">
      <c r="A562" s="1">
        <v>46148</v>
      </c>
      <c r="B562" t="s">
        <v>758</v>
      </c>
      <c r="C562" t="s">
        <v>500</v>
      </c>
      <c r="D562" t="s">
        <v>85</v>
      </c>
      <c r="E562" t="s">
        <v>50</v>
      </c>
      <c r="F562" t="s">
        <v>64</v>
      </c>
      <c r="G562" t="s">
        <v>27</v>
      </c>
      <c r="H562" t="s">
        <v>28</v>
      </c>
      <c r="I562" t="s">
        <v>94</v>
      </c>
      <c r="J562" s="2">
        <v>7</v>
      </c>
      <c r="K562" s="3">
        <v>767.28</v>
      </c>
      <c r="L562" s="3">
        <v>449.55</v>
      </c>
      <c r="M562" s="4">
        <v>4.1200000000000001E-2</v>
      </c>
      <c r="N562" s="3">
        <f t="shared" si="40"/>
        <v>5370.96</v>
      </c>
      <c r="O562" s="3">
        <f t="shared" si="41"/>
        <v>5149.68</v>
      </c>
      <c r="P562" s="3">
        <f t="shared" si="42"/>
        <v>3146.85</v>
      </c>
      <c r="Q562" s="3">
        <f t="shared" si="43"/>
        <v>2002.83</v>
      </c>
      <c r="R562" s="4">
        <f t="shared" si="44"/>
        <v>0.38890000000000002</v>
      </c>
      <c r="S562" s="2">
        <v>2</v>
      </c>
      <c r="T562" t="s">
        <v>46</v>
      </c>
      <c r="U562">
        <v>5</v>
      </c>
    </row>
    <row r="563" spans="1:21" x14ac:dyDescent="0.25">
      <c r="A563" s="1">
        <v>46078</v>
      </c>
      <c r="B563" t="s">
        <v>759</v>
      </c>
      <c r="C563" t="s">
        <v>321</v>
      </c>
      <c r="D563" t="s">
        <v>63</v>
      </c>
      <c r="E563" t="s">
        <v>35</v>
      </c>
      <c r="F563" t="s">
        <v>58</v>
      </c>
      <c r="G563" t="s">
        <v>27</v>
      </c>
      <c r="H563" t="s">
        <v>86</v>
      </c>
      <c r="I563" t="s">
        <v>65</v>
      </c>
      <c r="J563" s="2">
        <v>4</v>
      </c>
      <c r="K563" s="3">
        <v>1906.07</v>
      </c>
      <c r="L563" s="3">
        <v>1232.5</v>
      </c>
      <c r="M563" s="4">
        <v>3.5000000000000003E-2</v>
      </c>
      <c r="N563" s="3">
        <f t="shared" si="40"/>
        <v>7624.28</v>
      </c>
      <c r="O563" s="3">
        <f t="shared" si="41"/>
        <v>7357.43</v>
      </c>
      <c r="P563" s="3">
        <f t="shared" si="42"/>
        <v>4930</v>
      </c>
      <c r="Q563" s="3">
        <f t="shared" si="43"/>
        <v>2427.4299999999998</v>
      </c>
      <c r="R563" s="4">
        <f t="shared" si="44"/>
        <v>0.32990000000000003</v>
      </c>
      <c r="S563" s="2">
        <v>3</v>
      </c>
      <c r="T563" t="s">
        <v>46</v>
      </c>
      <c r="U563">
        <v>4</v>
      </c>
    </row>
    <row r="564" spans="1:21" x14ac:dyDescent="0.25">
      <c r="A564" s="1">
        <v>46147</v>
      </c>
      <c r="B564" t="s">
        <v>760</v>
      </c>
      <c r="C564" t="s">
        <v>609</v>
      </c>
      <c r="D564" t="s">
        <v>101</v>
      </c>
      <c r="E564" t="s">
        <v>35</v>
      </c>
      <c r="F564" t="s">
        <v>64</v>
      </c>
      <c r="G564" t="s">
        <v>44</v>
      </c>
      <c r="H564" t="s">
        <v>45</v>
      </c>
      <c r="I564" t="s">
        <v>60</v>
      </c>
      <c r="J564" s="2">
        <v>5</v>
      </c>
      <c r="K564" s="3">
        <v>398.81</v>
      </c>
      <c r="L564" s="3">
        <v>211.45</v>
      </c>
      <c r="M564" s="4">
        <v>0</v>
      </c>
      <c r="N564" s="3">
        <f t="shared" si="40"/>
        <v>1994.05</v>
      </c>
      <c r="O564" s="3">
        <f t="shared" si="41"/>
        <v>1994.05</v>
      </c>
      <c r="P564" s="3">
        <f t="shared" si="42"/>
        <v>1057.25</v>
      </c>
      <c r="Q564" s="3">
        <f t="shared" si="43"/>
        <v>936.8</v>
      </c>
      <c r="R564" s="4">
        <f t="shared" si="44"/>
        <v>0.4698</v>
      </c>
      <c r="S564" s="2">
        <v>4</v>
      </c>
      <c r="T564" t="s">
        <v>46</v>
      </c>
      <c r="U564">
        <v>4</v>
      </c>
    </row>
    <row r="565" spans="1:21" x14ac:dyDescent="0.25">
      <c r="A565" s="1">
        <v>46219</v>
      </c>
      <c r="B565" t="s">
        <v>761</v>
      </c>
      <c r="C565" t="s">
        <v>150</v>
      </c>
      <c r="D565" t="s">
        <v>121</v>
      </c>
      <c r="E565" t="s">
        <v>72</v>
      </c>
      <c r="F565" t="s">
        <v>64</v>
      </c>
      <c r="G565" t="s">
        <v>27</v>
      </c>
      <c r="H565" t="s">
        <v>86</v>
      </c>
      <c r="I565" t="s">
        <v>39</v>
      </c>
      <c r="J565" s="2">
        <v>4</v>
      </c>
      <c r="K565" s="3">
        <v>1882.68</v>
      </c>
      <c r="L565" s="3">
        <v>1275.97</v>
      </c>
      <c r="M565" s="4">
        <v>0</v>
      </c>
      <c r="N565" s="3">
        <f t="shared" si="40"/>
        <v>7530.72</v>
      </c>
      <c r="O565" s="3">
        <f t="shared" si="41"/>
        <v>7530.72</v>
      </c>
      <c r="P565" s="3">
        <f t="shared" si="42"/>
        <v>5103.88</v>
      </c>
      <c r="Q565" s="3">
        <f t="shared" si="43"/>
        <v>2426.84</v>
      </c>
      <c r="R565" s="4">
        <f t="shared" si="44"/>
        <v>0.32229999999999998</v>
      </c>
      <c r="S565" s="2">
        <v>10</v>
      </c>
      <c r="T565" t="s">
        <v>46</v>
      </c>
      <c r="U565">
        <v>4</v>
      </c>
    </row>
    <row r="566" spans="1:21" x14ac:dyDescent="0.25">
      <c r="A566" s="1">
        <v>46152</v>
      </c>
      <c r="B566" t="s">
        <v>762</v>
      </c>
      <c r="C566" t="s">
        <v>525</v>
      </c>
      <c r="D566" t="s">
        <v>34</v>
      </c>
      <c r="E566" t="s">
        <v>35</v>
      </c>
      <c r="F566" t="s">
        <v>36</v>
      </c>
      <c r="G566" t="s">
        <v>44</v>
      </c>
      <c r="H566" t="s">
        <v>124</v>
      </c>
      <c r="I566" t="s">
        <v>77</v>
      </c>
      <c r="J566" s="2">
        <v>4</v>
      </c>
      <c r="K566" s="3">
        <v>5812.63</v>
      </c>
      <c r="L566" s="3">
        <v>4370.5</v>
      </c>
      <c r="M566" s="4">
        <v>0</v>
      </c>
      <c r="N566" s="3">
        <f t="shared" si="40"/>
        <v>23250.52</v>
      </c>
      <c r="O566" s="3">
        <f t="shared" si="41"/>
        <v>23250.52</v>
      </c>
      <c r="P566" s="3">
        <f t="shared" si="42"/>
        <v>17482</v>
      </c>
      <c r="Q566" s="3">
        <f t="shared" si="43"/>
        <v>5768.52</v>
      </c>
      <c r="R566" s="4">
        <f t="shared" si="44"/>
        <v>0.24809999999999999</v>
      </c>
      <c r="S566" s="2">
        <v>9</v>
      </c>
      <c r="T566" t="s">
        <v>46</v>
      </c>
      <c r="U566">
        <v>5</v>
      </c>
    </row>
    <row r="567" spans="1:21" x14ac:dyDescent="0.25">
      <c r="A567" s="1">
        <v>46079</v>
      </c>
      <c r="B567" t="s">
        <v>763</v>
      </c>
      <c r="C567" t="s">
        <v>284</v>
      </c>
      <c r="D567" t="s">
        <v>43</v>
      </c>
      <c r="E567" t="s">
        <v>25</v>
      </c>
      <c r="F567" t="s">
        <v>26</v>
      </c>
      <c r="G567" t="s">
        <v>51</v>
      </c>
      <c r="H567" t="s">
        <v>52</v>
      </c>
      <c r="I567" t="s">
        <v>87</v>
      </c>
      <c r="J567" s="2">
        <v>3</v>
      </c>
      <c r="K567" s="3">
        <v>261</v>
      </c>
      <c r="L567" s="3">
        <v>121.33</v>
      </c>
      <c r="M567" s="4">
        <v>8.3299999999999999E-2</v>
      </c>
      <c r="N567" s="3">
        <f t="shared" si="40"/>
        <v>783</v>
      </c>
      <c r="O567" s="3">
        <f t="shared" si="41"/>
        <v>717.78</v>
      </c>
      <c r="P567" s="3">
        <f t="shared" si="42"/>
        <v>363.99</v>
      </c>
      <c r="Q567" s="3">
        <f t="shared" si="43"/>
        <v>353.79</v>
      </c>
      <c r="R567" s="4">
        <f t="shared" si="44"/>
        <v>0.4929</v>
      </c>
      <c r="S567" s="2">
        <v>2</v>
      </c>
      <c r="T567" t="s">
        <v>46</v>
      </c>
      <c r="U567">
        <v>5</v>
      </c>
    </row>
    <row r="568" spans="1:21" x14ac:dyDescent="0.25">
      <c r="A568" s="1">
        <v>46231</v>
      </c>
      <c r="B568" t="s">
        <v>764</v>
      </c>
      <c r="C568" t="s">
        <v>349</v>
      </c>
      <c r="D568" t="s">
        <v>63</v>
      </c>
      <c r="E568" t="s">
        <v>35</v>
      </c>
      <c r="F568" t="s">
        <v>58</v>
      </c>
      <c r="G568" t="s">
        <v>44</v>
      </c>
      <c r="H568" t="s">
        <v>73</v>
      </c>
      <c r="I568" t="s">
        <v>39</v>
      </c>
      <c r="J568" s="2">
        <v>1</v>
      </c>
      <c r="K568" s="3">
        <v>1701.35</v>
      </c>
      <c r="L568" s="3">
        <v>1081.1500000000001</v>
      </c>
      <c r="M568" s="4">
        <v>0.1105</v>
      </c>
      <c r="N568" s="3">
        <f t="shared" si="40"/>
        <v>1701.35</v>
      </c>
      <c r="O568" s="3">
        <f t="shared" si="41"/>
        <v>1513.35</v>
      </c>
      <c r="P568" s="3">
        <f t="shared" si="42"/>
        <v>1081.1500000000001</v>
      </c>
      <c r="Q568" s="3">
        <f t="shared" si="43"/>
        <v>432.2</v>
      </c>
      <c r="R568" s="4">
        <f t="shared" si="44"/>
        <v>0.28560000000000002</v>
      </c>
      <c r="S568" s="2">
        <v>2</v>
      </c>
      <c r="T568" t="s">
        <v>46</v>
      </c>
      <c r="U568">
        <v>2</v>
      </c>
    </row>
    <row r="569" spans="1:21" x14ac:dyDescent="0.25">
      <c r="A569" s="1">
        <v>46142</v>
      </c>
      <c r="B569" t="s">
        <v>765</v>
      </c>
      <c r="C569" t="s">
        <v>184</v>
      </c>
      <c r="D569" t="s">
        <v>24</v>
      </c>
      <c r="E569" t="s">
        <v>25</v>
      </c>
      <c r="F569" t="s">
        <v>58</v>
      </c>
      <c r="G569" t="s">
        <v>51</v>
      </c>
      <c r="H569" t="s">
        <v>52</v>
      </c>
      <c r="I569" t="s">
        <v>74</v>
      </c>
      <c r="J569" s="2">
        <v>3</v>
      </c>
      <c r="K569" s="3">
        <v>263.43</v>
      </c>
      <c r="L569" s="3">
        <v>122.02</v>
      </c>
      <c r="M569" s="4">
        <v>3.5000000000000003E-2</v>
      </c>
      <c r="N569" s="3">
        <f t="shared" si="40"/>
        <v>790.29</v>
      </c>
      <c r="O569" s="3">
        <f t="shared" si="41"/>
        <v>762.63</v>
      </c>
      <c r="P569" s="3">
        <f t="shared" si="42"/>
        <v>366.06</v>
      </c>
      <c r="Q569" s="3">
        <f t="shared" si="43"/>
        <v>396.57</v>
      </c>
      <c r="R569" s="4">
        <f t="shared" si="44"/>
        <v>0.52</v>
      </c>
      <c r="S569" s="2">
        <v>3</v>
      </c>
      <c r="T569" t="s">
        <v>46</v>
      </c>
      <c r="U569">
        <v>5</v>
      </c>
    </row>
    <row r="570" spans="1:21" x14ac:dyDescent="0.25">
      <c r="A570" s="1">
        <v>46123</v>
      </c>
      <c r="B570" t="s">
        <v>766</v>
      </c>
      <c r="C570" t="s">
        <v>370</v>
      </c>
      <c r="D570" t="s">
        <v>85</v>
      </c>
      <c r="E570" t="s">
        <v>50</v>
      </c>
      <c r="F570" t="s">
        <v>64</v>
      </c>
      <c r="G570" t="s">
        <v>37</v>
      </c>
      <c r="H570" t="s">
        <v>178</v>
      </c>
      <c r="I570" t="s">
        <v>53</v>
      </c>
      <c r="J570" s="2">
        <v>6</v>
      </c>
      <c r="K570" s="3">
        <v>482.71</v>
      </c>
      <c r="L570" s="3">
        <v>243.38</v>
      </c>
      <c r="M570" s="4">
        <v>0</v>
      </c>
      <c r="N570" s="3">
        <f t="shared" si="40"/>
        <v>2896.26</v>
      </c>
      <c r="O570" s="3">
        <f t="shared" si="41"/>
        <v>2896.26</v>
      </c>
      <c r="P570" s="3">
        <f t="shared" si="42"/>
        <v>1460.28</v>
      </c>
      <c r="Q570" s="3">
        <f t="shared" si="43"/>
        <v>1435.98</v>
      </c>
      <c r="R570" s="4">
        <f t="shared" si="44"/>
        <v>0.49580000000000002</v>
      </c>
      <c r="S570" s="2">
        <v>7</v>
      </c>
      <c r="T570" t="s">
        <v>46</v>
      </c>
      <c r="U570">
        <v>4</v>
      </c>
    </row>
    <row r="571" spans="1:21" x14ac:dyDescent="0.25">
      <c r="A571" s="1">
        <v>46169</v>
      </c>
      <c r="B571" t="s">
        <v>767</v>
      </c>
      <c r="C571" t="s">
        <v>378</v>
      </c>
      <c r="D571" t="s">
        <v>24</v>
      </c>
      <c r="E571" t="s">
        <v>25</v>
      </c>
      <c r="F571" t="s">
        <v>58</v>
      </c>
      <c r="G571" t="s">
        <v>27</v>
      </c>
      <c r="H571" t="s">
        <v>28</v>
      </c>
      <c r="I571" t="s">
        <v>65</v>
      </c>
      <c r="J571" s="2">
        <v>3</v>
      </c>
      <c r="K571" s="3">
        <v>800.13</v>
      </c>
      <c r="L571" s="3">
        <v>479.49</v>
      </c>
      <c r="M571" s="4">
        <v>3.5000000000000003E-2</v>
      </c>
      <c r="N571" s="3">
        <f t="shared" si="40"/>
        <v>2400.39</v>
      </c>
      <c r="O571" s="3">
        <f t="shared" si="41"/>
        <v>2316.38</v>
      </c>
      <c r="P571" s="3">
        <f t="shared" si="42"/>
        <v>1438.47</v>
      </c>
      <c r="Q571" s="3">
        <f t="shared" si="43"/>
        <v>877.91</v>
      </c>
      <c r="R571" s="4">
        <f t="shared" si="44"/>
        <v>0.379</v>
      </c>
      <c r="S571" s="2">
        <v>5</v>
      </c>
      <c r="T571" t="s">
        <v>46</v>
      </c>
      <c r="U571">
        <v>5</v>
      </c>
    </row>
    <row r="572" spans="1:21" x14ac:dyDescent="0.25">
      <c r="A572" s="1">
        <v>46067</v>
      </c>
      <c r="B572" t="s">
        <v>768</v>
      </c>
      <c r="C572" t="s">
        <v>290</v>
      </c>
      <c r="D572" t="s">
        <v>139</v>
      </c>
      <c r="E572" t="s">
        <v>72</v>
      </c>
      <c r="F572" t="s">
        <v>58</v>
      </c>
      <c r="G572" t="s">
        <v>51</v>
      </c>
      <c r="H572" t="s">
        <v>59</v>
      </c>
      <c r="I572" t="s">
        <v>39</v>
      </c>
      <c r="J572" s="2">
        <v>4</v>
      </c>
      <c r="K572" s="3">
        <v>2133.16</v>
      </c>
      <c r="L572" s="3">
        <v>1443.68</v>
      </c>
      <c r="M572" s="4">
        <v>3.5000000000000003E-2</v>
      </c>
      <c r="N572" s="3">
        <f t="shared" si="40"/>
        <v>8532.64</v>
      </c>
      <c r="O572" s="3">
        <f t="shared" si="41"/>
        <v>8234</v>
      </c>
      <c r="P572" s="3">
        <f t="shared" si="42"/>
        <v>5774.72</v>
      </c>
      <c r="Q572" s="3">
        <f t="shared" si="43"/>
        <v>2459.2800000000002</v>
      </c>
      <c r="R572" s="4">
        <f t="shared" si="44"/>
        <v>0.29870000000000002</v>
      </c>
      <c r="S572" s="2">
        <v>11</v>
      </c>
      <c r="T572" t="s">
        <v>30</v>
      </c>
      <c r="U572">
        <v>3</v>
      </c>
    </row>
    <row r="573" spans="1:21" x14ac:dyDescent="0.25">
      <c r="A573" s="1">
        <v>46139</v>
      </c>
      <c r="B573" t="s">
        <v>769</v>
      </c>
      <c r="C573" t="s">
        <v>476</v>
      </c>
      <c r="D573" t="s">
        <v>85</v>
      </c>
      <c r="E573" t="s">
        <v>50</v>
      </c>
      <c r="F573" t="s">
        <v>36</v>
      </c>
      <c r="G573" t="s">
        <v>44</v>
      </c>
      <c r="H573" t="s">
        <v>73</v>
      </c>
      <c r="I573" t="s">
        <v>39</v>
      </c>
      <c r="J573" s="2">
        <v>2</v>
      </c>
      <c r="K573" s="3">
        <v>1777.51</v>
      </c>
      <c r="L573" s="3">
        <v>1089.06</v>
      </c>
      <c r="M573" s="4">
        <v>2.9700000000000001E-2</v>
      </c>
      <c r="N573" s="3">
        <f t="shared" si="40"/>
        <v>3555.02</v>
      </c>
      <c r="O573" s="3">
        <f t="shared" si="41"/>
        <v>3449.44</v>
      </c>
      <c r="P573" s="3">
        <f t="shared" si="42"/>
        <v>2178.12</v>
      </c>
      <c r="Q573" s="3">
        <f t="shared" si="43"/>
        <v>1271.32</v>
      </c>
      <c r="R573" s="4">
        <f t="shared" si="44"/>
        <v>0.36859999999999998</v>
      </c>
      <c r="S573" s="2">
        <v>14</v>
      </c>
      <c r="T573" t="s">
        <v>30</v>
      </c>
      <c r="U573">
        <v>5</v>
      </c>
    </row>
    <row r="574" spans="1:21" x14ac:dyDescent="0.25">
      <c r="A574" s="1">
        <v>46036</v>
      </c>
      <c r="B574" t="s">
        <v>770</v>
      </c>
      <c r="C574" t="s">
        <v>187</v>
      </c>
      <c r="D574" t="s">
        <v>97</v>
      </c>
      <c r="E574" t="s">
        <v>57</v>
      </c>
      <c r="F574" t="s">
        <v>26</v>
      </c>
      <c r="G574" t="s">
        <v>51</v>
      </c>
      <c r="H574" t="s">
        <v>52</v>
      </c>
      <c r="I574" t="s">
        <v>77</v>
      </c>
      <c r="J574" s="2">
        <v>1</v>
      </c>
      <c r="K574" s="3">
        <v>247.16</v>
      </c>
      <c r="L574" s="3">
        <v>121.86</v>
      </c>
      <c r="M574" s="4">
        <v>0</v>
      </c>
      <c r="N574" s="3">
        <f t="shared" si="40"/>
        <v>247.16</v>
      </c>
      <c r="O574" s="3">
        <f t="shared" si="41"/>
        <v>247.16</v>
      </c>
      <c r="P574" s="3">
        <f t="shared" si="42"/>
        <v>121.86</v>
      </c>
      <c r="Q574" s="3">
        <f t="shared" si="43"/>
        <v>125.3</v>
      </c>
      <c r="R574" s="4">
        <f t="shared" si="44"/>
        <v>0.50700000000000001</v>
      </c>
      <c r="S574" s="2">
        <v>11</v>
      </c>
      <c r="T574" t="s">
        <v>30</v>
      </c>
      <c r="U574">
        <v>5</v>
      </c>
    </row>
    <row r="575" spans="1:21" x14ac:dyDescent="0.25">
      <c r="A575" s="1">
        <v>46076</v>
      </c>
      <c r="B575" t="s">
        <v>771</v>
      </c>
      <c r="C575" t="s">
        <v>184</v>
      </c>
      <c r="D575" t="s">
        <v>130</v>
      </c>
      <c r="E575" t="s">
        <v>72</v>
      </c>
      <c r="F575" t="s">
        <v>36</v>
      </c>
      <c r="G575" t="s">
        <v>37</v>
      </c>
      <c r="H575" t="s">
        <v>38</v>
      </c>
      <c r="I575" t="s">
        <v>77</v>
      </c>
      <c r="J575" s="2">
        <v>2</v>
      </c>
      <c r="K575" s="3">
        <v>421.21</v>
      </c>
      <c r="L575" s="3">
        <v>193.27</v>
      </c>
      <c r="M575" s="4">
        <v>0</v>
      </c>
      <c r="N575" s="3">
        <f t="shared" si="40"/>
        <v>842.42</v>
      </c>
      <c r="O575" s="3">
        <f t="shared" si="41"/>
        <v>842.42</v>
      </c>
      <c r="P575" s="3">
        <f t="shared" si="42"/>
        <v>386.54</v>
      </c>
      <c r="Q575" s="3">
        <f t="shared" si="43"/>
        <v>455.88</v>
      </c>
      <c r="R575" s="4">
        <f t="shared" si="44"/>
        <v>0.54120000000000001</v>
      </c>
      <c r="S575" s="2">
        <v>11</v>
      </c>
      <c r="T575" t="s">
        <v>30</v>
      </c>
      <c r="U575">
        <v>2</v>
      </c>
    </row>
    <row r="576" spans="1:21" x14ac:dyDescent="0.25">
      <c r="A576" s="1">
        <v>46188</v>
      </c>
      <c r="B576" t="s">
        <v>772</v>
      </c>
      <c r="C576" t="s">
        <v>168</v>
      </c>
      <c r="D576" t="s">
        <v>101</v>
      </c>
      <c r="E576" t="s">
        <v>35</v>
      </c>
      <c r="F576" t="s">
        <v>26</v>
      </c>
      <c r="G576" t="s">
        <v>44</v>
      </c>
      <c r="H576" t="s">
        <v>73</v>
      </c>
      <c r="I576" t="s">
        <v>53</v>
      </c>
      <c r="J576" s="2">
        <v>5</v>
      </c>
      <c r="K576" s="3">
        <v>1751.85</v>
      </c>
      <c r="L576" s="3">
        <v>1106.05</v>
      </c>
      <c r="M576" s="4">
        <v>0</v>
      </c>
      <c r="N576" s="3">
        <f t="shared" si="40"/>
        <v>8759.25</v>
      </c>
      <c r="O576" s="3">
        <f t="shared" si="41"/>
        <v>8759.25</v>
      </c>
      <c r="P576" s="3">
        <f t="shared" si="42"/>
        <v>5530.25</v>
      </c>
      <c r="Q576" s="3">
        <f t="shared" si="43"/>
        <v>3229</v>
      </c>
      <c r="R576" s="4">
        <f t="shared" si="44"/>
        <v>0.36859999999999998</v>
      </c>
      <c r="S576" s="2">
        <v>6</v>
      </c>
      <c r="T576" t="s">
        <v>46</v>
      </c>
      <c r="U576">
        <v>4</v>
      </c>
    </row>
    <row r="577" spans="1:22" x14ac:dyDescent="0.25">
      <c r="A577" s="1">
        <v>46145</v>
      </c>
      <c r="B577" t="s">
        <v>773</v>
      </c>
      <c r="C577" t="s">
        <v>356</v>
      </c>
      <c r="D577" t="s">
        <v>49</v>
      </c>
      <c r="E577" t="s">
        <v>50</v>
      </c>
      <c r="F577" t="s">
        <v>26</v>
      </c>
      <c r="G577" t="s">
        <v>27</v>
      </c>
      <c r="H577" t="s">
        <v>68</v>
      </c>
      <c r="I577" t="s">
        <v>92</v>
      </c>
      <c r="J577" s="2">
        <v>6</v>
      </c>
      <c r="K577" s="3">
        <v>1349.79</v>
      </c>
      <c r="L577" s="3">
        <v>742.23</v>
      </c>
      <c r="M577" s="4">
        <v>0.1036</v>
      </c>
      <c r="N577" s="3">
        <f t="shared" si="40"/>
        <v>8098.74</v>
      </c>
      <c r="O577" s="3">
        <f t="shared" si="41"/>
        <v>7259.71</v>
      </c>
      <c r="P577" s="3">
        <f t="shared" si="42"/>
        <v>4453.38</v>
      </c>
      <c r="Q577" s="3">
        <f t="shared" si="43"/>
        <v>2806.33</v>
      </c>
      <c r="R577" s="4">
        <f t="shared" si="44"/>
        <v>0.3866</v>
      </c>
      <c r="S577" s="2">
        <v>3</v>
      </c>
      <c r="T577" t="s">
        <v>46</v>
      </c>
      <c r="U577">
        <v>5</v>
      </c>
    </row>
    <row r="578" spans="1:22" x14ac:dyDescent="0.25">
      <c r="A578" s="1">
        <v>46161</v>
      </c>
      <c r="B578" t="s">
        <v>774</v>
      </c>
      <c r="C578" t="s">
        <v>525</v>
      </c>
      <c r="D578" t="s">
        <v>71</v>
      </c>
      <c r="E578" t="s">
        <v>72</v>
      </c>
      <c r="F578" t="s">
        <v>58</v>
      </c>
      <c r="G578" t="s">
        <v>51</v>
      </c>
      <c r="H578" t="s">
        <v>116</v>
      </c>
      <c r="I578" t="s">
        <v>92</v>
      </c>
      <c r="J578" s="2">
        <v>2</v>
      </c>
      <c r="K578" s="3">
        <v>2892.02</v>
      </c>
      <c r="L578" s="3">
        <v>1959.82</v>
      </c>
      <c r="M578" s="4">
        <v>6.6400000000000001E-2</v>
      </c>
      <c r="N578" s="3">
        <f t="shared" ref="N578:N641" si="45">ROUND(J578*K578,2)</f>
        <v>5784.04</v>
      </c>
      <c r="O578" s="3">
        <f t="shared" ref="O578:O641" si="46">ROUND(N578*(1-M578),2)</f>
        <v>5399.98</v>
      </c>
      <c r="P578" s="3">
        <f t="shared" ref="P578:P641" si="47">ROUND(J578*L578,2)</f>
        <v>3919.64</v>
      </c>
      <c r="Q578" s="3">
        <f t="shared" ref="Q578:Q641" si="48">ROUND(O578-P578,2)</f>
        <v>1480.34</v>
      </c>
      <c r="R578" s="4">
        <f t="shared" ref="R578:R641" si="49">IF(O578=0,0,ROUND(Q578/O578,4))</f>
        <v>0.27410000000000001</v>
      </c>
      <c r="S578" s="2">
        <v>2</v>
      </c>
      <c r="T578" t="s">
        <v>46</v>
      </c>
      <c r="U578">
        <v>2</v>
      </c>
    </row>
    <row r="579" spans="1:22" x14ac:dyDescent="0.25">
      <c r="A579" s="1">
        <v>46138</v>
      </c>
      <c r="B579" t="s">
        <v>775</v>
      </c>
      <c r="C579" t="s">
        <v>590</v>
      </c>
      <c r="D579" t="s">
        <v>34</v>
      </c>
      <c r="E579" t="s">
        <v>35</v>
      </c>
      <c r="F579" t="s">
        <v>36</v>
      </c>
      <c r="G579" t="s">
        <v>37</v>
      </c>
      <c r="H579" t="s">
        <v>178</v>
      </c>
      <c r="I579" t="s">
        <v>60</v>
      </c>
      <c r="J579" s="2">
        <v>2</v>
      </c>
      <c r="K579" s="3">
        <v>483.47</v>
      </c>
      <c r="L579" s="3">
        <v>251.3</v>
      </c>
      <c r="M579" s="4">
        <v>4.4200000000000003E-2</v>
      </c>
      <c r="N579" s="3">
        <f t="shared" si="45"/>
        <v>966.94</v>
      </c>
      <c r="O579" s="3">
        <f t="shared" si="46"/>
        <v>924.2</v>
      </c>
      <c r="P579" s="3">
        <f t="shared" si="47"/>
        <v>502.6</v>
      </c>
      <c r="Q579" s="3">
        <f t="shared" si="48"/>
        <v>421.6</v>
      </c>
      <c r="R579" s="4">
        <f t="shared" si="49"/>
        <v>0.45619999999999999</v>
      </c>
      <c r="S579" s="2">
        <v>8</v>
      </c>
      <c r="T579" t="s">
        <v>46</v>
      </c>
      <c r="U579">
        <v>3</v>
      </c>
    </row>
    <row r="580" spans="1:22" x14ac:dyDescent="0.25">
      <c r="A580" s="1">
        <v>46156</v>
      </c>
      <c r="B580" t="s">
        <v>776</v>
      </c>
      <c r="C580" t="s">
        <v>590</v>
      </c>
      <c r="D580" t="s">
        <v>56</v>
      </c>
      <c r="E580" t="s">
        <v>57</v>
      </c>
      <c r="F580" t="s">
        <v>26</v>
      </c>
      <c r="G580" t="s">
        <v>44</v>
      </c>
      <c r="H580" t="s">
        <v>124</v>
      </c>
      <c r="I580" t="s">
        <v>53</v>
      </c>
      <c r="J580" s="2">
        <v>4</v>
      </c>
      <c r="K580" s="3">
        <v>5536.76</v>
      </c>
      <c r="L580" s="3">
        <v>4404.9399999999996</v>
      </c>
      <c r="M580" s="4">
        <v>3.15E-2</v>
      </c>
      <c r="N580" s="3">
        <f t="shared" si="45"/>
        <v>22147.040000000001</v>
      </c>
      <c r="O580" s="3">
        <f t="shared" si="46"/>
        <v>21449.41</v>
      </c>
      <c r="P580" s="3">
        <f t="shared" si="47"/>
        <v>17619.759999999998</v>
      </c>
      <c r="Q580" s="3">
        <f t="shared" si="48"/>
        <v>3829.65</v>
      </c>
      <c r="R580" s="4">
        <f t="shared" si="49"/>
        <v>0.17849999999999999</v>
      </c>
      <c r="S580" s="2">
        <v>5</v>
      </c>
      <c r="T580" t="s">
        <v>46</v>
      </c>
      <c r="U580">
        <v>4</v>
      </c>
    </row>
    <row r="581" spans="1:22" x14ac:dyDescent="0.25">
      <c r="A581" s="1">
        <v>46044</v>
      </c>
      <c r="B581" t="s">
        <v>777</v>
      </c>
      <c r="C581" t="s">
        <v>386</v>
      </c>
      <c r="D581" t="s">
        <v>43</v>
      </c>
      <c r="E581" t="s">
        <v>25</v>
      </c>
      <c r="F581" t="s">
        <v>36</v>
      </c>
      <c r="G581" t="s">
        <v>51</v>
      </c>
      <c r="H581" t="s">
        <v>52</v>
      </c>
      <c r="I581" t="s">
        <v>77</v>
      </c>
      <c r="J581" s="2">
        <v>8</v>
      </c>
      <c r="K581" s="3">
        <v>246.34</v>
      </c>
      <c r="L581" s="3">
        <v>124.19</v>
      </c>
      <c r="M581" s="4">
        <v>0.10340000000000001</v>
      </c>
      <c r="N581" s="3">
        <f t="shared" si="45"/>
        <v>1970.72</v>
      </c>
      <c r="O581" s="3">
        <f t="shared" si="46"/>
        <v>1766.95</v>
      </c>
      <c r="P581" s="3">
        <f t="shared" si="47"/>
        <v>993.52</v>
      </c>
      <c r="Q581" s="3">
        <f t="shared" si="48"/>
        <v>773.43</v>
      </c>
      <c r="R581" s="4">
        <f t="shared" si="49"/>
        <v>0.43769999999999998</v>
      </c>
      <c r="S581" s="2">
        <v>12</v>
      </c>
      <c r="T581" t="s">
        <v>30</v>
      </c>
      <c r="U581">
        <v>3</v>
      </c>
    </row>
    <row r="582" spans="1:22" x14ac:dyDescent="0.25">
      <c r="A582" s="1">
        <v>46172</v>
      </c>
      <c r="B582" t="s">
        <v>778</v>
      </c>
      <c r="C582" t="s">
        <v>433</v>
      </c>
      <c r="D582" t="s">
        <v>101</v>
      </c>
      <c r="E582" t="s">
        <v>35</v>
      </c>
      <c r="F582" t="s">
        <v>58</v>
      </c>
      <c r="G582" t="s">
        <v>37</v>
      </c>
      <c r="H582" t="s">
        <v>104</v>
      </c>
      <c r="I582" t="s">
        <v>74</v>
      </c>
      <c r="J582" s="2">
        <v>6</v>
      </c>
      <c r="K582" s="3">
        <v>338.46</v>
      </c>
      <c r="L582" s="3">
        <v>136.22</v>
      </c>
      <c r="M582" s="4">
        <v>6.7000000000000004E-2</v>
      </c>
      <c r="N582" s="3">
        <f t="shared" si="45"/>
        <v>2030.76</v>
      </c>
      <c r="O582" s="3">
        <f t="shared" si="46"/>
        <v>1894.7</v>
      </c>
      <c r="P582" s="3">
        <f t="shared" si="47"/>
        <v>817.32</v>
      </c>
      <c r="Q582" s="3">
        <f t="shared" si="48"/>
        <v>1077.3800000000001</v>
      </c>
      <c r="R582" s="4">
        <f t="shared" si="49"/>
        <v>0.56859999999999999</v>
      </c>
      <c r="S582" s="2">
        <v>4</v>
      </c>
      <c r="T582" t="s">
        <v>46</v>
      </c>
      <c r="U582">
        <v>4</v>
      </c>
    </row>
    <row r="583" spans="1:22" x14ac:dyDescent="0.25">
      <c r="A583" s="1">
        <v>46181</v>
      </c>
      <c r="B583" t="s">
        <v>779</v>
      </c>
      <c r="C583" t="s">
        <v>89</v>
      </c>
      <c r="D583" t="s">
        <v>130</v>
      </c>
      <c r="E583" t="s">
        <v>72</v>
      </c>
      <c r="F583" t="s">
        <v>26</v>
      </c>
      <c r="G583" t="s">
        <v>27</v>
      </c>
      <c r="H583" t="s">
        <v>68</v>
      </c>
      <c r="I583" t="s">
        <v>29</v>
      </c>
      <c r="J583" s="2">
        <v>3</v>
      </c>
      <c r="K583" s="3">
        <v>1224.6400000000001</v>
      </c>
      <c r="L583" s="3">
        <v>769.51</v>
      </c>
      <c r="M583" s="4">
        <v>0</v>
      </c>
      <c r="N583" s="3">
        <f t="shared" si="45"/>
        <v>3673.92</v>
      </c>
      <c r="O583" s="3">
        <f t="shared" si="46"/>
        <v>3673.92</v>
      </c>
      <c r="P583" s="3">
        <f t="shared" si="47"/>
        <v>2308.5300000000002</v>
      </c>
      <c r="Q583" s="3">
        <f t="shared" si="48"/>
        <v>1365.39</v>
      </c>
      <c r="R583" s="4">
        <f t="shared" si="49"/>
        <v>0.37159999999999999</v>
      </c>
      <c r="S583" s="2">
        <v>8</v>
      </c>
      <c r="T583" t="s">
        <v>46</v>
      </c>
      <c r="U583">
        <v>2</v>
      </c>
    </row>
    <row r="584" spans="1:22" x14ac:dyDescent="0.25">
      <c r="A584" s="1">
        <v>46079</v>
      </c>
      <c r="B584" t="s">
        <v>780</v>
      </c>
      <c r="C584" t="s">
        <v>476</v>
      </c>
      <c r="D584" t="s">
        <v>34</v>
      </c>
      <c r="E584" t="s">
        <v>35</v>
      </c>
      <c r="F584" t="s">
        <v>58</v>
      </c>
      <c r="G584" t="s">
        <v>51</v>
      </c>
      <c r="H584" t="s">
        <v>59</v>
      </c>
      <c r="I584" t="s">
        <v>29</v>
      </c>
      <c r="J584" s="2">
        <v>1</v>
      </c>
      <c r="K584" s="3">
        <v>2246.6799999999998</v>
      </c>
      <c r="L584" s="3">
        <v>1377.34</v>
      </c>
      <c r="M584" s="4">
        <v>7.6799999999999993E-2</v>
      </c>
      <c r="N584" s="3">
        <f t="shared" si="45"/>
        <v>2246.6799999999998</v>
      </c>
      <c r="O584" s="3">
        <f t="shared" si="46"/>
        <v>2074.13</v>
      </c>
      <c r="P584" s="3">
        <f t="shared" si="47"/>
        <v>1377.34</v>
      </c>
      <c r="Q584" s="3">
        <f t="shared" si="48"/>
        <v>696.79</v>
      </c>
      <c r="R584" s="4">
        <f t="shared" si="49"/>
        <v>0.33589999999999998</v>
      </c>
      <c r="S584" s="2">
        <v>4</v>
      </c>
      <c r="T584" t="s">
        <v>46</v>
      </c>
      <c r="U584">
        <v>3</v>
      </c>
    </row>
    <row r="585" spans="1:22" x14ac:dyDescent="0.25">
      <c r="A585" s="1">
        <v>46207</v>
      </c>
      <c r="B585" t="s">
        <v>781</v>
      </c>
      <c r="C585" t="s">
        <v>157</v>
      </c>
      <c r="D585" t="s">
        <v>34</v>
      </c>
      <c r="E585" t="s">
        <v>35</v>
      </c>
      <c r="F585" t="s">
        <v>64</v>
      </c>
      <c r="G585" t="s">
        <v>27</v>
      </c>
      <c r="H585" t="s">
        <v>86</v>
      </c>
      <c r="I585" t="s">
        <v>92</v>
      </c>
      <c r="J585" s="2">
        <v>3</v>
      </c>
      <c r="K585" s="3">
        <v>1943.85</v>
      </c>
      <c r="L585" s="3">
        <v>1170.08</v>
      </c>
      <c r="M585" s="4">
        <v>0</v>
      </c>
      <c r="N585" s="3">
        <f t="shared" si="45"/>
        <v>5831.55</v>
      </c>
      <c r="O585" s="3">
        <f t="shared" si="46"/>
        <v>5831.55</v>
      </c>
      <c r="P585" s="3">
        <f t="shared" si="47"/>
        <v>3510.24</v>
      </c>
      <c r="Q585" s="3">
        <f t="shared" si="48"/>
        <v>2321.31</v>
      </c>
      <c r="R585" s="4">
        <f t="shared" si="49"/>
        <v>0.39810000000000001</v>
      </c>
      <c r="S585" s="2">
        <v>10</v>
      </c>
      <c r="T585" t="s">
        <v>46</v>
      </c>
      <c r="U585">
        <v>2</v>
      </c>
    </row>
    <row r="586" spans="1:22" x14ac:dyDescent="0.25">
      <c r="A586" s="1">
        <v>46100</v>
      </c>
      <c r="B586" t="s">
        <v>782</v>
      </c>
      <c r="C586" t="s">
        <v>108</v>
      </c>
      <c r="D586" t="s">
        <v>56</v>
      </c>
      <c r="E586" t="s">
        <v>57</v>
      </c>
      <c r="F586" t="s">
        <v>64</v>
      </c>
      <c r="G586" t="s">
        <v>27</v>
      </c>
      <c r="H586" t="s">
        <v>86</v>
      </c>
      <c r="I586" t="s">
        <v>39</v>
      </c>
      <c r="J586" s="2">
        <v>8</v>
      </c>
      <c r="K586" s="3">
        <v>1934.36</v>
      </c>
      <c r="L586" s="3">
        <v>1156.8399999999999</v>
      </c>
      <c r="M586" s="4">
        <v>4.5400000000000003E-2</v>
      </c>
      <c r="N586" s="3">
        <f t="shared" si="45"/>
        <v>15474.88</v>
      </c>
      <c r="O586" s="3">
        <f t="shared" si="46"/>
        <v>14772.32</v>
      </c>
      <c r="P586" s="3">
        <f t="shared" si="47"/>
        <v>9254.7199999999993</v>
      </c>
      <c r="Q586" s="3">
        <f t="shared" si="48"/>
        <v>5517.6</v>
      </c>
      <c r="R586" s="4">
        <f t="shared" si="49"/>
        <v>0.3735</v>
      </c>
      <c r="S586" s="2">
        <v>19</v>
      </c>
      <c r="T586" t="s">
        <v>30</v>
      </c>
      <c r="U586">
        <v>2</v>
      </c>
      <c r="V586" t="s">
        <v>208</v>
      </c>
    </row>
    <row r="587" spans="1:22" x14ac:dyDescent="0.25">
      <c r="A587" s="1">
        <v>46143</v>
      </c>
      <c r="B587" t="s">
        <v>783</v>
      </c>
      <c r="C587" t="s">
        <v>214</v>
      </c>
      <c r="D587" t="s">
        <v>121</v>
      </c>
      <c r="E587" t="s">
        <v>72</v>
      </c>
      <c r="F587" t="s">
        <v>58</v>
      </c>
      <c r="G587" t="s">
        <v>27</v>
      </c>
      <c r="H587" t="s">
        <v>28</v>
      </c>
      <c r="I587" t="s">
        <v>39</v>
      </c>
      <c r="J587" s="2">
        <v>5</v>
      </c>
      <c r="K587" s="3">
        <v>832.38</v>
      </c>
      <c r="L587" s="3">
        <v>489.78</v>
      </c>
      <c r="M587" s="4">
        <v>7.7899999999999997E-2</v>
      </c>
      <c r="N587" s="3">
        <f t="shared" si="45"/>
        <v>4161.8999999999996</v>
      </c>
      <c r="O587" s="3">
        <f t="shared" si="46"/>
        <v>3837.69</v>
      </c>
      <c r="P587" s="3">
        <f t="shared" si="47"/>
        <v>2448.9</v>
      </c>
      <c r="Q587" s="3">
        <f t="shared" si="48"/>
        <v>1388.79</v>
      </c>
      <c r="R587" s="4">
        <f t="shared" si="49"/>
        <v>0.3619</v>
      </c>
      <c r="S587" s="2">
        <v>6</v>
      </c>
      <c r="T587" t="s">
        <v>46</v>
      </c>
      <c r="U587">
        <v>3</v>
      </c>
    </row>
    <row r="588" spans="1:22" x14ac:dyDescent="0.25">
      <c r="A588" s="1">
        <v>46056</v>
      </c>
      <c r="B588" t="s">
        <v>784</v>
      </c>
      <c r="C588" t="s">
        <v>271</v>
      </c>
      <c r="D588" t="s">
        <v>63</v>
      </c>
      <c r="E588" t="s">
        <v>35</v>
      </c>
      <c r="F588" t="s">
        <v>64</v>
      </c>
      <c r="G588" t="s">
        <v>51</v>
      </c>
      <c r="H588" t="s">
        <v>116</v>
      </c>
      <c r="I588" t="s">
        <v>60</v>
      </c>
      <c r="J588" s="2">
        <v>5</v>
      </c>
      <c r="K588" s="3">
        <v>2805.46</v>
      </c>
      <c r="L588" s="3">
        <v>1888.18</v>
      </c>
      <c r="M588" s="4">
        <v>0</v>
      </c>
      <c r="N588" s="3">
        <f t="shared" si="45"/>
        <v>14027.3</v>
      </c>
      <c r="O588" s="3">
        <f t="shared" si="46"/>
        <v>14027.3</v>
      </c>
      <c r="P588" s="3">
        <f t="shared" si="47"/>
        <v>9440.9</v>
      </c>
      <c r="Q588" s="3">
        <f t="shared" si="48"/>
        <v>4586.3999999999996</v>
      </c>
      <c r="R588" s="4">
        <f t="shared" si="49"/>
        <v>0.32700000000000001</v>
      </c>
      <c r="S588" s="2">
        <v>14</v>
      </c>
      <c r="T588" t="s">
        <v>30</v>
      </c>
      <c r="U588">
        <v>4</v>
      </c>
    </row>
    <row r="589" spans="1:22" x14ac:dyDescent="0.25">
      <c r="A589" s="1">
        <v>46059</v>
      </c>
      <c r="B589" t="s">
        <v>785</v>
      </c>
      <c r="C589" t="s">
        <v>284</v>
      </c>
      <c r="D589" t="s">
        <v>130</v>
      </c>
      <c r="E589" t="s">
        <v>72</v>
      </c>
      <c r="F589" t="s">
        <v>58</v>
      </c>
      <c r="G589" t="s">
        <v>44</v>
      </c>
      <c r="H589" t="s">
        <v>45</v>
      </c>
      <c r="I589" t="s">
        <v>29</v>
      </c>
      <c r="J589" s="2">
        <v>2</v>
      </c>
      <c r="K589" s="3">
        <v>369.87</v>
      </c>
      <c r="L589" s="3">
        <v>215.21</v>
      </c>
      <c r="M589" s="4">
        <v>3.5000000000000003E-2</v>
      </c>
      <c r="N589" s="3">
        <f t="shared" si="45"/>
        <v>739.74</v>
      </c>
      <c r="O589" s="3">
        <f t="shared" si="46"/>
        <v>713.85</v>
      </c>
      <c r="P589" s="3">
        <f t="shared" si="47"/>
        <v>430.42</v>
      </c>
      <c r="Q589" s="3">
        <f t="shared" si="48"/>
        <v>283.43</v>
      </c>
      <c r="R589" s="4">
        <f t="shared" si="49"/>
        <v>0.39700000000000002</v>
      </c>
      <c r="S589" s="2">
        <v>6</v>
      </c>
      <c r="T589" t="s">
        <v>46</v>
      </c>
      <c r="U589">
        <v>2</v>
      </c>
    </row>
    <row r="590" spans="1:22" x14ac:dyDescent="0.25">
      <c r="A590" s="1">
        <v>46218</v>
      </c>
      <c r="B590" t="s">
        <v>786</v>
      </c>
      <c r="C590" t="s">
        <v>155</v>
      </c>
      <c r="D590" t="s">
        <v>139</v>
      </c>
      <c r="E590" t="s">
        <v>72</v>
      </c>
      <c r="F590" t="s">
        <v>26</v>
      </c>
      <c r="G590" t="s">
        <v>51</v>
      </c>
      <c r="H590" t="s">
        <v>116</v>
      </c>
      <c r="I590" t="s">
        <v>77</v>
      </c>
      <c r="J590" s="2">
        <v>6</v>
      </c>
      <c r="K590" s="3">
        <v>2706.15</v>
      </c>
      <c r="L590" s="3">
        <v>1945.1</v>
      </c>
      <c r="M590" s="4">
        <v>7.4499999999999997E-2</v>
      </c>
      <c r="N590" s="3">
        <f t="shared" si="45"/>
        <v>16236.9</v>
      </c>
      <c r="O590" s="3">
        <f t="shared" si="46"/>
        <v>15027.25</v>
      </c>
      <c r="P590" s="3">
        <f t="shared" si="47"/>
        <v>11670.6</v>
      </c>
      <c r="Q590" s="3">
        <f t="shared" si="48"/>
        <v>3356.65</v>
      </c>
      <c r="R590" s="4">
        <f t="shared" si="49"/>
        <v>0.22339999999999999</v>
      </c>
      <c r="S590" s="2">
        <v>6</v>
      </c>
      <c r="T590" t="s">
        <v>46</v>
      </c>
      <c r="U590">
        <v>3</v>
      </c>
    </row>
    <row r="591" spans="1:22" x14ac:dyDescent="0.25">
      <c r="A591" s="1">
        <v>46175</v>
      </c>
      <c r="B591" t="s">
        <v>787</v>
      </c>
      <c r="C591" t="s">
        <v>138</v>
      </c>
      <c r="D591" t="s">
        <v>113</v>
      </c>
      <c r="E591" t="s">
        <v>50</v>
      </c>
      <c r="F591" t="s">
        <v>36</v>
      </c>
      <c r="G591" t="s">
        <v>37</v>
      </c>
      <c r="H591" t="s">
        <v>104</v>
      </c>
      <c r="I591" t="s">
        <v>29</v>
      </c>
      <c r="J591" s="2">
        <v>3</v>
      </c>
      <c r="K591" s="3">
        <v>331.99</v>
      </c>
      <c r="L591" s="3">
        <v>133.84</v>
      </c>
      <c r="M591" s="4">
        <v>0</v>
      </c>
      <c r="N591" s="3">
        <f t="shared" si="45"/>
        <v>995.97</v>
      </c>
      <c r="O591" s="3">
        <f t="shared" si="46"/>
        <v>995.97</v>
      </c>
      <c r="P591" s="3">
        <f t="shared" si="47"/>
        <v>401.52</v>
      </c>
      <c r="Q591" s="3">
        <f t="shared" si="48"/>
        <v>594.45000000000005</v>
      </c>
      <c r="R591" s="4">
        <f t="shared" si="49"/>
        <v>0.59689999999999999</v>
      </c>
      <c r="S591" s="2">
        <v>4</v>
      </c>
      <c r="T591" t="s">
        <v>46</v>
      </c>
      <c r="U591">
        <v>3</v>
      </c>
    </row>
    <row r="592" spans="1:22" x14ac:dyDescent="0.25">
      <c r="A592" s="1">
        <v>46081</v>
      </c>
      <c r="B592" t="s">
        <v>788</v>
      </c>
      <c r="C592" t="s">
        <v>370</v>
      </c>
      <c r="D592" t="s">
        <v>56</v>
      </c>
      <c r="E592" t="s">
        <v>57</v>
      </c>
      <c r="F592" t="s">
        <v>26</v>
      </c>
      <c r="G592" t="s">
        <v>37</v>
      </c>
      <c r="H592" t="s">
        <v>104</v>
      </c>
      <c r="I592" t="s">
        <v>29</v>
      </c>
      <c r="J592" s="2">
        <v>1</v>
      </c>
      <c r="K592" s="3">
        <v>312.17</v>
      </c>
      <c r="L592" s="3">
        <v>135.31</v>
      </c>
      <c r="M592" s="4">
        <v>0</v>
      </c>
      <c r="N592" s="3">
        <f t="shared" si="45"/>
        <v>312.17</v>
      </c>
      <c r="O592" s="3">
        <f t="shared" si="46"/>
        <v>312.17</v>
      </c>
      <c r="P592" s="3">
        <f t="shared" si="47"/>
        <v>135.31</v>
      </c>
      <c r="Q592" s="3">
        <f t="shared" si="48"/>
        <v>176.86</v>
      </c>
      <c r="R592" s="4">
        <f t="shared" si="49"/>
        <v>0.56659999999999999</v>
      </c>
      <c r="S592" s="2">
        <v>10</v>
      </c>
      <c r="T592" t="s">
        <v>46</v>
      </c>
      <c r="U592">
        <v>5</v>
      </c>
    </row>
    <row r="593" spans="1:22" x14ac:dyDescent="0.25">
      <c r="A593" s="1">
        <v>46118</v>
      </c>
      <c r="B593" t="s">
        <v>789</v>
      </c>
      <c r="C593" t="s">
        <v>294</v>
      </c>
      <c r="D593" t="s">
        <v>63</v>
      </c>
      <c r="E593" t="s">
        <v>35</v>
      </c>
      <c r="F593" t="s">
        <v>58</v>
      </c>
      <c r="G593" t="s">
        <v>37</v>
      </c>
      <c r="H593" t="s">
        <v>38</v>
      </c>
      <c r="I593" t="s">
        <v>74</v>
      </c>
      <c r="J593" s="2">
        <v>6</v>
      </c>
      <c r="K593" s="3">
        <v>434.94</v>
      </c>
      <c r="L593" s="3">
        <v>194.55</v>
      </c>
      <c r="M593" s="4">
        <v>0.52639999999999998</v>
      </c>
      <c r="N593" s="3">
        <f t="shared" si="45"/>
        <v>2609.64</v>
      </c>
      <c r="O593" s="3">
        <f t="shared" si="46"/>
        <v>1235.93</v>
      </c>
      <c r="P593" s="3">
        <f t="shared" si="47"/>
        <v>1167.3</v>
      </c>
      <c r="Q593" s="3">
        <f t="shared" si="48"/>
        <v>68.63</v>
      </c>
      <c r="R593" s="4">
        <f t="shared" si="49"/>
        <v>5.5500000000000001E-2</v>
      </c>
      <c r="S593" s="2">
        <v>12</v>
      </c>
      <c r="T593" t="s">
        <v>30</v>
      </c>
      <c r="U593">
        <v>5</v>
      </c>
      <c r="V593" t="s">
        <v>31</v>
      </c>
    </row>
    <row r="594" spans="1:22" x14ac:dyDescent="0.25">
      <c r="A594" s="1">
        <v>46117</v>
      </c>
      <c r="B594" t="s">
        <v>790</v>
      </c>
      <c r="C594" t="s">
        <v>164</v>
      </c>
      <c r="D594" t="s">
        <v>207</v>
      </c>
      <c r="E594" t="s">
        <v>35</v>
      </c>
      <c r="F594" t="s">
        <v>36</v>
      </c>
      <c r="G594" t="s">
        <v>37</v>
      </c>
      <c r="H594" t="s">
        <v>178</v>
      </c>
      <c r="I594" t="s">
        <v>39</v>
      </c>
      <c r="J594" s="2">
        <v>4</v>
      </c>
      <c r="K594" s="3">
        <v>480.22</v>
      </c>
      <c r="L594" s="3">
        <v>249.84</v>
      </c>
      <c r="M594" s="4">
        <v>0</v>
      </c>
      <c r="N594" s="3">
        <f t="shared" si="45"/>
        <v>1920.88</v>
      </c>
      <c r="O594" s="3">
        <f t="shared" si="46"/>
        <v>1920.88</v>
      </c>
      <c r="P594" s="3">
        <f t="shared" si="47"/>
        <v>999.36</v>
      </c>
      <c r="Q594" s="3">
        <f t="shared" si="48"/>
        <v>921.52</v>
      </c>
      <c r="R594" s="4">
        <f t="shared" si="49"/>
        <v>0.47970000000000002</v>
      </c>
      <c r="S594" s="2">
        <v>14</v>
      </c>
      <c r="T594" t="s">
        <v>30</v>
      </c>
      <c r="U594">
        <v>4</v>
      </c>
    </row>
    <row r="595" spans="1:22" x14ac:dyDescent="0.25">
      <c r="A595" s="1">
        <v>46040</v>
      </c>
      <c r="B595" t="s">
        <v>791</v>
      </c>
      <c r="C595" t="s">
        <v>170</v>
      </c>
      <c r="D595" t="s">
        <v>63</v>
      </c>
      <c r="E595" t="s">
        <v>35</v>
      </c>
      <c r="F595" t="s">
        <v>64</v>
      </c>
      <c r="G595" t="s">
        <v>37</v>
      </c>
      <c r="H595" t="s">
        <v>104</v>
      </c>
      <c r="I595" t="s">
        <v>92</v>
      </c>
      <c r="J595" s="2">
        <v>5</v>
      </c>
      <c r="K595" s="3">
        <v>336.86</v>
      </c>
      <c r="L595" s="3">
        <v>133.47999999999999</v>
      </c>
      <c r="M595" s="4">
        <v>0</v>
      </c>
      <c r="N595" s="3">
        <f t="shared" si="45"/>
        <v>1684.3</v>
      </c>
      <c r="O595" s="3">
        <f t="shared" si="46"/>
        <v>1684.3</v>
      </c>
      <c r="P595" s="3">
        <f t="shared" si="47"/>
        <v>667.4</v>
      </c>
      <c r="Q595" s="3">
        <f t="shared" si="48"/>
        <v>1016.9</v>
      </c>
      <c r="R595" s="4">
        <f t="shared" si="49"/>
        <v>0.6038</v>
      </c>
      <c r="S595" s="2">
        <v>6</v>
      </c>
      <c r="T595" t="s">
        <v>46</v>
      </c>
      <c r="U595">
        <v>5</v>
      </c>
    </row>
    <row r="596" spans="1:22" x14ac:dyDescent="0.25">
      <c r="A596" s="1">
        <v>46184</v>
      </c>
      <c r="B596" t="s">
        <v>792</v>
      </c>
      <c r="C596" t="s">
        <v>112</v>
      </c>
      <c r="D596" t="s">
        <v>56</v>
      </c>
      <c r="E596" t="s">
        <v>57</v>
      </c>
      <c r="F596" t="s">
        <v>36</v>
      </c>
      <c r="G596" t="s">
        <v>27</v>
      </c>
      <c r="H596" t="s">
        <v>86</v>
      </c>
      <c r="I596" t="s">
        <v>94</v>
      </c>
      <c r="J596" s="2">
        <v>7</v>
      </c>
      <c r="K596" s="3">
        <v>1807.75</v>
      </c>
      <c r="L596" s="3">
        <v>1157.74</v>
      </c>
      <c r="M596" s="4">
        <v>8.6499999999999994E-2</v>
      </c>
      <c r="N596" s="3">
        <f t="shared" si="45"/>
        <v>12654.25</v>
      </c>
      <c r="O596" s="3">
        <f t="shared" si="46"/>
        <v>11559.66</v>
      </c>
      <c r="P596" s="3">
        <f t="shared" si="47"/>
        <v>8104.18</v>
      </c>
      <c r="Q596" s="3">
        <f t="shared" si="48"/>
        <v>3455.48</v>
      </c>
      <c r="R596" s="4">
        <f t="shared" si="49"/>
        <v>0.2989</v>
      </c>
      <c r="S596" s="2">
        <v>10</v>
      </c>
      <c r="T596" t="s">
        <v>46</v>
      </c>
      <c r="U596">
        <v>3</v>
      </c>
    </row>
    <row r="597" spans="1:22" x14ac:dyDescent="0.25">
      <c r="A597" s="1">
        <v>46144</v>
      </c>
      <c r="B597" t="s">
        <v>793</v>
      </c>
      <c r="C597" t="s">
        <v>384</v>
      </c>
      <c r="D597" t="s">
        <v>130</v>
      </c>
      <c r="E597" t="s">
        <v>72</v>
      </c>
      <c r="F597" t="s">
        <v>64</v>
      </c>
      <c r="G597" t="s">
        <v>27</v>
      </c>
      <c r="H597" t="s">
        <v>68</v>
      </c>
      <c r="I597" t="s">
        <v>60</v>
      </c>
      <c r="J597" s="2">
        <v>3</v>
      </c>
      <c r="K597" s="3">
        <v>1219.8699999999999</v>
      </c>
      <c r="L597" s="3">
        <v>773.73</v>
      </c>
      <c r="M597" s="4">
        <v>9.3600000000000003E-2</v>
      </c>
      <c r="N597" s="3">
        <f t="shared" si="45"/>
        <v>3659.61</v>
      </c>
      <c r="O597" s="3">
        <f t="shared" si="46"/>
        <v>3317.07</v>
      </c>
      <c r="P597" s="3">
        <f t="shared" si="47"/>
        <v>2321.19</v>
      </c>
      <c r="Q597" s="3">
        <f t="shared" si="48"/>
        <v>995.88</v>
      </c>
      <c r="R597" s="4">
        <f t="shared" si="49"/>
        <v>0.30020000000000002</v>
      </c>
      <c r="S597" s="2">
        <v>7</v>
      </c>
      <c r="T597" t="s">
        <v>46</v>
      </c>
      <c r="U597">
        <v>5</v>
      </c>
    </row>
    <row r="598" spans="1:22" x14ac:dyDescent="0.25">
      <c r="A598" s="1">
        <v>46093</v>
      </c>
      <c r="B598" t="s">
        <v>794</v>
      </c>
      <c r="C598" t="s">
        <v>62</v>
      </c>
      <c r="D598" t="s">
        <v>71</v>
      </c>
      <c r="E598" t="s">
        <v>72</v>
      </c>
      <c r="F598" t="s">
        <v>64</v>
      </c>
      <c r="G598" t="s">
        <v>51</v>
      </c>
      <c r="H598" t="s">
        <v>52</v>
      </c>
      <c r="I598" t="s">
        <v>65</v>
      </c>
      <c r="J598" s="2">
        <v>3</v>
      </c>
      <c r="K598" s="3">
        <v>245.84</v>
      </c>
      <c r="L598" s="3">
        <v>123.35</v>
      </c>
      <c r="M598" s="4">
        <v>3.7000000000000002E-3</v>
      </c>
      <c r="N598" s="3">
        <f t="shared" si="45"/>
        <v>737.52</v>
      </c>
      <c r="O598" s="3">
        <f t="shared" si="46"/>
        <v>734.79</v>
      </c>
      <c r="P598" s="3">
        <f t="shared" si="47"/>
        <v>370.05</v>
      </c>
      <c r="Q598" s="3">
        <f t="shared" si="48"/>
        <v>364.74</v>
      </c>
      <c r="R598" s="4">
        <f t="shared" si="49"/>
        <v>0.49640000000000001</v>
      </c>
      <c r="S598" s="2">
        <v>10</v>
      </c>
      <c r="T598" t="s">
        <v>40</v>
      </c>
    </row>
    <row r="599" spans="1:22" x14ac:dyDescent="0.25">
      <c r="A599" s="1">
        <v>46077</v>
      </c>
      <c r="B599" t="s">
        <v>795</v>
      </c>
      <c r="C599" t="s">
        <v>687</v>
      </c>
      <c r="D599" t="s">
        <v>34</v>
      </c>
      <c r="E599" t="s">
        <v>35</v>
      </c>
      <c r="F599" t="s">
        <v>36</v>
      </c>
      <c r="G599" t="s">
        <v>51</v>
      </c>
      <c r="H599" t="s">
        <v>52</v>
      </c>
      <c r="I599" t="s">
        <v>39</v>
      </c>
      <c r="J599" s="2">
        <v>8</v>
      </c>
      <c r="K599" s="3">
        <v>267.12</v>
      </c>
      <c r="L599" s="3">
        <v>116.55</v>
      </c>
      <c r="M599" s="4">
        <v>0</v>
      </c>
      <c r="N599" s="3">
        <f t="shared" si="45"/>
        <v>2136.96</v>
      </c>
      <c r="O599" s="3">
        <f t="shared" si="46"/>
        <v>2136.96</v>
      </c>
      <c r="P599" s="3">
        <f t="shared" si="47"/>
        <v>932.4</v>
      </c>
      <c r="Q599" s="3">
        <f t="shared" si="48"/>
        <v>1204.56</v>
      </c>
      <c r="R599" s="4">
        <f t="shared" si="49"/>
        <v>0.56369999999999998</v>
      </c>
      <c r="S599" s="2">
        <v>10</v>
      </c>
      <c r="T599" t="s">
        <v>46</v>
      </c>
      <c r="U599">
        <v>2</v>
      </c>
    </row>
    <row r="600" spans="1:22" x14ac:dyDescent="0.25">
      <c r="A600" s="1">
        <v>46165</v>
      </c>
      <c r="B600" t="s">
        <v>796</v>
      </c>
      <c r="C600" t="s">
        <v>82</v>
      </c>
      <c r="D600" t="s">
        <v>43</v>
      </c>
      <c r="E600" t="s">
        <v>25</v>
      </c>
      <c r="F600" t="s">
        <v>64</v>
      </c>
      <c r="G600" t="s">
        <v>37</v>
      </c>
      <c r="H600" t="s">
        <v>178</v>
      </c>
      <c r="I600" t="s">
        <v>77</v>
      </c>
      <c r="J600" s="2">
        <v>8</v>
      </c>
      <c r="K600" s="3">
        <v>526.29999999999995</v>
      </c>
      <c r="L600" s="3">
        <v>244.44</v>
      </c>
      <c r="M600" s="4">
        <v>3.8199999999999998E-2</v>
      </c>
      <c r="N600" s="3">
        <f t="shared" si="45"/>
        <v>4210.3999999999996</v>
      </c>
      <c r="O600" s="3">
        <f t="shared" si="46"/>
        <v>4049.56</v>
      </c>
      <c r="P600" s="3">
        <f t="shared" si="47"/>
        <v>1955.52</v>
      </c>
      <c r="Q600" s="3">
        <f t="shared" si="48"/>
        <v>2094.04</v>
      </c>
      <c r="R600" s="4">
        <f t="shared" si="49"/>
        <v>0.5171</v>
      </c>
      <c r="S600" s="2">
        <v>14</v>
      </c>
      <c r="T600" t="s">
        <v>30</v>
      </c>
      <c r="U600">
        <v>5</v>
      </c>
    </row>
    <row r="601" spans="1:22" x14ac:dyDescent="0.25">
      <c r="A601" s="1">
        <v>46182</v>
      </c>
      <c r="B601" t="s">
        <v>797</v>
      </c>
      <c r="C601" t="s">
        <v>82</v>
      </c>
      <c r="D601" t="s">
        <v>24</v>
      </c>
      <c r="E601" t="s">
        <v>25</v>
      </c>
      <c r="F601" t="s">
        <v>36</v>
      </c>
      <c r="G601" t="s">
        <v>51</v>
      </c>
      <c r="H601" t="s">
        <v>52</v>
      </c>
      <c r="I601" t="s">
        <v>92</v>
      </c>
      <c r="J601" s="2">
        <v>4</v>
      </c>
      <c r="K601" s="3">
        <v>253.41</v>
      </c>
      <c r="L601" s="3">
        <v>126.44</v>
      </c>
      <c r="M601" s="4">
        <v>0</v>
      </c>
      <c r="N601" s="3">
        <f t="shared" si="45"/>
        <v>1013.64</v>
      </c>
      <c r="O601" s="3">
        <f t="shared" si="46"/>
        <v>1013.64</v>
      </c>
      <c r="P601" s="3">
        <f t="shared" si="47"/>
        <v>505.76</v>
      </c>
      <c r="Q601" s="3">
        <f t="shared" si="48"/>
        <v>507.88</v>
      </c>
      <c r="R601" s="4">
        <f t="shared" si="49"/>
        <v>0.501</v>
      </c>
      <c r="S601" s="2">
        <v>3</v>
      </c>
      <c r="T601" t="s">
        <v>46</v>
      </c>
      <c r="U601">
        <v>4</v>
      </c>
    </row>
    <row r="602" spans="1:22" x14ac:dyDescent="0.25">
      <c r="A602" s="1">
        <v>46216</v>
      </c>
      <c r="B602" t="s">
        <v>798</v>
      </c>
      <c r="C602" t="s">
        <v>321</v>
      </c>
      <c r="D602" t="s">
        <v>63</v>
      </c>
      <c r="E602" t="s">
        <v>35</v>
      </c>
      <c r="F602" t="s">
        <v>26</v>
      </c>
      <c r="G602" t="s">
        <v>27</v>
      </c>
      <c r="H602" t="s">
        <v>28</v>
      </c>
      <c r="I602" t="s">
        <v>60</v>
      </c>
      <c r="J602" s="2">
        <v>5</v>
      </c>
      <c r="K602" s="3">
        <v>821.74</v>
      </c>
      <c r="L602" s="3">
        <v>444.84</v>
      </c>
      <c r="M602" s="4">
        <v>0</v>
      </c>
      <c r="N602" s="3">
        <f t="shared" si="45"/>
        <v>4108.7</v>
      </c>
      <c r="O602" s="3">
        <f t="shared" si="46"/>
        <v>4108.7</v>
      </c>
      <c r="P602" s="3">
        <f t="shared" si="47"/>
        <v>2224.1999999999998</v>
      </c>
      <c r="Q602" s="3">
        <f t="shared" si="48"/>
        <v>1884.5</v>
      </c>
      <c r="R602" s="4">
        <f t="shared" si="49"/>
        <v>0.4587</v>
      </c>
      <c r="S602" s="2">
        <v>8</v>
      </c>
      <c r="T602" t="s">
        <v>46</v>
      </c>
      <c r="U602">
        <v>4</v>
      </c>
    </row>
    <row r="603" spans="1:22" x14ac:dyDescent="0.25">
      <c r="A603" s="1">
        <v>46051</v>
      </c>
      <c r="B603" t="s">
        <v>799</v>
      </c>
      <c r="C603" t="s">
        <v>112</v>
      </c>
      <c r="D603" t="s">
        <v>126</v>
      </c>
      <c r="E603" t="s">
        <v>57</v>
      </c>
      <c r="F603" t="s">
        <v>64</v>
      </c>
      <c r="G603" t="s">
        <v>37</v>
      </c>
      <c r="H603" t="s">
        <v>38</v>
      </c>
      <c r="I603" t="s">
        <v>39</v>
      </c>
      <c r="J603" s="2">
        <v>6</v>
      </c>
      <c r="K603" s="3">
        <v>440.82</v>
      </c>
      <c r="L603" s="3">
        <v>186.62</v>
      </c>
      <c r="M603" s="4">
        <v>9.8100000000000007E-2</v>
      </c>
      <c r="N603" s="3">
        <f t="shared" si="45"/>
        <v>2644.92</v>
      </c>
      <c r="O603" s="3">
        <f t="shared" si="46"/>
        <v>2385.4499999999998</v>
      </c>
      <c r="P603" s="3">
        <f t="shared" si="47"/>
        <v>1119.72</v>
      </c>
      <c r="Q603" s="3">
        <f t="shared" si="48"/>
        <v>1265.73</v>
      </c>
      <c r="R603" s="4">
        <f t="shared" si="49"/>
        <v>0.53059999999999996</v>
      </c>
      <c r="S603" s="2">
        <v>2</v>
      </c>
      <c r="T603" t="s">
        <v>40</v>
      </c>
    </row>
    <row r="604" spans="1:22" x14ac:dyDescent="0.25">
      <c r="A604" s="1">
        <v>46172</v>
      </c>
      <c r="B604" t="s">
        <v>800</v>
      </c>
      <c r="C604" t="s">
        <v>606</v>
      </c>
      <c r="D604" t="s">
        <v>101</v>
      </c>
      <c r="E604" t="s">
        <v>35</v>
      </c>
      <c r="F604" t="s">
        <v>36</v>
      </c>
      <c r="G604" t="s">
        <v>37</v>
      </c>
      <c r="H604" t="s">
        <v>178</v>
      </c>
      <c r="I604" t="s">
        <v>92</v>
      </c>
      <c r="J604" s="2">
        <v>3</v>
      </c>
      <c r="K604" s="3">
        <v>509.01</v>
      </c>
      <c r="L604" s="3">
        <v>245.54</v>
      </c>
      <c r="M604" s="4">
        <v>6.5699999999999995E-2</v>
      </c>
      <c r="N604" s="3">
        <f t="shared" si="45"/>
        <v>1527.03</v>
      </c>
      <c r="O604" s="3">
        <f t="shared" si="46"/>
        <v>1426.7</v>
      </c>
      <c r="P604" s="3">
        <f t="shared" si="47"/>
        <v>736.62</v>
      </c>
      <c r="Q604" s="3">
        <f t="shared" si="48"/>
        <v>690.08</v>
      </c>
      <c r="R604" s="4">
        <f t="shared" si="49"/>
        <v>0.48370000000000002</v>
      </c>
      <c r="S604" s="2">
        <v>8</v>
      </c>
      <c r="T604" t="s">
        <v>46</v>
      </c>
      <c r="U604">
        <v>5</v>
      </c>
    </row>
    <row r="605" spans="1:22" x14ac:dyDescent="0.25">
      <c r="A605" s="1">
        <v>46234</v>
      </c>
      <c r="B605" t="s">
        <v>801</v>
      </c>
      <c r="C605" t="s">
        <v>42</v>
      </c>
      <c r="D605" t="s">
        <v>56</v>
      </c>
      <c r="E605" t="s">
        <v>57</v>
      </c>
      <c r="F605" t="s">
        <v>58</v>
      </c>
      <c r="G605" t="s">
        <v>44</v>
      </c>
      <c r="H605" t="s">
        <v>124</v>
      </c>
      <c r="I605" t="s">
        <v>29</v>
      </c>
      <c r="J605" s="2">
        <v>2</v>
      </c>
      <c r="K605" s="3">
        <v>6236.28</v>
      </c>
      <c r="L605" s="3">
        <v>4195.95</v>
      </c>
      <c r="M605" s="4">
        <v>0.1384</v>
      </c>
      <c r="N605" s="3">
        <f t="shared" si="45"/>
        <v>12472.56</v>
      </c>
      <c r="O605" s="3">
        <f t="shared" si="46"/>
        <v>10746.36</v>
      </c>
      <c r="P605" s="3">
        <f t="shared" si="47"/>
        <v>8391.9</v>
      </c>
      <c r="Q605" s="3">
        <f t="shared" si="48"/>
        <v>2354.46</v>
      </c>
      <c r="R605" s="4">
        <f t="shared" si="49"/>
        <v>0.21909999999999999</v>
      </c>
      <c r="S605" s="2">
        <v>2</v>
      </c>
      <c r="T605" t="s">
        <v>46</v>
      </c>
      <c r="U605">
        <v>2</v>
      </c>
    </row>
    <row r="606" spans="1:22" x14ac:dyDescent="0.25">
      <c r="A606" s="1">
        <v>46190</v>
      </c>
      <c r="B606" t="s">
        <v>802</v>
      </c>
      <c r="C606" t="s">
        <v>349</v>
      </c>
      <c r="D606" t="s">
        <v>130</v>
      </c>
      <c r="E606" t="s">
        <v>72</v>
      </c>
      <c r="F606" t="s">
        <v>58</v>
      </c>
      <c r="G606" t="s">
        <v>37</v>
      </c>
      <c r="H606" t="s">
        <v>38</v>
      </c>
      <c r="I606" t="s">
        <v>60</v>
      </c>
      <c r="J606" s="2">
        <v>8</v>
      </c>
      <c r="K606" s="3">
        <v>450.53</v>
      </c>
      <c r="L606" s="3">
        <v>190.16</v>
      </c>
      <c r="M606" s="4">
        <v>0.14849999999999999</v>
      </c>
      <c r="N606" s="3">
        <f t="shared" si="45"/>
        <v>3604.24</v>
      </c>
      <c r="O606" s="3">
        <f t="shared" si="46"/>
        <v>3069.01</v>
      </c>
      <c r="P606" s="3">
        <f t="shared" si="47"/>
        <v>1521.28</v>
      </c>
      <c r="Q606" s="3">
        <f t="shared" si="48"/>
        <v>1547.73</v>
      </c>
      <c r="R606" s="4">
        <f t="shared" si="49"/>
        <v>0.50429999999999997</v>
      </c>
      <c r="S606" s="2">
        <v>2</v>
      </c>
      <c r="T606" t="s">
        <v>46</v>
      </c>
      <c r="U606">
        <v>3</v>
      </c>
    </row>
    <row r="607" spans="1:22" x14ac:dyDescent="0.25">
      <c r="A607" s="1">
        <v>46163</v>
      </c>
      <c r="B607" t="s">
        <v>803</v>
      </c>
      <c r="C607" t="s">
        <v>110</v>
      </c>
      <c r="D607" t="s">
        <v>49</v>
      </c>
      <c r="E607" t="s">
        <v>50</v>
      </c>
      <c r="F607" t="s">
        <v>26</v>
      </c>
      <c r="G607" t="s">
        <v>27</v>
      </c>
      <c r="H607" t="s">
        <v>86</v>
      </c>
      <c r="I607" t="s">
        <v>92</v>
      </c>
      <c r="J607" s="2">
        <v>4</v>
      </c>
      <c r="K607" s="3">
        <v>1880.53</v>
      </c>
      <c r="L607" s="3">
        <v>1228.68</v>
      </c>
      <c r="M607" s="4">
        <v>0</v>
      </c>
      <c r="N607" s="3">
        <f t="shared" si="45"/>
        <v>7522.12</v>
      </c>
      <c r="O607" s="3">
        <f t="shared" si="46"/>
        <v>7522.12</v>
      </c>
      <c r="P607" s="3">
        <f t="shared" si="47"/>
        <v>4914.72</v>
      </c>
      <c r="Q607" s="3">
        <f t="shared" si="48"/>
        <v>2607.4</v>
      </c>
      <c r="R607" s="4">
        <f t="shared" si="49"/>
        <v>0.34660000000000002</v>
      </c>
      <c r="S607" s="2">
        <v>7</v>
      </c>
      <c r="T607" t="s">
        <v>46</v>
      </c>
      <c r="U607">
        <v>3</v>
      </c>
    </row>
    <row r="608" spans="1:22" x14ac:dyDescent="0.25">
      <c r="A608" s="1">
        <v>46040</v>
      </c>
      <c r="B608" t="s">
        <v>804</v>
      </c>
      <c r="C608" t="s">
        <v>233</v>
      </c>
      <c r="D608" t="s">
        <v>49</v>
      </c>
      <c r="E608" t="s">
        <v>50</v>
      </c>
      <c r="F608" t="s">
        <v>58</v>
      </c>
      <c r="G608" t="s">
        <v>37</v>
      </c>
      <c r="H608" t="s">
        <v>178</v>
      </c>
      <c r="I608" t="s">
        <v>94</v>
      </c>
      <c r="J608" s="2">
        <v>2</v>
      </c>
      <c r="K608" s="3">
        <v>516.02</v>
      </c>
      <c r="L608" s="3">
        <v>236.06</v>
      </c>
      <c r="M608" s="4">
        <v>0.15609999999999999</v>
      </c>
      <c r="N608" s="3">
        <f t="shared" si="45"/>
        <v>1032.04</v>
      </c>
      <c r="O608" s="3">
        <f t="shared" si="46"/>
        <v>870.94</v>
      </c>
      <c r="P608" s="3">
        <f t="shared" si="47"/>
        <v>472.12</v>
      </c>
      <c r="Q608" s="3">
        <f t="shared" si="48"/>
        <v>398.82</v>
      </c>
      <c r="R608" s="4">
        <f t="shared" si="49"/>
        <v>0.45789999999999997</v>
      </c>
      <c r="S608" s="2">
        <v>8</v>
      </c>
      <c r="T608" t="s">
        <v>46</v>
      </c>
      <c r="U608">
        <v>3</v>
      </c>
    </row>
    <row r="609" spans="1:21" x14ac:dyDescent="0.25">
      <c r="A609" s="1">
        <v>46029</v>
      </c>
      <c r="B609" t="s">
        <v>805</v>
      </c>
      <c r="C609" t="s">
        <v>198</v>
      </c>
      <c r="D609" t="s">
        <v>139</v>
      </c>
      <c r="E609" t="s">
        <v>72</v>
      </c>
      <c r="F609" t="s">
        <v>26</v>
      </c>
      <c r="G609" t="s">
        <v>27</v>
      </c>
      <c r="H609" t="s">
        <v>68</v>
      </c>
      <c r="I609" t="s">
        <v>92</v>
      </c>
      <c r="J609" s="2">
        <v>5</v>
      </c>
      <c r="K609" s="3">
        <v>1293.03</v>
      </c>
      <c r="L609" s="3">
        <v>784.98</v>
      </c>
      <c r="M609" s="4">
        <v>0</v>
      </c>
      <c r="N609" s="3">
        <f t="shared" si="45"/>
        <v>6465.15</v>
      </c>
      <c r="O609" s="3">
        <f t="shared" si="46"/>
        <v>6465.15</v>
      </c>
      <c r="P609" s="3">
        <f t="shared" si="47"/>
        <v>3924.9</v>
      </c>
      <c r="Q609" s="3">
        <f t="shared" si="48"/>
        <v>2540.25</v>
      </c>
      <c r="R609" s="4">
        <f t="shared" si="49"/>
        <v>0.39290000000000003</v>
      </c>
      <c r="S609" s="2">
        <v>6</v>
      </c>
      <c r="T609" t="s">
        <v>46</v>
      </c>
      <c r="U609">
        <v>3</v>
      </c>
    </row>
    <row r="610" spans="1:21" x14ac:dyDescent="0.25">
      <c r="A610" s="1">
        <v>46224</v>
      </c>
      <c r="B610" t="s">
        <v>806</v>
      </c>
      <c r="C610" t="s">
        <v>253</v>
      </c>
      <c r="D610" t="s">
        <v>97</v>
      </c>
      <c r="E610" t="s">
        <v>57</v>
      </c>
      <c r="F610" t="s">
        <v>64</v>
      </c>
      <c r="G610" t="s">
        <v>44</v>
      </c>
      <c r="H610" t="s">
        <v>73</v>
      </c>
      <c r="I610" t="s">
        <v>74</v>
      </c>
      <c r="J610" s="2">
        <v>6</v>
      </c>
      <c r="K610" s="3">
        <v>1588.99</v>
      </c>
      <c r="L610" s="3">
        <v>1073.29</v>
      </c>
      <c r="M610" s="4">
        <v>0</v>
      </c>
      <c r="N610" s="3">
        <f t="shared" si="45"/>
        <v>9533.94</v>
      </c>
      <c r="O610" s="3">
        <f t="shared" si="46"/>
        <v>9533.94</v>
      </c>
      <c r="P610" s="3">
        <f t="shared" si="47"/>
        <v>6439.74</v>
      </c>
      <c r="Q610" s="3">
        <f t="shared" si="48"/>
        <v>3094.2</v>
      </c>
      <c r="R610" s="4">
        <f t="shared" si="49"/>
        <v>0.32450000000000001</v>
      </c>
      <c r="S610" s="2">
        <v>6</v>
      </c>
      <c r="T610" t="s">
        <v>46</v>
      </c>
      <c r="U610">
        <v>3</v>
      </c>
    </row>
    <row r="611" spans="1:21" x14ac:dyDescent="0.25">
      <c r="A611" s="1">
        <v>46100</v>
      </c>
      <c r="B611" t="s">
        <v>807</v>
      </c>
      <c r="C611" t="s">
        <v>136</v>
      </c>
      <c r="D611" t="s">
        <v>139</v>
      </c>
      <c r="E611" t="s">
        <v>72</v>
      </c>
      <c r="F611" t="s">
        <v>26</v>
      </c>
      <c r="G611" t="s">
        <v>51</v>
      </c>
      <c r="H611" t="s">
        <v>59</v>
      </c>
      <c r="I611" t="s">
        <v>60</v>
      </c>
      <c r="J611" s="2">
        <v>1</v>
      </c>
      <c r="K611" s="3">
        <v>2309.96</v>
      </c>
      <c r="L611" s="3">
        <v>1484.15</v>
      </c>
      <c r="M611" s="4">
        <v>0</v>
      </c>
      <c r="N611" s="3">
        <f t="shared" si="45"/>
        <v>2309.96</v>
      </c>
      <c r="O611" s="3">
        <f t="shared" si="46"/>
        <v>2309.96</v>
      </c>
      <c r="P611" s="3">
        <f t="shared" si="47"/>
        <v>1484.15</v>
      </c>
      <c r="Q611" s="3">
        <f t="shared" si="48"/>
        <v>825.81</v>
      </c>
      <c r="R611" s="4">
        <f t="shared" si="49"/>
        <v>0.35749999999999998</v>
      </c>
      <c r="S611" s="2">
        <v>12</v>
      </c>
      <c r="T611" t="s">
        <v>30</v>
      </c>
      <c r="U611">
        <v>5</v>
      </c>
    </row>
    <row r="612" spans="1:21" x14ac:dyDescent="0.25">
      <c r="A612" s="1">
        <v>46136</v>
      </c>
      <c r="B612" t="s">
        <v>808</v>
      </c>
      <c r="C612" t="s">
        <v>146</v>
      </c>
      <c r="D612" t="s">
        <v>63</v>
      </c>
      <c r="E612" t="s">
        <v>35</v>
      </c>
      <c r="F612" t="s">
        <v>36</v>
      </c>
      <c r="G612" t="s">
        <v>27</v>
      </c>
      <c r="H612" t="s">
        <v>68</v>
      </c>
      <c r="I612" t="s">
        <v>87</v>
      </c>
      <c r="J612" s="2">
        <v>4</v>
      </c>
      <c r="K612" s="3">
        <v>1327.02</v>
      </c>
      <c r="L612" s="3">
        <v>744.78</v>
      </c>
      <c r="M612" s="4">
        <v>4.1799999999999997E-2</v>
      </c>
      <c r="N612" s="3">
        <f t="shared" si="45"/>
        <v>5308.08</v>
      </c>
      <c r="O612" s="3">
        <f t="shared" si="46"/>
        <v>5086.2</v>
      </c>
      <c r="P612" s="3">
        <f t="shared" si="47"/>
        <v>2979.12</v>
      </c>
      <c r="Q612" s="3">
        <f t="shared" si="48"/>
        <v>2107.08</v>
      </c>
      <c r="R612" s="4">
        <f t="shared" si="49"/>
        <v>0.4143</v>
      </c>
      <c r="S612" s="2">
        <v>3</v>
      </c>
      <c r="T612" t="s">
        <v>46</v>
      </c>
      <c r="U612">
        <v>3</v>
      </c>
    </row>
    <row r="613" spans="1:21" x14ac:dyDescent="0.25">
      <c r="A613" s="1">
        <v>46197</v>
      </c>
      <c r="B613" t="s">
        <v>809</v>
      </c>
      <c r="C613" t="s">
        <v>288</v>
      </c>
      <c r="D613" t="s">
        <v>71</v>
      </c>
      <c r="E613" t="s">
        <v>72</v>
      </c>
      <c r="F613" t="s">
        <v>64</v>
      </c>
      <c r="G613" t="s">
        <v>44</v>
      </c>
      <c r="H613" t="s">
        <v>45</v>
      </c>
      <c r="I613" t="s">
        <v>29</v>
      </c>
      <c r="J613" s="2">
        <v>7</v>
      </c>
      <c r="K613" s="3">
        <v>393.02</v>
      </c>
      <c r="L613" s="3">
        <v>225.87</v>
      </c>
      <c r="M613" s="4">
        <v>0.10970000000000001</v>
      </c>
      <c r="N613" s="3">
        <f t="shared" si="45"/>
        <v>2751.14</v>
      </c>
      <c r="O613" s="3">
        <f t="shared" si="46"/>
        <v>2449.34</v>
      </c>
      <c r="P613" s="3">
        <f t="shared" si="47"/>
        <v>1581.09</v>
      </c>
      <c r="Q613" s="3">
        <f t="shared" si="48"/>
        <v>868.25</v>
      </c>
      <c r="R613" s="4">
        <f t="shared" si="49"/>
        <v>0.35449999999999998</v>
      </c>
      <c r="S613" s="2">
        <v>11</v>
      </c>
      <c r="T613" t="s">
        <v>30</v>
      </c>
      <c r="U613">
        <v>2</v>
      </c>
    </row>
    <row r="614" spans="1:21" x14ac:dyDescent="0.25">
      <c r="A614" s="1">
        <v>46105</v>
      </c>
      <c r="B614" t="s">
        <v>810</v>
      </c>
      <c r="C614" t="s">
        <v>214</v>
      </c>
      <c r="D614" t="s">
        <v>43</v>
      </c>
      <c r="E614" t="s">
        <v>25</v>
      </c>
      <c r="F614" t="s">
        <v>64</v>
      </c>
      <c r="G614" t="s">
        <v>44</v>
      </c>
      <c r="H614" t="s">
        <v>45</v>
      </c>
      <c r="I614" t="s">
        <v>92</v>
      </c>
      <c r="J614" s="2">
        <v>1</v>
      </c>
      <c r="K614" s="3">
        <v>378.47</v>
      </c>
      <c r="L614" s="3">
        <v>221.08</v>
      </c>
      <c r="M614" s="4">
        <v>0</v>
      </c>
      <c r="N614" s="3">
        <f t="shared" si="45"/>
        <v>378.47</v>
      </c>
      <c r="O614" s="3">
        <f t="shared" si="46"/>
        <v>378.47</v>
      </c>
      <c r="P614" s="3">
        <f t="shared" si="47"/>
        <v>221.08</v>
      </c>
      <c r="Q614" s="3">
        <f t="shared" si="48"/>
        <v>157.38999999999999</v>
      </c>
      <c r="R614" s="4">
        <f t="shared" si="49"/>
        <v>0.41589999999999999</v>
      </c>
      <c r="S614" s="2">
        <v>3</v>
      </c>
      <c r="T614" t="s">
        <v>46</v>
      </c>
      <c r="U614">
        <v>3</v>
      </c>
    </row>
    <row r="615" spans="1:21" x14ac:dyDescent="0.25">
      <c r="A615" s="1">
        <v>46168</v>
      </c>
      <c r="B615" t="s">
        <v>811</v>
      </c>
      <c r="C615" t="s">
        <v>76</v>
      </c>
      <c r="D615" t="s">
        <v>207</v>
      </c>
      <c r="E615" t="s">
        <v>35</v>
      </c>
      <c r="F615" t="s">
        <v>58</v>
      </c>
      <c r="G615" t="s">
        <v>27</v>
      </c>
      <c r="H615" t="s">
        <v>68</v>
      </c>
      <c r="I615" t="s">
        <v>65</v>
      </c>
      <c r="J615" s="2">
        <v>1</v>
      </c>
      <c r="K615" s="3">
        <v>1273.73</v>
      </c>
      <c r="L615" s="3">
        <v>791.19</v>
      </c>
      <c r="M615" s="4">
        <v>9.3899999999999997E-2</v>
      </c>
      <c r="N615" s="3">
        <f t="shared" si="45"/>
        <v>1273.73</v>
      </c>
      <c r="O615" s="3">
        <f t="shared" si="46"/>
        <v>1154.1300000000001</v>
      </c>
      <c r="P615" s="3">
        <f t="shared" si="47"/>
        <v>791.19</v>
      </c>
      <c r="Q615" s="3">
        <f t="shared" si="48"/>
        <v>362.94</v>
      </c>
      <c r="R615" s="4">
        <f t="shared" si="49"/>
        <v>0.3145</v>
      </c>
      <c r="S615" s="2">
        <v>2</v>
      </c>
      <c r="T615" t="s">
        <v>46</v>
      </c>
      <c r="U615">
        <v>5</v>
      </c>
    </row>
    <row r="616" spans="1:21" x14ac:dyDescent="0.25">
      <c r="A616" s="1">
        <v>46034</v>
      </c>
      <c r="B616" t="s">
        <v>812</v>
      </c>
      <c r="C616" t="s">
        <v>520</v>
      </c>
      <c r="D616" t="s">
        <v>113</v>
      </c>
      <c r="E616" t="s">
        <v>50</v>
      </c>
      <c r="F616" t="s">
        <v>26</v>
      </c>
      <c r="G616" t="s">
        <v>44</v>
      </c>
      <c r="H616" t="s">
        <v>45</v>
      </c>
      <c r="I616" t="s">
        <v>77</v>
      </c>
      <c r="J616" s="2">
        <v>1</v>
      </c>
      <c r="K616" s="3">
        <v>381.75</v>
      </c>
      <c r="L616" s="3">
        <v>218.7</v>
      </c>
      <c r="M616" s="4">
        <v>7.7000000000000002E-3</v>
      </c>
      <c r="N616" s="3">
        <f t="shared" si="45"/>
        <v>381.75</v>
      </c>
      <c r="O616" s="3">
        <f t="shared" si="46"/>
        <v>378.81</v>
      </c>
      <c r="P616" s="3">
        <f t="shared" si="47"/>
        <v>218.7</v>
      </c>
      <c r="Q616" s="3">
        <f t="shared" si="48"/>
        <v>160.11000000000001</v>
      </c>
      <c r="R616" s="4">
        <f t="shared" si="49"/>
        <v>0.42270000000000002</v>
      </c>
      <c r="S616" s="2">
        <v>13</v>
      </c>
      <c r="T616" t="s">
        <v>30</v>
      </c>
      <c r="U616">
        <v>4</v>
      </c>
    </row>
    <row r="617" spans="1:21" x14ac:dyDescent="0.25">
      <c r="A617" s="1">
        <v>46156</v>
      </c>
      <c r="B617" t="s">
        <v>813</v>
      </c>
      <c r="C617" t="s">
        <v>112</v>
      </c>
      <c r="D617" t="s">
        <v>101</v>
      </c>
      <c r="E617" t="s">
        <v>35</v>
      </c>
      <c r="F617" t="s">
        <v>64</v>
      </c>
      <c r="G617" t="s">
        <v>51</v>
      </c>
      <c r="H617" t="s">
        <v>116</v>
      </c>
      <c r="I617" t="s">
        <v>92</v>
      </c>
      <c r="J617" s="2">
        <v>7</v>
      </c>
      <c r="K617" s="3">
        <v>2854.2</v>
      </c>
      <c r="L617" s="3">
        <v>1831.33</v>
      </c>
      <c r="M617" s="4">
        <v>0</v>
      </c>
      <c r="N617" s="3">
        <f t="shared" si="45"/>
        <v>19979.400000000001</v>
      </c>
      <c r="O617" s="3">
        <f t="shared" si="46"/>
        <v>19979.400000000001</v>
      </c>
      <c r="P617" s="3">
        <f t="shared" si="47"/>
        <v>12819.31</v>
      </c>
      <c r="Q617" s="3">
        <f t="shared" si="48"/>
        <v>7160.09</v>
      </c>
      <c r="R617" s="4">
        <f t="shared" si="49"/>
        <v>0.3584</v>
      </c>
      <c r="S617" s="2">
        <v>14</v>
      </c>
      <c r="T617" t="s">
        <v>30</v>
      </c>
      <c r="U617">
        <v>2</v>
      </c>
    </row>
    <row r="618" spans="1:21" x14ac:dyDescent="0.25">
      <c r="A618" s="1">
        <v>46052</v>
      </c>
      <c r="B618" t="s">
        <v>814</v>
      </c>
      <c r="C618" t="s">
        <v>112</v>
      </c>
      <c r="D618" t="s">
        <v>139</v>
      </c>
      <c r="E618" t="s">
        <v>72</v>
      </c>
      <c r="F618" t="s">
        <v>64</v>
      </c>
      <c r="G618" t="s">
        <v>37</v>
      </c>
      <c r="H618" t="s">
        <v>104</v>
      </c>
      <c r="I618" t="s">
        <v>92</v>
      </c>
      <c r="J618" s="2">
        <v>8</v>
      </c>
      <c r="K618" s="3">
        <v>328.13</v>
      </c>
      <c r="L618" s="3">
        <v>141.41</v>
      </c>
      <c r="M618" s="4">
        <v>0</v>
      </c>
      <c r="N618" s="3">
        <f t="shared" si="45"/>
        <v>2625.04</v>
      </c>
      <c r="O618" s="3">
        <f t="shared" si="46"/>
        <v>2625.04</v>
      </c>
      <c r="P618" s="3">
        <f t="shared" si="47"/>
        <v>1131.28</v>
      </c>
      <c r="Q618" s="3">
        <f t="shared" si="48"/>
        <v>1493.76</v>
      </c>
      <c r="R618" s="4">
        <f t="shared" si="49"/>
        <v>0.56899999999999995</v>
      </c>
      <c r="S618" s="2">
        <v>9</v>
      </c>
      <c r="T618" t="s">
        <v>46</v>
      </c>
      <c r="U618">
        <v>3</v>
      </c>
    </row>
    <row r="619" spans="1:21" x14ac:dyDescent="0.25">
      <c r="A619" s="1">
        <v>46150</v>
      </c>
      <c r="B619" t="s">
        <v>815</v>
      </c>
      <c r="C619" t="s">
        <v>284</v>
      </c>
      <c r="D619" t="s">
        <v>49</v>
      </c>
      <c r="E619" t="s">
        <v>50</v>
      </c>
      <c r="F619" t="s">
        <v>26</v>
      </c>
      <c r="G619" t="s">
        <v>44</v>
      </c>
      <c r="H619" t="s">
        <v>124</v>
      </c>
      <c r="I619" t="s">
        <v>87</v>
      </c>
      <c r="J619" s="2">
        <v>4</v>
      </c>
      <c r="K619" s="3">
        <v>6102.16</v>
      </c>
      <c r="L619" s="3">
        <v>4155.68</v>
      </c>
      <c r="M619" s="4">
        <v>0</v>
      </c>
      <c r="N619" s="3">
        <f t="shared" si="45"/>
        <v>24408.639999999999</v>
      </c>
      <c r="O619" s="3">
        <f t="shared" si="46"/>
        <v>24408.639999999999</v>
      </c>
      <c r="P619" s="3">
        <f t="shared" si="47"/>
        <v>16622.72</v>
      </c>
      <c r="Q619" s="3">
        <f t="shared" si="48"/>
        <v>7785.92</v>
      </c>
      <c r="R619" s="4">
        <f t="shared" si="49"/>
        <v>0.31900000000000001</v>
      </c>
      <c r="S619" s="2">
        <v>12</v>
      </c>
      <c r="T619" t="s">
        <v>30</v>
      </c>
      <c r="U619">
        <v>2</v>
      </c>
    </row>
    <row r="620" spans="1:21" x14ac:dyDescent="0.25">
      <c r="A620" s="1">
        <v>46027</v>
      </c>
      <c r="B620" t="s">
        <v>816</v>
      </c>
      <c r="C620" t="s">
        <v>240</v>
      </c>
      <c r="D620" t="s">
        <v>56</v>
      </c>
      <c r="E620" t="s">
        <v>57</v>
      </c>
      <c r="F620" t="s">
        <v>58</v>
      </c>
      <c r="G620" t="s">
        <v>37</v>
      </c>
      <c r="H620" t="s">
        <v>178</v>
      </c>
      <c r="I620" t="s">
        <v>60</v>
      </c>
      <c r="J620" s="2">
        <v>8</v>
      </c>
      <c r="K620" s="3">
        <v>535.02</v>
      </c>
      <c r="L620" s="3">
        <v>231.18</v>
      </c>
      <c r="M620" s="4">
        <v>0.1336</v>
      </c>
      <c r="N620" s="3">
        <f t="shared" si="45"/>
        <v>4280.16</v>
      </c>
      <c r="O620" s="3">
        <f t="shared" si="46"/>
        <v>3708.33</v>
      </c>
      <c r="P620" s="3">
        <f t="shared" si="47"/>
        <v>1849.44</v>
      </c>
      <c r="Q620" s="3">
        <f t="shared" si="48"/>
        <v>1858.89</v>
      </c>
      <c r="R620" s="4">
        <f t="shared" si="49"/>
        <v>0.50129999999999997</v>
      </c>
      <c r="S620" s="2">
        <v>10</v>
      </c>
      <c r="T620" t="s">
        <v>46</v>
      </c>
      <c r="U620">
        <v>3</v>
      </c>
    </row>
    <row r="621" spans="1:21" x14ac:dyDescent="0.25">
      <c r="A621" s="1">
        <v>46201</v>
      </c>
      <c r="B621" t="s">
        <v>817</v>
      </c>
      <c r="C621" t="s">
        <v>153</v>
      </c>
      <c r="D621" t="s">
        <v>43</v>
      </c>
      <c r="E621" t="s">
        <v>25</v>
      </c>
      <c r="F621" t="s">
        <v>58</v>
      </c>
      <c r="G621" t="s">
        <v>44</v>
      </c>
      <c r="H621" t="s">
        <v>124</v>
      </c>
      <c r="I621" t="s">
        <v>87</v>
      </c>
      <c r="J621" s="2">
        <v>4</v>
      </c>
      <c r="K621" s="3">
        <v>6111.1</v>
      </c>
      <c r="L621" s="3">
        <v>4639.88</v>
      </c>
      <c r="M621" s="4">
        <v>3.5000000000000003E-2</v>
      </c>
      <c r="N621" s="3">
        <f t="shared" si="45"/>
        <v>24444.400000000001</v>
      </c>
      <c r="O621" s="3">
        <f t="shared" si="46"/>
        <v>23588.85</v>
      </c>
      <c r="P621" s="3">
        <f t="shared" si="47"/>
        <v>18559.52</v>
      </c>
      <c r="Q621" s="3">
        <f t="shared" si="48"/>
        <v>5029.33</v>
      </c>
      <c r="R621" s="4">
        <f t="shared" si="49"/>
        <v>0.2132</v>
      </c>
      <c r="S621" s="2">
        <v>7</v>
      </c>
      <c r="T621" t="s">
        <v>46</v>
      </c>
      <c r="U621">
        <v>2</v>
      </c>
    </row>
    <row r="622" spans="1:21" x14ac:dyDescent="0.25">
      <c r="A622" s="1">
        <v>46131</v>
      </c>
      <c r="B622" t="s">
        <v>818</v>
      </c>
      <c r="C622" t="s">
        <v>218</v>
      </c>
      <c r="D622" t="s">
        <v>43</v>
      </c>
      <c r="E622" t="s">
        <v>25</v>
      </c>
      <c r="F622" t="s">
        <v>26</v>
      </c>
      <c r="G622" t="s">
        <v>44</v>
      </c>
      <c r="H622" t="s">
        <v>124</v>
      </c>
      <c r="I622" t="s">
        <v>60</v>
      </c>
      <c r="J622" s="2">
        <v>1</v>
      </c>
      <c r="K622" s="3">
        <v>5954</v>
      </c>
      <c r="L622" s="3">
        <v>4326.1400000000003</v>
      </c>
      <c r="M622" s="4">
        <v>0.10299999999999999</v>
      </c>
      <c r="N622" s="3">
        <f t="shared" si="45"/>
        <v>5954</v>
      </c>
      <c r="O622" s="3">
        <f t="shared" si="46"/>
        <v>5340.74</v>
      </c>
      <c r="P622" s="3">
        <f t="shared" si="47"/>
        <v>4326.1400000000003</v>
      </c>
      <c r="Q622" s="3">
        <f t="shared" si="48"/>
        <v>1014.6</v>
      </c>
      <c r="R622" s="4">
        <f t="shared" si="49"/>
        <v>0.19</v>
      </c>
      <c r="S622" s="2">
        <v>11</v>
      </c>
      <c r="T622" t="s">
        <v>30</v>
      </c>
      <c r="U622">
        <v>3</v>
      </c>
    </row>
    <row r="623" spans="1:21" x14ac:dyDescent="0.25">
      <c r="A623" s="1">
        <v>46060</v>
      </c>
      <c r="B623" t="s">
        <v>819</v>
      </c>
      <c r="C623" t="s">
        <v>233</v>
      </c>
      <c r="D623" t="s">
        <v>97</v>
      </c>
      <c r="E623" t="s">
        <v>57</v>
      </c>
      <c r="F623" t="s">
        <v>36</v>
      </c>
      <c r="G623" t="s">
        <v>44</v>
      </c>
      <c r="H623" t="s">
        <v>73</v>
      </c>
      <c r="I623" t="s">
        <v>87</v>
      </c>
      <c r="J623" s="2">
        <v>5</v>
      </c>
      <c r="K623" s="3">
        <v>1707.81</v>
      </c>
      <c r="L623" s="3">
        <v>1129.3699999999999</v>
      </c>
      <c r="M623" s="4">
        <v>7.0499999999999993E-2</v>
      </c>
      <c r="N623" s="3">
        <f t="shared" si="45"/>
        <v>8539.0499999999993</v>
      </c>
      <c r="O623" s="3">
        <f t="shared" si="46"/>
        <v>7937.05</v>
      </c>
      <c r="P623" s="3">
        <f t="shared" si="47"/>
        <v>5646.85</v>
      </c>
      <c r="Q623" s="3">
        <f t="shared" si="48"/>
        <v>2290.1999999999998</v>
      </c>
      <c r="R623" s="4">
        <f t="shared" si="49"/>
        <v>0.28849999999999998</v>
      </c>
      <c r="S623" s="2">
        <v>13</v>
      </c>
      <c r="T623" t="s">
        <v>30</v>
      </c>
      <c r="U623">
        <v>3</v>
      </c>
    </row>
    <row r="624" spans="1:21" x14ac:dyDescent="0.25">
      <c r="A624" s="1">
        <v>46132</v>
      </c>
      <c r="B624" t="s">
        <v>820</v>
      </c>
      <c r="C624" t="s">
        <v>216</v>
      </c>
      <c r="D624" t="s">
        <v>101</v>
      </c>
      <c r="E624" t="s">
        <v>35</v>
      </c>
      <c r="F624" t="s">
        <v>64</v>
      </c>
      <c r="G624" t="s">
        <v>37</v>
      </c>
      <c r="H624" t="s">
        <v>104</v>
      </c>
      <c r="I624" t="s">
        <v>92</v>
      </c>
      <c r="J624" s="2">
        <v>2</v>
      </c>
      <c r="K624" s="3">
        <v>333.68</v>
      </c>
      <c r="L624" s="3">
        <v>130.02000000000001</v>
      </c>
      <c r="M624" s="4">
        <v>0.11899999999999999</v>
      </c>
      <c r="N624" s="3">
        <f t="shared" si="45"/>
        <v>667.36</v>
      </c>
      <c r="O624" s="3">
        <f t="shared" si="46"/>
        <v>587.94000000000005</v>
      </c>
      <c r="P624" s="3">
        <f t="shared" si="47"/>
        <v>260.04000000000002</v>
      </c>
      <c r="Q624" s="3">
        <f t="shared" si="48"/>
        <v>327.9</v>
      </c>
      <c r="R624" s="4">
        <f t="shared" si="49"/>
        <v>0.55769999999999997</v>
      </c>
      <c r="S624" s="2">
        <v>13</v>
      </c>
      <c r="T624" t="s">
        <v>30</v>
      </c>
      <c r="U624">
        <v>4</v>
      </c>
    </row>
    <row r="625" spans="1:22" x14ac:dyDescent="0.25">
      <c r="A625" s="1">
        <v>46069</v>
      </c>
      <c r="B625" t="s">
        <v>821</v>
      </c>
      <c r="C625" t="s">
        <v>386</v>
      </c>
      <c r="D625" t="s">
        <v>130</v>
      </c>
      <c r="E625" t="s">
        <v>72</v>
      </c>
      <c r="F625" t="s">
        <v>26</v>
      </c>
      <c r="G625" t="s">
        <v>51</v>
      </c>
      <c r="H625" t="s">
        <v>52</v>
      </c>
      <c r="I625" t="s">
        <v>39</v>
      </c>
      <c r="J625" s="2">
        <v>5</v>
      </c>
      <c r="K625" s="3">
        <v>251.3</v>
      </c>
      <c r="L625" s="3">
        <v>120.09</v>
      </c>
      <c r="M625" s="4">
        <v>2.1499999999999998E-2</v>
      </c>
      <c r="N625" s="3">
        <f t="shared" si="45"/>
        <v>1256.5</v>
      </c>
      <c r="O625" s="3">
        <f t="shared" si="46"/>
        <v>1229.49</v>
      </c>
      <c r="P625" s="3">
        <f t="shared" si="47"/>
        <v>600.45000000000005</v>
      </c>
      <c r="Q625" s="3">
        <f t="shared" si="48"/>
        <v>629.04</v>
      </c>
      <c r="R625" s="4">
        <f t="shared" si="49"/>
        <v>0.51160000000000005</v>
      </c>
      <c r="S625" s="2">
        <v>6</v>
      </c>
      <c r="T625" t="s">
        <v>46</v>
      </c>
      <c r="U625">
        <v>2</v>
      </c>
    </row>
    <row r="626" spans="1:22" x14ac:dyDescent="0.25">
      <c r="A626" s="1">
        <v>46196</v>
      </c>
      <c r="B626" t="s">
        <v>822</v>
      </c>
      <c r="C626" t="s">
        <v>590</v>
      </c>
      <c r="D626" t="s">
        <v>139</v>
      </c>
      <c r="E626" t="s">
        <v>72</v>
      </c>
      <c r="F626" t="s">
        <v>58</v>
      </c>
      <c r="G626" t="s">
        <v>27</v>
      </c>
      <c r="H626" t="s">
        <v>28</v>
      </c>
      <c r="I626" t="s">
        <v>87</v>
      </c>
      <c r="J626" s="2">
        <v>6</v>
      </c>
      <c r="K626" s="3">
        <v>795.61</v>
      </c>
      <c r="L626" s="3">
        <v>487.18</v>
      </c>
      <c r="M626" s="4">
        <v>4.9799999999999997E-2</v>
      </c>
      <c r="N626" s="3">
        <f t="shared" si="45"/>
        <v>4773.66</v>
      </c>
      <c r="O626" s="3">
        <f t="shared" si="46"/>
        <v>4535.93</v>
      </c>
      <c r="P626" s="3">
        <f t="shared" si="47"/>
        <v>2923.08</v>
      </c>
      <c r="Q626" s="3">
        <f t="shared" si="48"/>
        <v>1612.85</v>
      </c>
      <c r="R626" s="4">
        <f t="shared" si="49"/>
        <v>0.35560000000000003</v>
      </c>
      <c r="S626" s="2">
        <v>9</v>
      </c>
      <c r="T626" t="s">
        <v>46</v>
      </c>
      <c r="U626">
        <v>3</v>
      </c>
    </row>
    <row r="627" spans="1:22" x14ac:dyDescent="0.25">
      <c r="A627" s="1">
        <v>46199</v>
      </c>
      <c r="B627" t="s">
        <v>823</v>
      </c>
      <c r="C627" t="s">
        <v>260</v>
      </c>
      <c r="D627" t="s">
        <v>43</v>
      </c>
      <c r="E627" t="s">
        <v>25</v>
      </c>
      <c r="F627" t="s">
        <v>36</v>
      </c>
      <c r="G627" t="s">
        <v>27</v>
      </c>
      <c r="H627" t="s">
        <v>28</v>
      </c>
      <c r="I627" t="s">
        <v>77</v>
      </c>
      <c r="J627" s="2">
        <v>4</v>
      </c>
      <c r="K627" s="3">
        <v>821.16</v>
      </c>
      <c r="L627" s="3">
        <v>492.2</v>
      </c>
      <c r="M627" s="4">
        <v>0</v>
      </c>
      <c r="N627" s="3">
        <f t="shared" si="45"/>
        <v>3284.64</v>
      </c>
      <c r="O627" s="3">
        <f t="shared" si="46"/>
        <v>3284.64</v>
      </c>
      <c r="P627" s="3">
        <f t="shared" si="47"/>
        <v>1968.8</v>
      </c>
      <c r="Q627" s="3">
        <f t="shared" si="48"/>
        <v>1315.84</v>
      </c>
      <c r="R627" s="4">
        <f t="shared" si="49"/>
        <v>0.40060000000000001</v>
      </c>
      <c r="S627" s="2">
        <v>7</v>
      </c>
      <c r="T627" t="s">
        <v>46</v>
      </c>
      <c r="U627">
        <v>4</v>
      </c>
    </row>
    <row r="628" spans="1:22" x14ac:dyDescent="0.25">
      <c r="A628" s="1">
        <v>46208</v>
      </c>
      <c r="B628" t="s">
        <v>824</v>
      </c>
      <c r="C628" t="s">
        <v>23</v>
      </c>
      <c r="D628" t="s">
        <v>207</v>
      </c>
      <c r="E628" t="s">
        <v>35</v>
      </c>
      <c r="F628" t="s">
        <v>64</v>
      </c>
      <c r="G628" t="s">
        <v>44</v>
      </c>
      <c r="H628" t="s">
        <v>45</v>
      </c>
      <c r="I628" t="s">
        <v>39</v>
      </c>
      <c r="J628" s="2">
        <v>6</v>
      </c>
      <c r="K628" s="3">
        <v>375.8</v>
      </c>
      <c r="L628" s="3">
        <v>212.94</v>
      </c>
      <c r="M628" s="4">
        <v>0.1123</v>
      </c>
      <c r="N628" s="3">
        <f t="shared" si="45"/>
        <v>2254.8000000000002</v>
      </c>
      <c r="O628" s="3">
        <f t="shared" si="46"/>
        <v>2001.59</v>
      </c>
      <c r="P628" s="3">
        <f t="shared" si="47"/>
        <v>1277.6400000000001</v>
      </c>
      <c r="Q628" s="3">
        <f t="shared" si="48"/>
        <v>723.95</v>
      </c>
      <c r="R628" s="4">
        <f t="shared" si="49"/>
        <v>0.36170000000000002</v>
      </c>
      <c r="S628" s="2">
        <v>13</v>
      </c>
      <c r="T628" t="s">
        <v>30</v>
      </c>
      <c r="U628">
        <v>3</v>
      </c>
    </row>
    <row r="629" spans="1:22" x14ac:dyDescent="0.25">
      <c r="A629" s="1">
        <v>46137</v>
      </c>
      <c r="B629" t="s">
        <v>825</v>
      </c>
      <c r="C629" t="s">
        <v>251</v>
      </c>
      <c r="D629" t="s">
        <v>113</v>
      </c>
      <c r="E629" t="s">
        <v>50</v>
      </c>
      <c r="F629" t="s">
        <v>64</v>
      </c>
      <c r="G629" t="s">
        <v>27</v>
      </c>
      <c r="H629" t="s">
        <v>28</v>
      </c>
      <c r="I629" t="s">
        <v>29</v>
      </c>
      <c r="J629" s="2">
        <v>3</v>
      </c>
      <c r="K629" s="3">
        <v>793.04</v>
      </c>
      <c r="L629" s="3">
        <v>456.47</v>
      </c>
      <c r="M629" s="4">
        <v>0.10150000000000001</v>
      </c>
      <c r="N629" s="3">
        <f t="shared" si="45"/>
        <v>2379.12</v>
      </c>
      <c r="O629" s="3">
        <f t="shared" si="46"/>
        <v>2137.64</v>
      </c>
      <c r="P629" s="3">
        <f t="shared" si="47"/>
        <v>1369.41</v>
      </c>
      <c r="Q629" s="3">
        <f t="shared" si="48"/>
        <v>768.23</v>
      </c>
      <c r="R629" s="4">
        <f t="shared" si="49"/>
        <v>0.3594</v>
      </c>
      <c r="S629" s="2">
        <v>7</v>
      </c>
      <c r="T629" t="s">
        <v>46</v>
      </c>
      <c r="U629">
        <v>4</v>
      </c>
    </row>
    <row r="630" spans="1:22" x14ac:dyDescent="0.25">
      <c r="A630" s="1">
        <v>46186</v>
      </c>
      <c r="B630" t="s">
        <v>826</v>
      </c>
      <c r="C630" t="s">
        <v>157</v>
      </c>
      <c r="D630" t="s">
        <v>49</v>
      </c>
      <c r="E630" t="s">
        <v>50</v>
      </c>
      <c r="F630" t="s">
        <v>64</v>
      </c>
      <c r="G630" t="s">
        <v>37</v>
      </c>
      <c r="H630" t="s">
        <v>38</v>
      </c>
      <c r="I630" t="s">
        <v>94</v>
      </c>
      <c r="J630" s="2">
        <v>5</v>
      </c>
      <c r="K630" s="3">
        <v>448.79</v>
      </c>
      <c r="L630" s="3">
        <v>193.36</v>
      </c>
      <c r="M630" s="4">
        <v>0</v>
      </c>
      <c r="N630" s="3">
        <f t="shared" si="45"/>
        <v>2243.9499999999998</v>
      </c>
      <c r="O630" s="3">
        <f t="shared" si="46"/>
        <v>2243.9499999999998</v>
      </c>
      <c r="P630" s="3">
        <f t="shared" si="47"/>
        <v>966.8</v>
      </c>
      <c r="Q630" s="3">
        <f t="shared" si="48"/>
        <v>1277.1500000000001</v>
      </c>
      <c r="R630" s="4">
        <f t="shared" si="49"/>
        <v>0.56920000000000004</v>
      </c>
      <c r="S630" s="2">
        <v>8</v>
      </c>
      <c r="T630" t="s">
        <v>46</v>
      </c>
      <c r="U630">
        <v>5</v>
      </c>
    </row>
    <row r="631" spans="1:22" x14ac:dyDescent="0.25">
      <c r="A631" s="1">
        <v>46148</v>
      </c>
      <c r="B631" t="s">
        <v>827</v>
      </c>
      <c r="C631" t="s">
        <v>321</v>
      </c>
      <c r="D631" t="s">
        <v>49</v>
      </c>
      <c r="E631" t="s">
        <v>50</v>
      </c>
      <c r="F631" t="s">
        <v>36</v>
      </c>
      <c r="G631" t="s">
        <v>51</v>
      </c>
      <c r="H631" t="s">
        <v>59</v>
      </c>
      <c r="I631" t="s">
        <v>65</v>
      </c>
      <c r="J631" s="2">
        <v>7</v>
      </c>
      <c r="K631" s="3">
        <v>2168.8000000000002</v>
      </c>
      <c r="L631" s="3">
        <v>1375.95</v>
      </c>
      <c r="M631" s="4">
        <v>7.0300000000000001E-2</v>
      </c>
      <c r="N631" s="3">
        <f t="shared" si="45"/>
        <v>15181.6</v>
      </c>
      <c r="O631" s="3">
        <f t="shared" si="46"/>
        <v>14114.33</v>
      </c>
      <c r="P631" s="3">
        <f t="shared" si="47"/>
        <v>9631.65</v>
      </c>
      <c r="Q631" s="3">
        <f t="shared" si="48"/>
        <v>4482.68</v>
      </c>
      <c r="R631" s="4">
        <f t="shared" si="49"/>
        <v>0.31759999999999999</v>
      </c>
      <c r="S631" s="2">
        <v>6</v>
      </c>
      <c r="T631" t="s">
        <v>46</v>
      </c>
      <c r="U631">
        <v>5</v>
      </c>
    </row>
    <row r="632" spans="1:22" x14ac:dyDescent="0.25">
      <c r="A632" s="1">
        <v>46201</v>
      </c>
      <c r="B632" t="s">
        <v>828</v>
      </c>
      <c r="C632" t="s">
        <v>146</v>
      </c>
      <c r="D632" t="s">
        <v>63</v>
      </c>
      <c r="E632" t="s">
        <v>35</v>
      </c>
      <c r="F632" t="s">
        <v>58</v>
      </c>
      <c r="G632" t="s">
        <v>27</v>
      </c>
      <c r="H632" t="s">
        <v>86</v>
      </c>
      <c r="I632" t="s">
        <v>94</v>
      </c>
      <c r="J632" s="2">
        <v>7</v>
      </c>
      <c r="K632" s="3">
        <v>1993.53</v>
      </c>
      <c r="L632" s="3">
        <v>1156.8399999999999</v>
      </c>
      <c r="M632" s="4">
        <v>3.5000000000000003E-2</v>
      </c>
      <c r="N632" s="3">
        <f t="shared" si="45"/>
        <v>13954.71</v>
      </c>
      <c r="O632" s="3">
        <f t="shared" si="46"/>
        <v>13466.3</v>
      </c>
      <c r="P632" s="3">
        <f t="shared" si="47"/>
        <v>8097.88</v>
      </c>
      <c r="Q632" s="3">
        <f t="shared" si="48"/>
        <v>5368.42</v>
      </c>
      <c r="R632" s="4">
        <f t="shared" si="49"/>
        <v>0.3987</v>
      </c>
      <c r="S632" s="2">
        <v>10</v>
      </c>
      <c r="T632" t="s">
        <v>46</v>
      </c>
      <c r="U632">
        <v>4</v>
      </c>
    </row>
    <row r="633" spans="1:22" x14ac:dyDescent="0.25">
      <c r="A633" s="1">
        <v>46136</v>
      </c>
      <c r="B633" t="s">
        <v>829</v>
      </c>
      <c r="C633" t="s">
        <v>308</v>
      </c>
      <c r="D633" t="s">
        <v>34</v>
      </c>
      <c r="E633" t="s">
        <v>35</v>
      </c>
      <c r="F633" t="s">
        <v>26</v>
      </c>
      <c r="G633" t="s">
        <v>37</v>
      </c>
      <c r="H633" t="s">
        <v>104</v>
      </c>
      <c r="I633" t="s">
        <v>60</v>
      </c>
      <c r="J633" s="2">
        <v>7</v>
      </c>
      <c r="K633" s="3">
        <v>310.99</v>
      </c>
      <c r="L633" s="3">
        <v>133.63999999999999</v>
      </c>
      <c r="M633" s="4">
        <v>0.1148</v>
      </c>
      <c r="N633" s="3">
        <f t="shared" si="45"/>
        <v>2176.9299999999998</v>
      </c>
      <c r="O633" s="3">
        <f t="shared" si="46"/>
        <v>1927.02</v>
      </c>
      <c r="P633" s="3">
        <f t="shared" si="47"/>
        <v>935.48</v>
      </c>
      <c r="Q633" s="3">
        <f t="shared" si="48"/>
        <v>991.54</v>
      </c>
      <c r="R633" s="4">
        <f t="shared" si="49"/>
        <v>0.51449999999999996</v>
      </c>
      <c r="S633" s="2">
        <v>11</v>
      </c>
      <c r="T633" t="s">
        <v>30</v>
      </c>
      <c r="U633">
        <v>5</v>
      </c>
    </row>
    <row r="634" spans="1:22" x14ac:dyDescent="0.25">
      <c r="A634" s="1">
        <v>46141</v>
      </c>
      <c r="B634" t="s">
        <v>830</v>
      </c>
      <c r="C634" t="s">
        <v>150</v>
      </c>
      <c r="D634" t="s">
        <v>113</v>
      </c>
      <c r="E634" t="s">
        <v>50</v>
      </c>
      <c r="F634" t="s">
        <v>58</v>
      </c>
      <c r="G634" t="s">
        <v>51</v>
      </c>
      <c r="H634" t="s">
        <v>116</v>
      </c>
      <c r="I634" t="s">
        <v>94</v>
      </c>
      <c r="J634" s="2">
        <v>2</v>
      </c>
      <c r="K634" s="3">
        <v>2875.73</v>
      </c>
      <c r="L634" s="3">
        <v>1787.6</v>
      </c>
      <c r="M634" s="4">
        <v>4.48E-2</v>
      </c>
      <c r="N634" s="3">
        <f t="shared" si="45"/>
        <v>5751.46</v>
      </c>
      <c r="O634" s="3">
        <f t="shared" si="46"/>
        <v>5493.79</v>
      </c>
      <c r="P634" s="3">
        <f t="shared" si="47"/>
        <v>3575.2</v>
      </c>
      <c r="Q634" s="3">
        <f t="shared" si="48"/>
        <v>1918.59</v>
      </c>
      <c r="R634" s="4">
        <f t="shared" si="49"/>
        <v>0.34920000000000001</v>
      </c>
      <c r="S634" s="2">
        <v>5</v>
      </c>
      <c r="T634" t="s">
        <v>46</v>
      </c>
      <c r="U634">
        <v>5</v>
      </c>
    </row>
    <row r="635" spans="1:22" x14ac:dyDescent="0.25">
      <c r="A635" s="1">
        <v>46188</v>
      </c>
      <c r="B635" t="s">
        <v>831</v>
      </c>
      <c r="C635" t="s">
        <v>476</v>
      </c>
      <c r="D635" t="s">
        <v>207</v>
      </c>
      <c r="E635" t="s">
        <v>35</v>
      </c>
      <c r="F635" t="s">
        <v>36</v>
      </c>
      <c r="G635" t="s">
        <v>51</v>
      </c>
      <c r="H635" t="s">
        <v>59</v>
      </c>
      <c r="I635" t="s">
        <v>60</v>
      </c>
      <c r="J635" s="2">
        <v>5</v>
      </c>
      <c r="K635" s="3">
        <v>2230.15</v>
      </c>
      <c r="L635" s="3">
        <v>2344.46</v>
      </c>
      <c r="M635" s="4">
        <v>0</v>
      </c>
      <c r="N635" s="3">
        <f t="shared" si="45"/>
        <v>11150.75</v>
      </c>
      <c r="O635" s="3">
        <f t="shared" si="46"/>
        <v>11150.75</v>
      </c>
      <c r="P635" s="3">
        <f t="shared" si="47"/>
        <v>11722.3</v>
      </c>
      <c r="Q635" s="3">
        <f t="shared" si="48"/>
        <v>-571.54999999999995</v>
      </c>
      <c r="R635" s="4">
        <f t="shared" si="49"/>
        <v>-5.1299999999999998E-2</v>
      </c>
      <c r="S635" s="2">
        <v>9</v>
      </c>
      <c r="T635" t="s">
        <v>46</v>
      </c>
      <c r="U635">
        <v>5</v>
      </c>
      <c r="V635" t="s">
        <v>388</v>
      </c>
    </row>
    <row r="636" spans="1:22" x14ac:dyDescent="0.25">
      <c r="A636" s="1">
        <v>46115</v>
      </c>
      <c r="B636" t="s">
        <v>832</v>
      </c>
      <c r="C636" t="s">
        <v>260</v>
      </c>
      <c r="D636" t="s">
        <v>126</v>
      </c>
      <c r="E636" t="s">
        <v>57</v>
      </c>
      <c r="F636" t="s">
        <v>58</v>
      </c>
      <c r="G636" t="s">
        <v>44</v>
      </c>
      <c r="H636" t="s">
        <v>73</v>
      </c>
      <c r="I636" t="s">
        <v>65</v>
      </c>
      <c r="J636" s="2">
        <v>1</v>
      </c>
      <c r="K636" s="3">
        <v>1734.28</v>
      </c>
      <c r="L636" s="3">
        <v>1054</v>
      </c>
      <c r="M636" s="4">
        <v>3.5000000000000003E-2</v>
      </c>
      <c r="N636" s="3">
        <f t="shared" si="45"/>
        <v>1734.28</v>
      </c>
      <c r="O636" s="3">
        <f t="shared" si="46"/>
        <v>1673.58</v>
      </c>
      <c r="P636" s="3">
        <f t="shared" si="47"/>
        <v>1054</v>
      </c>
      <c r="Q636" s="3">
        <f t="shared" si="48"/>
        <v>619.58000000000004</v>
      </c>
      <c r="R636" s="4">
        <f t="shared" si="49"/>
        <v>0.37019999999999997</v>
      </c>
      <c r="S636" s="2">
        <v>10</v>
      </c>
      <c r="T636" t="s">
        <v>46</v>
      </c>
      <c r="U636">
        <v>3</v>
      </c>
    </row>
    <row r="637" spans="1:22" x14ac:dyDescent="0.25">
      <c r="A637" s="1">
        <v>46154</v>
      </c>
      <c r="B637" t="s">
        <v>833</v>
      </c>
      <c r="C637" t="s">
        <v>184</v>
      </c>
      <c r="D637" t="s">
        <v>113</v>
      </c>
      <c r="E637" t="s">
        <v>50</v>
      </c>
      <c r="F637" t="s">
        <v>36</v>
      </c>
      <c r="G637" t="s">
        <v>37</v>
      </c>
      <c r="H637" t="s">
        <v>38</v>
      </c>
      <c r="I637" t="s">
        <v>29</v>
      </c>
      <c r="J637" s="2">
        <v>6</v>
      </c>
      <c r="K637" s="3">
        <v>437.34</v>
      </c>
      <c r="L637" s="3">
        <v>187.82</v>
      </c>
      <c r="M637" s="4">
        <v>0</v>
      </c>
      <c r="N637" s="3">
        <f t="shared" si="45"/>
        <v>2624.04</v>
      </c>
      <c r="O637" s="3">
        <f t="shared" si="46"/>
        <v>2624.04</v>
      </c>
      <c r="P637" s="3">
        <f t="shared" si="47"/>
        <v>1126.92</v>
      </c>
      <c r="Q637" s="3">
        <f t="shared" si="48"/>
        <v>1497.12</v>
      </c>
      <c r="R637" s="4">
        <f t="shared" si="49"/>
        <v>0.57050000000000001</v>
      </c>
      <c r="S637" s="2">
        <v>3</v>
      </c>
      <c r="T637" t="s">
        <v>46</v>
      </c>
      <c r="U637">
        <v>3</v>
      </c>
    </row>
    <row r="638" spans="1:22" x14ac:dyDescent="0.25">
      <c r="A638" s="1">
        <v>46115</v>
      </c>
      <c r="B638" t="s">
        <v>834</v>
      </c>
      <c r="C638" t="s">
        <v>349</v>
      </c>
      <c r="D638" t="s">
        <v>97</v>
      </c>
      <c r="E638" t="s">
        <v>57</v>
      </c>
      <c r="F638" t="s">
        <v>26</v>
      </c>
      <c r="G638" t="s">
        <v>51</v>
      </c>
      <c r="H638" t="s">
        <v>116</v>
      </c>
      <c r="I638" t="s">
        <v>77</v>
      </c>
      <c r="J638" s="2">
        <v>1</v>
      </c>
      <c r="K638" s="3">
        <v>2901.14</v>
      </c>
      <c r="L638" s="3">
        <v>1805.07</v>
      </c>
      <c r="M638" s="4">
        <v>0</v>
      </c>
      <c r="N638" s="3">
        <f t="shared" si="45"/>
        <v>2901.14</v>
      </c>
      <c r="O638" s="3">
        <f t="shared" si="46"/>
        <v>2901.14</v>
      </c>
      <c r="P638" s="3">
        <f t="shared" si="47"/>
        <v>1805.07</v>
      </c>
      <c r="Q638" s="3">
        <f t="shared" si="48"/>
        <v>1096.07</v>
      </c>
      <c r="R638" s="4">
        <f t="shared" si="49"/>
        <v>0.37780000000000002</v>
      </c>
      <c r="S638" s="2">
        <v>9</v>
      </c>
      <c r="T638" t="s">
        <v>46</v>
      </c>
      <c r="U638">
        <v>2</v>
      </c>
    </row>
    <row r="639" spans="1:22" x14ac:dyDescent="0.25">
      <c r="A639" s="1">
        <v>46032</v>
      </c>
      <c r="B639" t="s">
        <v>835</v>
      </c>
      <c r="C639" t="s">
        <v>162</v>
      </c>
      <c r="D639" t="s">
        <v>49</v>
      </c>
      <c r="E639" t="s">
        <v>50</v>
      </c>
      <c r="F639" t="s">
        <v>26</v>
      </c>
      <c r="G639" t="s">
        <v>51</v>
      </c>
      <c r="H639" t="s">
        <v>59</v>
      </c>
      <c r="I639" t="s">
        <v>29</v>
      </c>
      <c r="J639" s="2">
        <v>4</v>
      </c>
      <c r="K639" s="3">
        <v>2250.8000000000002</v>
      </c>
      <c r="L639" s="3">
        <v>1462.34</v>
      </c>
      <c r="M639" s="4">
        <v>0</v>
      </c>
      <c r="N639" s="3">
        <f t="shared" si="45"/>
        <v>9003.2000000000007</v>
      </c>
      <c r="O639" s="3">
        <f t="shared" si="46"/>
        <v>9003.2000000000007</v>
      </c>
      <c r="P639" s="3">
        <f t="shared" si="47"/>
        <v>5849.36</v>
      </c>
      <c r="Q639" s="3">
        <f t="shared" si="48"/>
        <v>3153.84</v>
      </c>
      <c r="R639" s="4">
        <f t="shared" si="49"/>
        <v>0.3503</v>
      </c>
      <c r="S639" s="2">
        <v>7</v>
      </c>
      <c r="T639" t="s">
        <v>46</v>
      </c>
      <c r="U639">
        <v>4</v>
      </c>
    </row>
    <row r="640" spans="1:22" x14ac:dyDescent="0.25">
      <c r="A640" s="1">
        <v>46173</v>
      </c>
      <c r="B640" t="s">
        <v>836</v>
      </c>
      <c r="C640" t="s">
        <v>142</v>
      </c>
      <c r="D640" t="s">
        <v>24</v>
      </c>
      <c r="E640" t="s">
        <v>25</v>
      </c>
      <c r="F640" t="s">
        <v>64</v>
      </c>
      <c r="G640" t="s">
        <v>37</v>
      </c>
      <c r="H640" t="s">
        <v>178</v>
      </c>
      <c r="I640" t="s">
        <v>65</v>
      </c>
      <c r="J640" s="2">
        <v>1</v>
      </c>
      <c r="K640" s="3">
        <v>513.05999999999995</v>
      </c>
      <c r="L640" s="3">
        <v>244.48</v>
      </c>
      <c r="M640" s="4">
        <v>2.4899999999999999E-2</v>
      </c>
      <c r="N640" s="3">
        <f t="shared" si="45"/>
        <v>513.05999999999995</v>
      </c>
      <c r="O640" s="3">
        <f t="shared" si="46"/>
        <v>500.28</v>
      </c>
      <c r="P640" s="3">
        <f t="shared" si="47"/>
        <v>244.48</v>
      </c>
      <c r="Q640" s="3">
        <f t="shared" si="48"/>
        <v>255.8</v>
      </c>
      <c r="R640" s="4">
        <f t="shared" si="49"/>
        <v>0.51129999999999998</v>
      </c>
      <c r="S640" s="2">
        <v>6</v>
      </c>
      <c r="T640" t="s">
        <v>46</v>
      </c>
      <c r="U640">
        <v>3</v>
      </c>
    </row>
    <row r="641" spans="1:21" x14ac:dyDescent="0.25">
      <c r="A641" s="1">
        <v>46116</v>
      </c>
      <c r="B641" t="s">
        <v>837</v>
      </c>
      <c r="C641" t="s">
        <v>266</v>
      </c>
      <c r="D641" t="s">
        <v>71</v>
      </c>
      <c r="E641" t="s">
        <v>72</v>
      </c>
      <c r="F641" t="s">
        <v>64</v>
      </c>
      <c r="G641" t="s">
        <v>44</v>
      </c>
      <c r="H641" t="s">
        <v>124</v>
      </c>
      <c r="I641" t="s">
        <v>65</v>
      </c>
      <c r="J641" s="2">
        <v>6</v>
      </c>
      <c r="K641" s="3">
        <v>6232.47</v>
      </c>
      <c r="L641" s="3">
        <v>4292.91</v>
      </c>
      <c r="M641" s="4">
        <v>6.9699999999999998E-2</v>
      </c>
      <c r="N641" s="3">
        <f t="shared" si="45"/>
        <v>37394.82</v>
      </c>
      <c r="O641" s="3">
        <f t="shared" si="46"/>
        <v>34788.400000000001</v>
      </c>
      <c r="P641" s="3">
        <f t="shared" si="47"/>
        <v>25757.46</v>
      </c>
      <c r="Q641" s="3">
        <f t="shared" si="48"/>
        <v>9030.94</v>
      </c>
      <c r="R641" s="4">
        <f t="shared" si="49"/>
        <v>0.2596</v>
      </c>
      <c r="S641" s="2">
        <v>3</v>
      </c>
      <c r="T641" t="s">
        <v>46</v>
      </c>
      <c r="U641">
        <v>5</v>
      </c>
    </row>
    <row r="642" spans="1:21" x14ac:dyDescent="0.25">
      <c r="A642" s="1">
        <v>46026</v>
      </c>
      <c r="B642" t="s">
        <v>838</v>
      </c>
      <c r="C642" t="s">
        <v>590</v>
      </c>
      <c r="D642" t="s">
        <v>71</v>
      </c>
      <c r="E642" t="s">
        <v>72</v>
      </c>
      <c r="F642" t="s">
        <v>58</v>
      </c>
      <c r="G642" t="s">
        <v>37</v>
      </c>
      <c r="H642" t="s">
        <v>104</v>
      </c>
      <c r="I642" t="s">
        <v>74</v>
      </c>
      <c r="J642" s="2">
        <v>7</v>
      </c>
      <c r="K642" s="3">
        <v>325.93</v>
      </c>
      <c r="L642" s="3">
        <v>139.18</v>
      </c>
      <c r="M642" s="4">
        <v>3.5000000000000003E-2</v>
      </c>
      <c r="N642" s="3">
        <f t="shared" ref="N642:N705" si="50">ROUND(J642*K642,2)</f>
        <v>2281.5100000000002</v>
      </c>
      <c r="O642" s="3">
        <f t="shared" ref="O642:O705" si="51">ROUND(N642*(1-M642),2)</f>
        <v>2201.66</v>
      </c>
      <c r="P642" s="3">
        <f t="shared" ref="P642:P705" si="52">ROUND(J642*L642,2)</f>
        <v>974.26</v>
      </c>
      <c r="Q642" s="3">
        <f t="shared" ref="Q642:Q705" si="53">ROUND(O642-P642,2)</f>
        <v>1227.4000000000001</v>
      </c>
      <c r="R642" s="4">
        <f t="shared" ref="R642:R705" si="54">IF(O642=0,0,ROUND(Q642/O642,4))</f>
        <v>0.5575</v>
      </c>
      <c r="S642" s="2">
        <v>10</v>
      </c>
      <c r="T642" t="s">
        <v>46</v>
      </c>
      <c r="U642">
        <v>4</v>
      </c>
    </row>
    <row r="643" spans="1:21" x14ac:dyDescent="0.25">
      <c r="A643" s="1">
        <v>46142</v>
      </c>
      <c r="B643" t="s">
        <v>839</v>
      </c>
      <c r="C643" t="s">
        <v>384</v>
      </c>
      <c r="D643" t="s">
        <v>63</v>
      </c>
      <c r="E643" t="s">
        <v>35</v>
      </c>
      <c r="F643" t="s">
        <v>36</v>
      </c>
      <c r="G643" t="s">
        <v>44</v>
      </c>
      <c r="H643" t="s">
        <v>124</v>
      </c>
      <c r="I643" t="s">
        <v>74</v>
      </c>
      <c r="J643" s="2">
        <v>2</v>
      </c>
      <c r="K643" s="3">
        <v>5812.62</v>
      </c>
      <c r="L643" s="3">
        <v>4256.1400000000003</v>
      </c>
      <c r="M643" s="4">
        <v>7.0300000000000001E-2</v>
      </c>
      <c r="N643" s="3">
        <f t="shared" si="50"/>
        <v>11625.24</v>
      </c>
      <c r="O643" s="3">
        <f t="shared" si="51"/>
        <v>10807.99</v>
      </c>
      <c r="P643" s="3">
        <f t="shared" si="52"/>
        <v>8512.2800000000007</v>
      </c>
      <c r="Q643" s="3">
        <f t="shared" si="53"/>
        <v>2295.71</v>
      </c>
      <c r="R643" s="4">
        <f t="shared" si="54"/>
        <v>0.21240000000000001</v>
      </c>
      <c r="S643" s="2">
        <v>8</v>
      </c>
      <c r="T643" t="s">
        <v>46</v>
      </c>
      <c r="U643">
        <v>2</v>
      </c>
    </row>
    <row r="644" spans="1:21" x14ac:dyDescent="0.25">
      <c r="A644" s="1">
        <v>46168</v>
      </c>
      <c r="B644" t="s">
        <v>840</v>
      </c>
      <c r="C644" t="s">
        <v>82</v>
      </c>
      <c r="D644" t="s">
        <v>24</v>
      </c>
      <c r="E644" t="s">
        <v>25</v>
      </c>
      <c r="F644" t="s">
        <v>26</v>
      </c>
      <c r="G644" t="s">
        <v>37</v>
      </c>
      <c r="H644" t="s">
        <v>104</v>
      </c>
      <c r="I644" t="s">
        <v>65</v>
      </c>
      <c r="J644" s="2">
        <v>4</v>
      </c>
      <c r="K644" s="3">
        <v>301.42</v>
      </c>
      <c r="L644" s="3">
        <v>140.77000000000001</v>
      </c>
      <c r="M644" s="4">
        <v>5.4300000000000001E-2</v>
      </c>
      <c r="N644" s="3">
        <f t="shared" si="50"/>
        <v>1205.68</v>
      </c>
      <c r="O644" s="3">
        <f t="shared" si="51"/>
        <v>1140.21</v>
      </c>
      <c r="P644" s="3">
        <f t="shared" si="52"/>
        <v>563.08000000000004</v>
      </c>
      <c r="Q644" s="3">
        <f t="shared" si="53"/>
        <v>577.13</v>
      </c>
      <c r="R644" s="4">
        <f t="shared" si="54"/>
        <v>0.50619999999999998</v>
      </c>
      <c r="S644" s="2">
        <v>4</v>
      </c>
      <c r="T644" t="s">
        <v>46</v>
      </c>
      <c r="U644">
        <v>2</v>
      </c>
    </row>
    <row r="645" spans="1:21" x14ac:dyDescent="0.25">
      <c r="A645" s="1">
        <v>46107</v>
      </c>
      <c r="B645" t="s">
        <v>841</v>
      </c>
      <c r="C645" t="s">
        <v>150</v>
      </c>
      <c r="D645" t="s">
        <v>71</v>
      </c>
      <c r="E645" t="s">
        <v>72</v>
      </c>
      <c r="F645" t="s">
        <v>26</v>
      </c>
      <c r="G645" t="s">
        <v>27</v>
      </c>
      <c r="H645" t="s">
        <v>68</v>
      </c>
      <c r="I645" t="s">
        <v>77</v>
      </c>
      <c r="J645" s="2">
        <v>6</v>
      </c>
      <c r="K645" s="3">
        <v>1228.46</v>
      </c>
      <c r="L645" s="3">
        <v>826.69</v>
      </c>
      <c r="M645" s="4">
        <v>0</v>
      </c>
      <c r="N645" s="3">
        <f t="shared" si="50"/>
        <v>7370.76</v>
      </c>
      <c r="O645" s="3">
        <f t="shared" si="51"/>
        <v>7370.76</v>
      </c>
      <c r="P645" s="3">
        <f t="shared" si="52"/>
        <v>4960.1400000000003</v>
      </c>
      <c r="Q645" s="3">
        <f t="shared" si="53"/>
        <v>2410.62</v>
      </c>
      <c r="R645" s="4">
        <f t="shared" si="54"/>
        <v>0.3271</v>
      </c>
      <c r="S645" s="2">
        <v>6</v>
      </c>
      <c r="T645" t="s">
        <v>46</v>
      </c>
      <c r="U645">
        <v>4</v>
      </c>
    </row>
    <row r="646" spans="1:21" x14ac:dyDescent="0.25">
      <c r="A646" s="1">
        <v>46031</v>
      </c>
      <c r="B646" t="s">
        <v>842</v>
      </c>
      <c r="C646" t="s">
        <v>150</v>
      </c>
      <c r="D646" t="s">
        <v>101</v>
      </c>
      <c r="E646" t="s">
        <v>35</v>
      </c>
      <c r="F646" t="s">
        <v>64</v>
      </c>
      <c r="G646" t="s">
        <v>44</v>
      </c>
      <c r="H646" t="s">
        <v>124</v>
      </c>
      <c r="I646" t="s">
        <v>53</v>
      </c>
      <c r="J646" s="2">
        <v>8</v>
      </c>
      <c r="K646" s="3">
        <v>6210.89</v>
      </c>
      <c r="L646" s="3">
        <v>4204.5600000000004</v>
      </c>
      <c r="M646" s="4">
        <v>0</v>
      </c>
      <c r="N646" s="3">
        <f t="shared" si="50"/>
        <v>49687.12</v>
      </c>
      <c r="O646" s="3">
        <f t="shared" si="51"/>
        <v>49687.12</v>
      </c>
      <c r="P646" s="3">
        <f t="shared" si="52"/>
        <v>33636.480000000003</v>
      </c>
      <c r="Q646" s="3">
        <f t="shared" si="53"/>
        <v>16050.64</v>
      </c>
      <c r="R646" s="4">
        <f t="shared" si="54"/>
        <v>0.32300000000000001</v>
      </c>
      <c r="S646" s="2">
        <v>10</v>
      </c>
      <c r="T646" t="s">
        <v>46</v>
      </c>
      <c r="U646">
        <v>4</v>
      </c>
    </row>
    <row r="647" spans="1:21" x14ac:dyDescent="0.25">
      <c r="A647" s="1">
        <v>46126</v>
      </c>
      <c r="B647" t="s">
        <v>843</v>
      </c>
      <c r="C647" t="s">
        <v>33</v>
      </c>
      <c r="D647" t="s">
        <v>101</v>
      </c>
      <c r="E647" t="s">
        <v>35</v>
      </c>
      <c r="F647" t="s">
        <v>36</v>
      </c>
      <c r="G647" t="s">
        <v>37</v>
      </c>
      <c r="H647" t="s">
        <v>38</v>
      </c>
      <c r="I647" t="s">
        <v>60</v>
      </c>
      <c r="J647" s="2">
        <v>5</v>
      </c>
      <c r="K647" s="3">
        <v>432.81</v>
      </c>
      <c r="L647" s="3">
        <v>191.12</v>
      </c>
      <c r="M647" s="4">
        <v>2.2200000000000001E-2</v>
      </c>
      <c r="N647" s="3">
        <f t="shared" si="50"/>
        <v>2164.0500000000002</v>
      </c>
      <c r="O647" s="3">
        <f t="shared" si="51"/>
        <v>2116.0100000000002</v>
      </c>
      <c r="P647" s="3">
        <f t="shared" si="52"/>
        <v>955.6</v>
      </c>
      <c r="Q647" s="3">
        <f t="shared" si="53"/>
        <v>1160.4100000000001</v>
      </c>
      <c r="R647" s="4">
        <f t="shared" si="54"/>
        <v>0.5484</v>
      </c>
      <c r="S647" s="2">
        <v>11</v>
      </c>
      <c r="T647" t="s">
        <v>30</v>
      </c>
      <c r="U647">
        <v>2</v>
      </c>
    </row>
    <row r="648" spans="1:21" x14ac:dyDescent="0.25">
      <c r="A648" s="1">
        <v>46084</v>
      </c>
      <c r="B648" t="s">
        <v>844</v>
      </c>
      <c r="C648" t="s">
        <v>55</v>
      </c>
      <c r="D648" t="s">
        <v>121</v>
      </c>
      <c r="E648" t="s">
        <v>72</v>
      </c>
      <c r="F648" t="s">
        <v>64</v>
      </c>
      <c r="G648" t="s">
        <v>27</v>
      </c>
      <c r="H648" t="s">
        <v>68</v>
      </c>
      <c r="I648" t="s">
        <v>39</v>
      </c>
      <c r="J648" s="2">
        <v>5</v>
      </c>
      <c r="K648" s="3">
        <v>1289.55</v>
      </c>
      <c r="L648" s="3">
        <v>831.15</v>
      </c>
      <c r="M648" s="4">
        <v>7.9500000000000001E-2</v>
      </c>
      <c r="N648" s="3">
        <f t="shared" si="50"/>
        <v>6447.75</v>
      </c>
      <c r="O648" s="3">
        <f t="shared" si="51"/>
        <v>5935.15</v>
      </c>
      <c r="P648" s="3">
        <f t="shared" si="52"/>
        <v>4155.75</v>
      </c>
      <c r="Q648" s="3">
        <f t="shared" si="53"/>
        <v>1779.4</v>
      </c>
      <c r="R648" s="4">
        <f t="shared" si="54"/>
        <v>0.29980000000000001</v>
      </c>
      <c r="S648" s="2">
        <v>5</v>
      </c>
      <c r="T648" t="s">
        <v>46</v>
      </c>
      <c r="U648">
        <v>3</v>
      </c>
    </row>
    <row r="649" spans="1:21" x14ac:dyDescent="0.25">
      <c r="A649" s="1">
        <v>46104</v>
      </c>
      <c r="B649" t="s">
        <v>845</v>
      </c>
      <c r="C649" t="s">
        <v>157</v>
      </c>
      <c r="D649" t="s">
        <v>85</v>
      </c>
      <c r="E649" t="s">
        <v>50</v>
      </c>
      <c r="F649" t="s">
        <v>64</v>
      </c>
      <c r="G649" t="s">
        <v>44</v>
      </c>
      <c r="H649" t="s">
        <v>73</v>
      </c>
      <c r="I649" t="s">
        <v>65</v>
      </c>
      <c r="J649" s="2">
        <v>2</v>
      </c>
      <c r="K649" s="3">
        <v>1650.38</v>
      </c>
      <c r="L649" s="3">
        <v>1068.28</v>
      </c>
      <c r="M649" s="4">
        <v>0</v>
      </c>
      <c r="N649" s="3">
        <f t="shared" si="50"/>
        <v>3300.76</v>
      </c>
      <c r="O649" s="3">
        <f t="shared" si="51"/>
        <v>3300.76</v>
      </c>
      <c r="P649" s="3">
        <f t="shared" si="52"/>
        <v>2136.56</v>
      </c>
      <c r="Q649" s="3">
        <f t="shared" si="53"/>
        <v>1164.2</v>
      </c>
      <c r="R649" s="4">
        <f t="shared" si="54"/>
        <v>0.35270000000000001</v>
      </c>
      <c r="S649" s="2">
        <v>3</v>
      </c>
      <c r="T649" t="s">
        <v>46</v>
      </c>
      <c r="U649">
        <v>2</v>
      </c>
    </row>
    <row r="650" spans="1:21" x14ac:dyDescent="0.25">
      <c r="A650" s="1">
        <v>46062</v>
      </c>
      <c r="B650" t="s">
        <v>846</v>
      </c>
      <c r="C650" t="s">
        <v>233</v>
      </c>
      <c r="D650" t="s">
        <v>121</v>
      </c>
      <c r="E650" t="s">
        <v>72</v>
      </c>
      <c r="F650" t="s">
        <v>58</v>
      </c>
      <c r="G650" t="s">
        <v>27</v>
      </c>
      <c r="H650" t="s">
        <v>28</v>
      </c>
      <c r="I650" t="s">
        <v>60</v>
      </c>
      <c r="J650" s="2">
        <v>4</v>
      </c>
      <c r="K650" s="3">
        <v>745.67</v>
      </c>
      <c r="L650" s="3">
        <v>488.17</v>
      </c>
      <c r="M650" s="4">
        <v>3.5000000000000003E-2</v>
      </c>
      <c r="N650" s="3">
        <f t="shared" si="50"/>
        <v>2982.68</v>
      </c>
      <c r="O650" s="3">
        <f t="shared" si="51"/>
        <v>2878.29</v>
      </c>
      <c r="P650" s="3">
        <f t="shared" si="52"/>
        <v>1952.68</v>
      </c>
      <c r="Q650" s="3">
        <f t="shared" si="53"/>
        <v>925.61</v>
      </c>
      <c r="R650" s="4">
        <f t="shared" si="54"/>
        <v>0.3216</v>
      </c>
      <c r="S650" s="2">
        <v>11</v>
      </c>
      <c r="T650" t="s">
        <v>30</v>
      </c>
      <c r="U650">
        <v>5</v>
      </c>
    </row>
    <row r="651" spans="1:21" x14ac:dyDescent="0.25">
      <c r="A651" s="1">
        <v>46100</v>
      </c>
      <c r="B651" t="s">
        <v>847</v>
      </c>
      <c r="C651" t="s">
        <v>687</v>
      </c>
      <c r="D651" t="s">
        <v>85</v>
      </c>
      <c r="E651" t="s">
        <v>50</v>
      </c>
      <c r="F651" t="s">
        <v>26</v>
      </c>
      <c r="G651" t="s">
        <v>44</v>
      </c>
      <c r="H651" t="s">
        <v>73</v>
      </c>
      <c r="I651" t="s">
        <v>74</v>
      </c>
      <c r="J651" s="2">
        <v>4</v>
      </c>
      <c r="K651" s="3">
        <v>1642.11</v>
      </c>
      <c r="L651" s="3">
        <v>1117.06</v>
      </c>
      <c r="M651" s="4">
        <v>0</v>
      </c>
      <c r="N651" s="3">
        <f t="shared" si="50"/>
        <v>6568.44</v>
      </c>
      <c r="O651" s="3">
        <f t="shared" si="51"/>
        <v>6568.44</v>
      </c>
      <c r="P651" s="3">
        <f t="shared" si="52"/>
        <v>4468.24</v>
      </c>
      <c r="Q651" s="3">
        <f t="shared" si="53"/>
        <v>2100.1999999999998</v>
      </c>
      <c r="R651" s="4">
        <f t="shared" si="54"/>
        <v>0.31969999999999998</v>
      </c>
      <c r="S651" s="2">
        <v>8</v>
      </c>
      <c r="T651" t="s">
        <v>46</v>
      </c>
      <c r="U651">
        <v>2</v>
      </c>
    </row>
    <row r="652" spans="1:21" x14ac:dyDescent="0.25">
      <c r="A652" s="1">
        <v>46033</v>
      </c>
      <c r="B652" t="s">
        <v>848</v>
      </c>
      <c r="C652" t="s">
        <v>157</v>
      </c>
      <c r="D652" t="s">
        <v>139</v>
      </c>
      <c r="E652" t="s">
        <v>72</v>
      </c>
      <c r="F652" t="s">
        <v>64</v>
      </c>
      <c r="G652" t="s">
        <v>44</v>
      </c>
      <c r="H652" t="s">
        <v>45</v>
      </c>
      <c r="I652" t="s">
        <v>74</v>
      </c>
      <c r="J652" s="2">
        <v>6</v>
      </c>
      <c r="K652" s="3">
        <v>400.9</v>
      </c>
      <c r="L652" s="3">
        <v>220.38</v>
      </c>
      <c r="M652" s="4">
        <v>0</v>
      </c>
      <c r="N652" s="3">
        <f t="shared" si="50"/>
        <v>2405.4</v>
      </c>
      <c r="O652" s="3">
        <f t="shared" si="51"/>
        <v>2405.4</v>
      </c>
      <c r="P652" s="3">
        <f t="shared" si="52"/>
        <v>1322.28</v>
      </c>
      <c r="Q652" s="3">
        <f t="shared" si="53"/>
        <v>1083.1199999999999</v>
      </c>
      <c r="R652" s="4">
        <f t="shared" si="54"/>
        <v>0.45029999999999998</v>
      </c>
      <c r="S652" s="2">
        <v>12</v>
      </c>
      <c r="T652" t="s">
        <v>30</v>
      </c>
      <c r="U652">
        <v>3</v>
      </c>
    </row>
    <row r="653" spans="1:21" x14ac:dyDescent="0.25">
      <c r="A653" s="1">
        <v>46084</v>
      </c>
      <c r="B653" t="s">
        <v>849</v>
      </c>
      <c r="C653" t="s">
        <v>329</v>
      </c>
      <c r="D653" t="s">
        <v>97</v>
      </c>
      <c r="E653" t="s">
        <v>57</v>
      </c>
      <c r="F653" t="s">
        <v>58</v>
      </c>
      <c r="G653" t="s">
        <v>51</v>
      </c>
      <c r="H653" t="s">
        <v>52</v>
      </c>
      <c r="I653" t="s">
        <v>39</v>
      </c>
      <c r="J653" s="2">
        <v>1</v>
      </c>
      <c r="K653" s="3">
        <v>257.11</v>
      </c>
      <c r="L653" s="3">
        <v>115.57</v>
      </c>
      <c r="M653" s="4">
        <v>7.4899999999999994E-2</v>
      </c>
      <c r="N653" s="3">
        <f t="shared" si="50"/>
        <v>257.11</v>
      </c>
      <c r="O653" s="3">
        <f t="shared" si="51"/>
        <v>237.85</v>
      </c>
      <c r="P653" s="3">
        <f t="shared" si="52"/>
        <v>115.57</v>
      </c>
      <c r="Q653" s="3">
        <f t="shared" si="53"/>
        <v>122.28</v>
      </c>
      <c r="R653" s="4">
        <f t="shared" si="54"/>
        <v>0.5141</v>
      </c>
      <c r="S653" s="2">
        <v>4</v>
      </c>
      <c r="T653" t="s">
        <v>46</v>
      </c>
      <c r="U653">
        <v>5</v>
      </c>
    </row>
    <row r="654" spans="1:21" x14ac:dyDescent="0.25">
      <c r="A654" s="1">
        <v>46208</v>
      </c>
      <c r="B654" t="s">
        <v>850</v>
      </c>
      <c r="C654" t="s">
        <v>476</v>
      </c>
      <c r="D654" t="s">
        <v>24</v>
      </c>
      <c r="E654" t="s">
        <v>25</v>
      </c>
      <c r="F654" t="s">
        <v>64</v>
      </c>
      <c r="G654" t="s">
        <v>44</v>
      </c>
      <c r="H654" t="s">
        <v>124</v>
      </c>
      <c r="I654" t="s">
        <v>94</v>
      </c>
      <c r="J654" s="2">
        <v>6</v>
      </c>
      <c r="K654" s="3">
        <v>5683.81</v>
      </c>
      <c r="L654" s="3">
        <v>4626.53</v>
      </c>
      <c r="M654" s="4">
        <v>1.5800000000000002E-2</v>
      </c>
      <c r="N654" s="3">
        <f t="shared" si="50"/>
        <v>34102.86</v>
      </c>
      <c r="O654" s="3">
        <f t="shared" si="51"/>
        <v>33564.03</v>
      </c>
      <c r="P654" s="3">
        <f t="shared" si="52"/>
        <v>27759.18</v>
      </c>
      <c r="Q654" s="3">
        <f t="shared" si="53"/>
        <v>5804.85</v>
      </c>
      <c r="R654" s="4">
        <f t="shared" si="54"/>
        <v>0.1729</v>
      </c>
      <c r="S654" s="2">
        <v>11</v>
      </c>
      <c r="T654" t="s">
        <v>30</v>
      </c>
      <c r="U654">
        <v>4</v>
      </c>
    </row>
    <row r="655" spans="1:21" x14ac:dyDescent="0.25">
      <c r="A655" s="1">
        <v>46089</v>
      </c>
      <c r="B655" t="s">
        <v>851</v>
      </c>
      <c r="C655" t="s">
        <v>115</v>
      </c>
      <c r="D655" t="s">
        <v>101</v>
      </c>
      <c r="E655" t="s">
        <v>35</v>
      </c>
      <c r="F655" t="s">
        <v>64</v>
      </c>
      <c r="G655" t="s">
        <v>37</v>
      </c>
      <c r="H655" t="s">
        <v>178</v>
      </c>
      <c r="I655" t="s">
        <v>87</v>
      </c>
      <c r="J655" s="2">
        <v>6</v>
      </c>
      <c r="K655" s="3">
        <v>527.75</v>
      </c>
      <c r="L655" s="3">
        <v>239.56</v>
      </c>
      <c r="M655" s="4">
        <v>8.8499999999999995E-2</v>
      </c>
      <c r="N655" s="3">
        <f t="shared" si="50"/>
        <v>3166.5</v>
      </c>
      <c r="O655" s="3">
        <f t="shared" si="51"/>
        <v>2886.26</v>
      </c>
      <c r="P655" s="3">
        <f t="shared" si="52"/>
        <v>1437.36</v>
      </c>
      <c r="Q655" s="3">
        <f t="shared" si="53"/>
        <v>1448.9</v>
      </c>
      <c r="R655" s="4">
        <f t="shared" si="54"/>
        <v>0.502</v>
      </c>
      <c r="S655" s="2">
        <v>8</v>
      </c>
      <c r="T655" t="s">
        <v>46</v>
      </c>
      <c r="U655">
        <v>4</v>
      </c>
    </row>
    <row r="656" spans="1:21" x14ac:dyDescent="0.25">
      <c r="A656" s="1">
        <v>46213</v>
      </c>
      <c r="B656" t="s">
        <v>852</v>
      </c>
      <c r="C656" t="s">
        <v>456</v>
      </c>
      <c r="D656" t="s">
        <v>130</v>
      </c>
      <c r="E656" t="s">
        <v>72</v>
      </c>
      <c r="F656" t="s">
        <v>58</v>
      </c>
      <c r="G656" t="s">
        <v>37</v>
      </c>
      <c r="H656" t="s">
        <v>104</v>
      </c>
      <c r="I656" t="s">
        <v>74</v>
      </c>
      <c r="J656" s="2">
        <v>6</v>
      </c>
      <c r="K656" s="3">
        <v>312.35000000000002</v>
      </c>
      <c r="L656" s="3">
        <v>144.1</v>
      </c>
      <c r="M656" s="4">
        <v>0.14799999999999999</v>
      </c>
      <c r="N656" s="3">
        <f t="shared" si="50"/>
        <v>1874.1</v>
      </c>
      <c r="O656" s="3">
        <f t="shared" si="51"/>
        <v>1596.73</v>
      </c>
      <c r="P656" s="3">
        <f t="shared" si="52"/>
        <v>864.6</v>
      </c>
      <c r="Q656" s="3">
        <f t="shared" si="53"/>
        <v>732.13</v>
      </c>
      <c r="R656" s="4">
        <f t="shared" si="54"/>
        <v>0.45850000000000002</v>
      </c>
      <c r="S656" s="2">
        <v>2</v>
      </c>
      <c r="T656" t="s">
        <v>46</v>
      </c>
      <c r="U656">
        <v>5</v>
      </c>
    </row>
    <row r="657" spans="1:22" x14ac:dyDescent="0.25">
      <c r="A657" s="1">
        <v>46103</v>
      </c>
      <c r="B657" t="s">
        <v>853</v>
      </c>
      <c r="C657" t="s">
        <v>42</v>
      </c>
      <c r="D657" t="s">
        <v>34</v>
      </c>
      <c r="E657" t="s">
        <v>35</v>
      </c>
      <c r="F657" t="s">
        <v>64</v>
      </c>
      <c r="G657" t="s">
        <v>37</v>
      </c>
      <c r="H657" t="s">
        <v>178</v>
      </c>
      <c r="I657" t="s">
        <v>29</v>
      </c>
      <c r="J657" s="2">
        <v>1</v>
      </c>
      <c r="K657" s="3">
        <v>526.58000000000004</v>
      </c>
      <c r="L657" s="3">
        <v>249.3</v>
      </c>
      <c r="M657" s="4">
        <v>0</v>
      </c>
      <c r="N657" s="3">
        <f t="shared" si="50"/>
        <v>526.58000000000004</v>
      </c>
      <c r="O657" s="3">
        <f t="shared" si="51"/>
        <v>526.58000000000004</v>
      </c>
      <c r="P657" s="3">
        <f t="shared" si="52"/>
        <v>249.3</v>
      </c>
      <c r="Q657" s="3">
        <f t="shared" si="53"/>
        <v>277.27999999999997</v>
      </c>
      <c r="R657" s="4">
        <f t="shared" si="54"/>
        <v>0.52659999999999996</v>
      </c>
      <c r="S657" s="2">
        <v>14</v>
      </c>
      <c r="T657" t="s">
        <v>30</v>
      </c>
      <c r="U657">
        <v>5</v>
      </c>
    </row>
    <row r="658" spans="1:22" x14ac:dyDescent="0.25">
      <c r="A658" s="1">
        <v>46082</v>
      </c>
      <c r="B658" t="s">
        <v>854</v>
      </c>
      <c r="C658" t="s">
        <v>378</v>
      </c>
      <c r="D658" t="s">
        <v>49</v>
      </c>
      <c r="E658" t="s">
        <v>50</v>
      </c>
      <c r="F658" t="s">
        <v>36</v>
      </c>
      <c r="G658" t="s">
        <v>44</v>
      </c>
      <c r="H658" t="s">
        <v>45</v>
      </c>
      <c r="I658" t="s">
        <v>39</v>
      </c>
      <c r="J658" s="2">
        <v>5</v>
      </c>
      <c r="K658" s="3">
        <v>381.36</v>
      </c>
      <c r="L658" s="3">
        <v>212.17</v>
      </c>
      <c r="M658" s="4">
        <v>0</v>
      </c>
      <c r="N658" s="3">
        <f t="shared" si="50"/>
        <v>1906.8</v>
      </c>
      <c r="O658" s="3">
        <f t="shared" si="51"/>
        <v>1906.8</v>
      </c>
      <c r="P658" s="3">
        <f t="shared" si="52"/>
        <v>1060.8499999999999</v>
      </c>
      <c r="Q658" s="3">
        <f t="shared" si="53"/>
        <v>845.95</v>
      </c>
      <c r="R658" s="4">
        <f t="shared" si="54"/>
        <v>0.44359999999999999</v>
      </c>
      <c r="S658" s="2">
        <v>13</v>
      </c>
      <c r="T658" t="s">
        <v>30</v>
      </c>
      <c r="U658">
        <v>3</v>
      </c>
    </row>
    <row r="659" spans="1:22" x14ac:dyDescent="0.25">
      <c r="A659" s="1">
        <v>46198</v>
      </c>
      <c r="B659" t="s">
        <v>855</v>
      </c>
      <c r="C659" t="s">
        <v>108</v>
      </c>
      <c r="D659" t="s">
        <v>101</v>
      </c>
      <c r="E659" t="s">
        <v>35</v>
      </c>
      <c r="F659" t="s">
        <v>26</v>
      </c>
      <c r="G659" t="s">
        <v>51</v>
      </c>
      <c r="H659" t="s">
        <v>59</v>
      </c>
      <c r="I659" t="s">
        <v>77</v>
      </c>
      <c r="J659" s="2">
        <v>2</v>
      </c>
      <c r="K659" s="3">
        <v>2148.02</v>
      </c>
      <c r="L659" s="3">
        <v>1435.44</v>
      </c>
      <c r="M659" s="4">
        <v>3.2399999999999998E-2</v>
      </c>
      <c r="N659" s="3">
        <f t="shared" si="50"/>
        <v>4296.04</v>
      </c>
      <c r="O659" s="3">
        <f t="shared" si="51"/>
        <v>4156.8500000000004</v>
      </c>
      <c r="P659" s="3">
        <f t="shared" si="52"/>
        <v>2870.88</v>
      </c>
      <c r="Q659" s="3">
        <f t="shared" si="53"/>
        <v>1285.97</v>
      </c>
      <c r="R659" s="4">
        <f t="shared" si="54"/>
        <v>0.30940000000000001</v>
      </c>
      <c r="S659" s="2">
        <v>31</v>
      </c>
      <c r="T659" t="s">
        <v>30</v>
      </c>
      <c r="U659">
        <v>1</v>
      </c>
      <c r="V659" t="s">
        <v>208</v>
      </c>
    </row>
    <row r="660" spans="1:22" x14ac:dyDescent="0.25">
      <c r="A660" s="1">
        <v>46067</v>
      </c>
      <c r="B660" t="s">
        <v>856</v>
      </c>
      <c r="C660" t="s">
        <v>370</v>
      </c>
      <c r="D660" t="s">
        <v>130</v>
      </c>
      <c r="E660" t="s">
        <v>72</v>
      </c>
      <c r="F660" t="s">
        <v>26</v>
      </c>
      <c r="G660" t="s">
        <v>27</v>
      </c>
      <c r="H660" t="s">
        <v>68</v>
      </c>
      <c r="I660" t="s">
        <v>92</v>
      </c>
      <c r="J660" s="2">
        <v>8</v>
      </c>
      <c r="K660" s="3">
        <v>1316.08</v>
      </c>
      <c r="L660" s="3">
        <v>774.39</v>
      </c>
      <c r="M660" s="4">
        <v>0.1118</v>
      </c>
      <c r="N660" s="3">
        <f t="shared" si="50"/>
        <v>10528.64</v>
      </c>
      <c r="O660" s="3">
        <f t="shared" si="51"/>
        <v>9351.5400000000009</v>
      </c>
      <c r="P660" s="3">
        <f t="shared" si="52"/>
        <v>6195.12</v>
      </c>
      <c r="Q660" s="3">
        <f t="shared" si="53"/>
        <v>3156.42</v>
      </c>
      <c r="R660" s="4">
        <f t="shared" si="54"/>
        <v>0.33750000000000002</v>
      </c>
      <c r="S660" s="2">
        <v>6</v>
      </c>
      <c r="T660" t="s">
        <v>46</v>
      </c>
      <c r="U660">
        <v>2</v>
      </c>
    </row>
    <row r="661" spans="1:22" x14ac:dyDescent="0.25">
      <c r="A661" s="1">
        <v>46078</v>
      </c>
      <c r="B661" t="s">
        <v>857</v>
      </c>
      <c r="C661" t="s">
        <v>480</v>
      </c>
      <c r="D661" t="s">
        <v>85</v>
      </c>
      <c r="E661" t="s">
        <v>50</v>
      </c>
      <c r="F661" t="s">
        <v>36</v>
      </c>
      <c r="G661" t="s">
        <v>27</v>
      </c>
      <c r="H661" t="s">
        <v>86</v>
      </c>
      <c r="I661" t="s">
        <v>77</v>
      </c>
      <c r="J661" s="2">
        <v>1</v>
      </c>
      <c r="K661" s="3">
        <v>1820.64</v>
      </c>
      <c r="L661" s="3">
        <v>1214.49</v>
      </c>
      <c r="M661" s="4">
        <v>8.3000000000000001E-3</v>
      </c>
      <c r="N661" s="3">
        <f t="shared" si="50"/>
        <v>1820.64</v>
      </c>
      <c r="O661" s="3">
        <f t="shared" si="51"/>
        <v>1805.53</v>
      </c>
      <c r="P661" s="3">
        <f t="shared" si="52"/>
        <v>1214.49</v>
      </c>
      <c r="Q661" s="3">
        <f t="shared" si="53"/>
        <v>591.04</v>
      </c>
      <c r="R661" s="4">
        <f t="shared" si="54"/>
        <v>0.32729999999999998</v>
      </c>
      <c r="S661" s="2">
        <v>3</v>
      </c>
      <c r="T661" t="s">
        <v>46</v>
      </c>
      <c r="U661">
        <v>2</v>
      </c>
    </row>
    <row r="662" spans="1:22" x14ac:dyDescent="0.25">
      <c r="A662" s="1">
        <v>46111</v>
      </c>
      <c r="B662" t="s">
        <v>858</v>
      </c>
      <c r="C662" t="s">
        <v>590</v>
      </c>
      <c r="D662" t="s">
        <v>130</v>
      </c>
      <c r="E662" t="s">
        <v>72</v>
      </c>
      <c r="F662" t="s">
        <v>26</v>
      </c>
      <c r="G662" t="s">
        <v>51</v>
      </c>
      <c r="H662" t="s">
        <v>59</v>
      </c>
      <c r="I662" t="s">
        <v>53</v>
      </c>
      <c r="J662" s="2">
        <v>6</v>
      </c>
      <c r="K662" s="3">
        <v>2082.54</v>
      </c>
      <c r="L662" s="3">
        <v>1482.98</v>
      </c>
      <c r="M662" s="4">
        <v>0.13</v>
      </c>
      <c r="N662" s="3">
        <f t="shared" si="50"/>
        <v>12495.24</v>
      </c>
      <c r="O662" s="3">
        <f t="shared" si="51"/>
        <v>10870.86</v>
      </c>
      <c r="P662" s="3">
        <f t="shared" si="52"/>
        <v>8897.8799999999992</v>
      </c>
      <c r="Q662" s="3">
        <f t="shared" si="53"/>
        <v>1972.98</v>
      </c>
      <c r="R662" s="4">
        <f t="shared" si="54"/>
        <v>0.18149999999999999</v>
      </c>
      <c r="S662" s="2">
        <v>11</v>
      </c>
      <c r="T662" t="s">
        <v>30</v>
      </c>
      <c r="U662">
        <v>5</v>
      </c>
    </row>
    <row r="663" spans="1:22" x14ac:dyDescent="0.25">
      <c r="A663" s="1">
        <v>46148</v>
      </c>
      <c r="B663" t="s">
        <v>859</v>
      </c>
      <c r="C663" t="s">
        <v>216</v>
      </c>
      <c r="D663" t="s">
        <v>34</v>
      </c>
      <c r="E663" t="s">
        <v>35</v>
      </c>
      <c r="F663" t="s">
        <v>26</v>
      </c>
      <c r="G663" t="s">
        <v>44</v>
      </c>
      <c r="H663" t="s">
        <v>45</v>
      </c>
      <c r="I663" t="s">
        <v>92</v>
      </c>
      <c r="J663" s="2">
        <v>8</v>
      </c>
      <c r="K663" s="3">
        <v>396.34</v>
      </c>
      <c r="L663" s="3">
        <v>216.99</v>
      </c>
      <c r="M663" s="4">
        <v>4.9500000000000002E-2</v>
      </c>
      <c r="N663" s="3">
        <f t="shared" si="50"/>
        <v>3170.72</v>
      </c>
      <c r="O663" s="3">
        <f t="shared" si="51"/>
        <v>3013.77</v>
      </c>
      <c r="P663" s="3">
        <f t="shared" si="52"/>
        <v>1735.92</v>
      </c>
      <c r="Q663" s="3">
        <f t="shared" si="53"/>
        <v>1277.8499999999999</v>
      </c>
      <c r="R663" s="4">
        <f t="shared" si="54"/>
        <v>0.42399999999999999</v>
      </c>
      <c r="S663" s="2">
        <v>8</v>
      </c>
      <c r="T663" t="s">
        <v>46</v>
      </c>
      <c r="U663">
        <v>3</v>
      </c>
    </row>
    <row r="664" spans="1:22" x14ac:dyDescent="0.25">
      <c r="A664" s="1">
        <v>46203</v>
      </c>
      <c r="B664" t="s">
        <v>860</v>
      </c>
      <c r="C664" t="s">
        <v>251</v>
      </c>
      <c r="D664" t="s">
        <v>34</v>
      </c>
      <c r="E664" t="s">
        <v>35</v>
      </c>
      <c r="F664" t="s">
        <v>58</v>
      </c>
      <c r="G664" t="s">
        <v>44</v>
      </c>
      <c r="H664" t="s">
        <v>73</v>
      </c>
      <c r="I664" t="s">
        <v>60</v>
      </c>
      <c r="J664" s="2">
        <v>2</v>
      </c>
      <c r="K664" s="3">
        <v>1758.91</v>
      </c>
      <c r="L664" s="3">
        <v>1090.21</v>
      </c>
      <c r="M664" s="4">
        <v>5.3400000000000003E-2</v>
      </c>
      <c r="N664" s="3">
        <f t="shared" si="50"/>
        <v>3517.82</v>
      </c>
      <c r="O664" s="3">
        <f t="shared" si="51"/>
        <v>3329.97</v>
      </c>
      <c r="P664" s="3">
        <f t="shared" si="52"/>
        <v>2180.42</v>
      </c>
      <c r="Q664" s="3">
        <f t="shared" si="53"/>
        <v>1149.55</v>
      </c>
      <c r="R664" s="4">
        <f t="shared" si="54"/>
        <v>0.34520000000000001</v>
      </c>
      <c r="S664" s="2">
        <v>12</v>
      </c>
      <c r="T664" t="s">
        <v>30</v>
      </c>
      <c r="U664">
        <v>3</v>
      </c>
    </row>
    <row r="665" spans="1:22" x14ac:dyDescent="0.25">
      <c r="A665" s="1">
        <v>46031</v>
      </c>
      <c r="B665" t="s">
        <v>861</v>
      </c>
      <c r="C665" t="s">
        <v>123</v>
      </c>
      <c r="D665" t="s">
        <v>139</v>
      </c>
      <c r="E665" t="s">
        <v>72</v>
      </c>
      <c r="F665" t="s">
        <v>26</v>
      </c>
      <c r="G665" t="s">
        <v>51</v>
      </c>
      <c r="H665" t="s">
        <v>59</v>
      </c>
      <c r="I665" t="s">
        <v>77</v>
      </c>
      <c r="J665" s="2">
        <v>5</v>
      </c>
      <c r="K665" s="3">
        <v>2165.02</v>
      </c>
      <c r="L665" s="3">
        <v>1504.13</v>
      </c>
      <c r="M665" s="4">
        <v>5.6399999999999999E-2</v>
      </c>
      <c r="N665" s="3">
        <f t="shared" si="50"/>
        <v>10825.1</v>
      </c>
      <c r="O665" s="3">
        <f t="shared" si="51"/>
        <v>10214.56</v>
      </c>
      <c r="P665" s="3">
        <f t="shared" si="52"/>
        <v>7520.65</v>
      </c>
      <c r="Q665" s="3">
        <f t="shared" si="53"/>
        <v>2693.91</v>
      </c>
      <c r="R665" s="4">
        <f t="shared" si="54"/>
        <v>0.26369999999999999</v>
      </c>
      <c r="S665" s="2">
        <v>13</v>
      </c>
      <c r="T665" t="s">
        <v>30</v>
      </c>
      <c r="U665">
        <v>3</v>
      </c>
    </row>
    <row r="666" spans="1:22" x14ac:dyDescent="0.25">
      <c r="A666" s="1">
        <v>46062</v>
      </c>
      <c r="B666" t="s">
        <v>862</v>
      </c>
      <c r="C666" t="s">
        <v>100</v>
      </c>
      <c r="D666" t="s">
        <v>207</v>
      </c>
      <c r="E666" t="s">
        <v>35</v>
      </c>
      <c r="F666" t="s">
        <v>58</v>
      </c>
      <c r="G666" t="s">
        <v>44</v>
      </c>
      <c r="H666" t="s">
        <v>73</v>
      </c>
      <c r="I666" t="s">
        <v>65</v>
      </c>
      <c r="J666" s="2">
        <v>7</v>
      </c>
      <c r="K666" s="3">
        <v>1779.27</v>
      </c>
      <c r="L666" s="3">
        <v>1125.83</v>
      </c>
      <c r="M666" s="4">
        <v>4.6699999999999998E-2</v>
      </c>
      <c r="N666" s="3">
        <f t="shared" si="50"/>
        <v>12454.89</v>
      </c>
      <c r="O666" s="3">
        <f t="shared" si="51"/>
        <v>11873.25</v>
      </c>
      <c r="P666" s="3">
        <f t="shared" si="52"/>
        <v>7880.81</v>
      </c>
      <c r="Q666" s="3">
        <f t="shared" si="53"/>
        <v>3992.44</v>
      </c>
      <c r="R666" s="4">
        <f t="shared" si="54"/>
        <v>0.33629999999999999</v>
      </c>
      <c r="S666" s="2">
        <v>7</v>
      </c>
      <c r="T666" t="s">
        <v>46</v>
      </c>
      <c r="U666">
        <v>5</v>
      </c>
    </row>
    <row r="667" spans="1:22" x14ac:dyDescent="0.25">
      <c r="A667" s="1">
        <v>46225</v>
      </c>
      <c r="B667" t="s">
        <v>863</v>
      </c>
      <c r="C667" t="s">
        <v>79</v>
      </c>
      <c r="D667" t="s">
        <v>97</v>
      </c>
      <c r="E667" t="s">
        <v>57</v>
      </c>
      <c r="F667" t="s">
        <v>58</v>
      </c>
      <c r="G667" t="s">
        <v>37</v>
      </c>
      <c r="H667" t="s">
        <v>104</v>
      </c>
      <c r="I667" t="s">
        <v>60</v>
      </c>
      <c r="J667" s="2">
        <v>1</v>
      </c>
      <c r="K667" s="3">
        <v>316.66000000000003</v>
      </c>
      <c r="L667" s="3">
        <v>133.79</v>
      </c>
      <c r="M667" s="4">
        <v>0.1285</v>
      </c>
      <c r="N667" s="3">
        <f t="shared" si="50"/>
        <v>316.66000000000003</v>
      </c>
      <c r="O667" s="3">
        <f t="shared" si="51"/>
        <v>275.97000000000003</v>
      </c>
      <c r="P667" s="3">
        <f t="shared" si="52"/>
        <v>133.79</v>
      </c>
      <c r="Q667" s="3">
        <f t="shared" si="53"/>
        <v>142.18</v>
      </c>
      <c r="R667" s="4">
        <f t="shared" si="54"/>
        <v>0.51519999999999999</v>
      </c>
      <c r="S667" s="2">
        <v>2</v>
      </c>
      <c r="T667" t="s">
        <v>46</v>
      </c>
      <c r="U667">
        <v>4</v>
      </c>
    </row>
    <row r="668" spans="1:22" x14ac:dyDescent="0.25">
      <c r="A668" s="1">
        <v>46166</v>
      </c>
      <c r="B668" t="s">
        <v>864</v>
      </c>
      <c r="C668" t="s">
        <v>204</v>
      </c>
      <c r="D668" t="s">
        <v>126</v>
      </c>
      <c r="E668" t="s">
        <v>57</v>
      </c>
      <c r="F668" t="s">
        <v>36</v>
      </c>
      <c r="G668" t="s">
        <v>44</v>
      </c>
      <c r="H668" t="s">
        <v>124</v>
      </c>
      <c r="I668" t="s">
        <v>77</v>
      </c>
      <c r="J668" s="2">
        <v>5</v>
      </c>
      <c r="K668" s="3">
        <v>5576.97</v>
      </c>
      <c r="L668" s="3">
        <v>4446.5200000000004</v>
      </c>
      <c r="M668" s="4">
        <v>7.3499999999999996E-2</v>
      </c>
      <c r="N668" s="3">
        <f t="shared" si="50"/>
        <v>27884.85</v>
      </c>
      <c r="O668" s="3">
        <f t="shared" si="51"/>
        <v>25835.31</v>
      </c>
      <c r="P668" s="3">
        <f t="shared" si="52"/>
        <v>22232.6</v>
      </c>
      <c r="Q668" s="3">
        <f t="shared" si="53"/>
        <v>3602.71</v>
      </c>
      <c r="R668" s="4">
        <f t="shared" si="54"/>
        <v>0.1394</v>
      </c>
      <c r="S668" s="2">
        <v>8</v>
      </c>
      <c r="T668" t="s">
        <v>46</v>
      </c>
      <c r="U668">
        <v>3</v>
      </c>
    </row>
    <row r="669" spans="1:22" x14ac:dyDescent="0.25">
      <c r="A669" s="1">
        <v>46069</v>
      </c>
      <c r="B669" t="s">
        <v>865</v>
      </c>
      <c r="C669" t="s">
        <v>91</v>
      </c>
      <c r="D669" t="s">
        <v>139</v>
      </c>
      <c r="E669" t="s">
        <v>72</v>
      </c>
      <c r="F669" t="s">
        <v>64</v>
      </c>
      <c r="G669" t="s">
        <v>37</v>
      </c>
      <c r="H669" t="s">
        <v>38</v>
      </c>
      <c r="I669" t="s">
        <v>94</v>
      </c>
      <c r="J669" s="2">
        <v>4</v>
      </c>
      <c r="K669" s="3">
        <v>447.24</v>
      </c>
      <c r="L669" s="3">
        <v>192.25</v>
      </c>
      <c r="M669" s="4">
        <v>0</v>
      </c>
      <c r="N669" s="3">
        <f t="shared" si="50"/>
        <v>1788.96</v>
      </c>
      <c r="O669" s="3">
        <f t="shared" si="51"/>
        <v>1788.96</v>
      </c>
      <c r="P669" s="3">
        <f t="shared" si="52"/>
        <v>769</v>
      </c>
      <c r="Q669" s="3">
        <f t="shared" si="53"/>
        <v>1019.96</v>
      </c>
      <c r="R669" s="4">
        <f t="shared" si="54"/>
        <v>0.57010000000000005</v>
      </c>
      <c r="S669" s="2">
        <v>4</v>
      </c>
      <c r="T669" t="s">
        <v>46</v>
      </c>
      <c r="U669">
        <v>4</v>
      </c>
    </row>
    <row r="670" spans="1:22" x14ac:dyDescent="0.25">
      <c r="A670" s="1">
        <v>46047</v>
      </c>
      <c r="B670" t="s">
        <v>866</v>
      </c>
      <c r="C670" t="s">
        <v>67</v>
      </c>
      <c r="D670" t="s">
        <v>56</v>
      </c>
      <c r="E670" t="s">
        <v>57</v>
      </c>
      <c r="F670" t="s">
        <v>26</v>
      </c>
      <c r="G670" t="s">
        <v>51</v>
      </c>
      <c r="H670" t="s">
        <v>116</v>
      </c>
      <c r="I670" t="s">
        <v>39</v>
      </c>
      <c r="J670" s="2">
        <v>3</v>
      </c>
      <c r="K670" s="3">
        <v>2944.59</v>
      </c>
      <c r="L670" s="3">
        <v>1762.45</v>
      </c>
      <c r="M670" s="4">
        <v>2.1899999999999999E-2</v>
      </c>
      <c r="N670" s="3">
        <f t="shared" si="50"/>
        <v>8833.77</v>
      </c>
      <c r="O670" s="3">
        <f t="shared" si="51"/>
        <v>8640.31</v>
      </c>
      <c r="P670" s="3">
        <f t="shared" si="52"/>
        <v>5287.35</v>
      </c>
      <c r="Q670" s="3">
        <f t="shared" si="53"/>
        <v>3352.96</v>
      </c>
      <c r="R670" s="4">
        <f t="shared" si="54"/>
        <v>0.3881</v>
      </c>
      <c r="S670" s="2">
        <v>9</v>
      </c>
      <c r="T670" t="s">
        <v>46</v>
      </c>
      <c r="U670">
        <v>5</v>
      </c>
    </row>
    <row r="671" spans="1:22" x14ac:dyDescent="0.25">
      <c r="A671" s="1">
        <v>46214</v>
      </c>
      <c r="B671" t="s">
        <v>867</v>
      </c>
      <c r="C671" t="s">
        <v>525</v>
      </c>
      <c r="D671" t="s">
        <v>24</v>
      </c>
      <c r="E671" t="s">
        <v>25</v>
      </c>
      <c r="F671" t="s">
        <v>36</v>
      </c>
      <c r="G671" t="s">
        <v>51</v>
      </c>
      <c r="H671" t="s">
        <v>59</v>
      </c>
      <c r="I671" t="s">
        <v>94</v>
      </c>
      <c r="J671" s="2">
        <v>8</v>
      </c>
      <c r="K671" s="3">
        <v>2282.46</v>
      </c>
      <c r="L671" s="3">
        <v>1468.8</v>
      </c>
      <c r="M671" s="4">
        <v>8.2299999999999998E-2</v>
      </c>
      <c r="N671" s="3">
        <f t="shared" si="50"/>
        <v>18259.68</v>
      </c>
      <c r="O671" s="3">
        <f t="shared" si="51"/>
        <v>16756.91</v>
      </c>
      <c r="P671" s="3">
        <f t="shared" si="52"/>
        <v>11750.4</v>
      </c>
      <c r="Q671" s="3">
        <f t="shared" si="53"/>
        <v>5006.51</v>
      </c>
      <c r="R671" s="4">
        <f t="shared" si="54"/>
        <v>0.29880000000000001</v>
      </c>
      <c r="S671" s="2">
        <v>10</v>
      </c>
      <c r="T671" t="s">
        <v>46</v>
      </c>
      <c r="U671">
        <v>5</v>
      </c>
    </row>
    <row r="672" spans="1:22" x14ac:dyDescent="0.25">
      <c r="A672" s="1">
        <v>46207</v>
      </c>
      <c r="B672" t="s">
        <v>868</v>
      </c>
      <c r="C672" t="s">
        <v>233</v>
      </c>
      <c r="D672" t="s">
        <v>139</v>
      </c>
      <c r="E672" t="s">
        <v>72</v>
      </c>
      <c r="F672" t="s">
        <v>64</v>
      </c>
      <c r="G672" t="s">
        <v>44</v>
      </c>
      <c r="H672" t="s">
        <v>45</v>
      </c>
      <c r="I672" t="s">
        <v>74</v>
      </c>
      <c r="J672" s="2">
        <v>3</v>
      </c>
      <c r="K672" s="3">
        <v>385.25</v>
      </c>
      <c r="L672" s="3">
        <v>222.24</v>
      </c>
      <c r="M672" s="4">
        <v>7.0999999999999994E-2</v>
      </c>
      <c r="N672" s="3">
        <f t="shared" si="50"/>
        <v>1155.75</v>
      </c>
      <c r="O672" s="3">
        <f t="shared" si="51"/>
        <v>1073.69</v>
      </c>
      <c r="P672" s="3">
        <f t="shared" si="52"/>
        <v>666.72</v>
      </c>
      <c r="Q672" s="3">
        <f t="shared" si="53"/>
        <v>406.97</v>
      </c>
      <c r="R672" s="4">
        <f t="shared" si="54"/>
        <v>0.379</v>
      </c>
      <c r="S672" s="2">
        <v>8</v>
      </c>
      <c r="T672" t="s">
        <v>46</v>
      </c>
      <c r="U672">
        <v>3</v>
      </c>
    </row>
    <row r="673" spans="1:21" x14ac:dyDescent="0.25">
      <c r="A673" s="1">
        <v>46214</v>
      </c>
      <c r="B673" t="s">
        <v>869</v>
      </c>
      <c r="C673" t="s">
        <v>118</v>
      </c>
      <c r="D673" t="s">
        <v>24</v>
      </c>
      <c r="E673" t="s">
        <v>25</v>
      </c>
      <c r="F673" t="s">
        <v>64</v>
      </c>
      <c r="G673" t="s">
        <v>51</v>
      </c>
      <c r="H673" t="s">
        <v>116</v>
      </c>
      <c r="I673" t="s">
        <v>94</v>
      </c>
      <c r="J673" s="2">
        <v>4</v>
      </c>
      <c r="K673" s="3">
        <v>2926.47</v>
      </c>
      <c r="L673" s="3">
        <v>1883.22</v>
      </c>
      <c r="M673" s="4">
        <v>0</v>
      </c>
      <c r="N673" s="3">
        <f t="shared" si="50"/>
        <v>11705.88</v>
      </c>
      <c r="O673" s="3">
        <f t="shared" si="51"/>
        <v>11705.88</v>
      </c>
      <c r="P673" s="3">
        <f t="shared" si="52"/>
        <v>7532.88</v>
      </c>
      <c r="Q673" s="3">
        <f t="shared" si="53"/>
        <v>4173</v>
      </c>
      <c r="R673" s="4">
        <f t="shared" si="54"/>
        <v>0.35649999999999998</v>
      </c>
      <c r="S673" s="2">
        <v>13</v>
      </c>
      <c r="T673" t="s">
        <v>30</v>
      </c>
      <c r="U673">
        <v>3</v>
      </c>
    </row>
    <row r="674" spans="1:21" x14ac:dyDescent="0.25">
      <c r="A674" s="1">
        <v>46095</v>
      </c>
      <c r="B674" t="s">
        <v>870</v>
      </c>
      <c r="C674" t="s">
        <v>118</v>
      </c>
      <c r="D674" t="s">
        <v>71</v>
      </c>
      <c r="E674" t="s">
        <v>72</v>
      </c>
      <c r="F674" t="s">
        <v>64</v>
      </c>
      <c r="G674" t="s">
        <v>37</v>
      </c>
      <c r="H674" t="s">
        <v>38</v>
      </c>
      <c r="I674" t="s">
        <v>74</v>
      </c>
      <c r="J674" s="2">
        <v>2</v>
      </c>
      <c r="K674" s="3">
        <v>413.57</v>
      </c>
      <c r="L674" s="3">
        <v>193.34</v>
      </c>
      <c r="M674" s="4">
        <v>0</v>
      </c>
      <c r="N674" s="3">
        <f t="shared" si="50"/>
        <v>827.14</v>
      </c>
      <c r="O674" s="3">
        <f t="shared" si="51"/>
        <v>827.14</v>
      </c>
      <c r="P674" s="3">
        <f t="shared" si="52"/>
        <v>386.68</v>
      </c>
      <c r="Q674" s="3">
        <f t="shared" si="53"/>
        <v>440.46</v>
      </c>
      <c r="R674" s="4">
        <f t="shared" si="54"/>
        <v>0.53249999999999997</v>
      </c>
      <c r="S674" s="2">
        <v>14</v>
      </c>
      <c r="T674" t="s">
        <v>30</v>
      </c>
      <c r="U674">
        <v>5</v>
      </c>
    </row>
    <row r="675" spans="1:21" x14ac:dyDescent="0.25">
      <c r="A675" s="1">
        <v>46120</v>
      </c>
      <c r="B675" t="s">
        <v>871</v>
      </c>
      <c r="C675" t="s">
        <v>370</v>
      </c>
      <c r="D675" t="s">
        <v>126</v>
      </c>
      <c r="E675" t="s">
        <v>57</v>
      </c>
      <c r="F675" t="s">
        <v>36</v>
      </c>
      <c r="G675" t="s">
        <v>51</v>
      </c>
      <c r="H675" t="s">
        <v>116</v>
      </c>
      <c r="I675" t="s">
        <v>77</v>
      </c>
      <c r="J675" s="2">
        <v>5</v>
      </c>
      <c r="K675" s="3">
        <v>2812.25</v>
      </c>
      <c r="L675" s="3">
        <v>1852.45</v>
      </c>
      <c r="M675" s="4">
        <v>5.1900000000000002E-2</v>
      </c>
      <c r="N675" s="3">
        <f t="shared" si="50"/>
        <v>14061.25</v>
      </c>
      <c r="O675" s="3">
        <f t="shared" si="51"/>
        <v>13331.47</v>
      </c>
      <c r="P675" s="3">
        <f t="shared" si="52"/>
        <v>9262.25</v>
      </c>
      <c r="Q675" s="3">
        <f t="shared" si="53"/>
        <v>4069.22</v>
      </c>
      <c r="R675" s="4">
        <f t="shared" si="54"/>
        <v>0.30520000000000003</v>
      </c>
      <c r="S675" s="2">
        <v>8</v>
      </c>
      <c r="T675" t="s">
        <v>46</v>
      </c>
      <c r="U675">
        <v>2</v>
      </c>
    </row>
    <row r="676" spans="1:21" x14ac:dyDescent="0.25">
      <c r="A676" s="1">
        <v>46106</v>
      </c>
      <c r="B676" t="s">
        <v>872</v>
      </c>
      <c r="C676" t="s">
        <v>433</v>
      </c>
      <c r="D676" t="s">
        <v>56</v>
      </c>
      <c r="E676" t="s">
        <v>57</v>
      </c>
      <c r="F676" t="s">
        <v>64</v>
      </c>
      <c r="G676" t="s">
        <v>27</v>
      </c>
      <c r="H676" t="s">
        <v>28</v>
      </c>
      <c r="I676" t="s">
        <v>94</v>
      </c>
      <c r="J676" s="2">
        <v>5</v>
      </c>
      <c r="K676" s="3">
        <v>802.89</v>
      </c>
      <c r="L676" s="3">
        <v>454.71</v>
      </c>
      <c r="M676" s="4">
        <v>0.10580000000000001</v>
      </c>
      <c r="N676" s="3">
        <f t="shared" si="50"/>
        <v>4014.45</v>
      </c>
      <c r="O676" s="3">
        <f t="shared" si="51"/>
        <v>3589.72</v>
      </c>
      <c r="P676" s="3">
        <f t="shared" si="52"/>
        <v>2273.5500000000002</v>
      </c>
      <c r="Q676" s="3">
        <f t="shared" si="53"/>
        <v>1316.17</v>
      </c>
      <c r="R676" s="4">
        <f t="shared" si="54"/>
        <v>0.36659999999999998</v>
      </c>
      <c r="S676" s="2">
        <v>11</v>
      </c>
      <c r="T676" t="s">
        <v>30</v>
      </c>
      <c r="U676">
        <v>5</v>
      </c>
    </row>
    <row r="677" spans="1:21" x14ac:dyDescent="0.25">
      <c r="A677" s="1">
        <v>46151</v>
      </c>
      <c r="B677" t="s">
        <v>873</v>
      </c>
      <c r="C677" t="s">
        <v>218</v>
      </c>
      <c r="D677" t="s">
        <v>121</v>
      </c>
      <c r="E677" t="s">
        <v>72</v>
      </c>
      <c r="F677" t="s">
        <v>58</v>
      </c>
      <c r="G677" t="s">
        <v>27</v>
      </c>
      <c r="H677" t="s">
        <v>86</v>
      </c>
      <c r="I677" t="s">
        <v>77</v>
      </c>
      <c r="J677" s="2">
        <v>6</v>
      </c>
      <c r="K677" s="3">
        <v>1828.15</v>
      </c>
      <c r="L677" s="3">
        <v>1254.25</v>
      </c>
      <c r="M677" s="4">
        <v>3.5000000000000003E-2</v>
      </c>
      <c r="N677" s="3">
        <f t="shared" si="50"/>
        <v>10968.9</v>
      </c>
      <c r="O677" s="3">
        <f t="shared" si="51"/>
        <v>10584.99</v>
      </c>
      <c r="P677" s="3">
        <f t="shared" si="52"/>
        <v>7525.5</v>
      </c>
      <c r="Q677" s="3">
        <f t="shared" si="53"/>
        <v>3059.49</v>
      </c>
      <c r="R677" s="4">
        <f t="shared" si="54"/>
        <v>0.28899999999999998</v>
      </c>
      <c r="S677" s="2">
        <v>7</v>
      </c>
      <c r="T677" t="s">
        <v>46</v>
      </c>
      <c r="U677">
        <v>2</v>
      </c>
    </row>
    <row r="678" spans="1:21" x14ac:dyDescent="0.25">
      <c r="A678" s="1">
        <v>46214</v>
      </c>
      <c r="B678" t="s">
        <v>874</v>
      </c>
      <c r="C678" t="s">
        <v>447</v>
      </c>
      <c r="D678" t="s">
        <v>139</v>
      </c>
      <c r="E678" t="s">
        <v>72</v>
      </c>
      <c r="F678" t="s">
        <v>26</v>
      </c>
      <c r="G678" t="s">
        <v>37</v>
      </c>
      <c r="H678" t="s">
        <v>38</v>
      </c>
      <c r="I678" t="s">
        <v>65</v>
      </c>
      <c r="J678" s="2">
        <v>3</v>
      </c>
      <c r="K678" s="3">
        <v>443.52</v>
      </c>
      <c r="L678" s="3">
        <v>200.32</v>
      </c>
      <c r="M678" s="4">
        <v>0</v>
      </c>
      <c r="N678" s="3">
        <f t="shared" si="50"/>
        <v>1330.56</v>
      </c>
      <c r="O678" s="3">
        <f t="shared" si="51"/>
        <v>1330.56</v>
      </c>
      <c r="P678" s="3">
        <f t="shared" si="52"/>
        <v>600.96</v>
      </c>
      <c r="Q678" s="3">
        <f t="shared" si="53"/>
        <v>729.6</v>
      </c>
      <c r="R678" s="4">
        <f t="shared" si="54"/>
        <v>0.54830000000000001</v>
      </c>
      <c r="S678" s="2">
        <v>11</v>
      </c>
      <c r="T678" t="s">
        <v>30</v>
      </c>
      <c r="U678">
        <v>5</v>
      </c>
    </row>
    <row r="679" spans="1:21" x14ac:dyDescent="0.25">
      <c r="A679" s="1">
        <v>46106</v>
      </c>
      <c r="B679" t="s">
        <v>875</v>
      </c>
      <c r="C679" t="s">
        <v>48</v>
      </c>
      <c r="D679" t="s">
        <v>126</v>
      </c>
      <c r="E679" t="s">
        <v>57</v>
      </c>
      <c r="F679" t="s">
        <v>36</v>
      </c>
      <c r="G679" t="s">
        <v>27</v>
      </c>
      <c r="H679" t="s">
        <v>68</v>
      </c>
      <c r="I679" t="s">
        <v>53</v>
      </c>
      <c r="J679" s="2">
        <v>3</v>
      </c>
      <c r="K679" s="3">
        <v>1311.27</v>
      </c>
      <c r="L679" s="3">
        <v>779.66</v>
      </c>
      <c r="M679" s="4">
        <v>0.1116</v>
      </c>
      <c r="N679" s="3">
        <f t="shared" si="50"/>
        <v>3933.81</v>
      </c>
      <c r="O679" s="3">
        <f t="shared" si="51"/>
        <v>3494.8</v>
      </c>
      <c r="P679" s="3">
        <f t="shared" si="52"/>
        <v>2338.98</v>
      </c>
      <c r="Q679" s="3">
        <f t="shared" si="53"/>
        <v>1155.82</v>
      </c>
      <c r="R679" s="4">
        <f t="shared" si="54"/>
        <v>0.33069999999999999</v>
      </c>
      <c r="S679" s="2">
        <v>3</v>
      </c>
      <c r="T679" t="s">
        <v>46</v>
      </c>
      <c r="U679">
        <v>3</v>
      </c>
    </row>
    <row r="680" spans="1:21" x14ac:dyDescent="0.25">
      <c r="A680" s="1">
        <v>46027</v>
      </c>
      <c r="B680" t="s">
        <v>876</v>
      </c>
      <c r="C680" t="s">
        <v>514</v>
      </c>
      <c r="D680" t="s">
        <v>101</v>
      </c>
      <c r="E680" t="s">
        <v>35</v>
      </c>
      <c r="F680" t="s">
        <v>64</v>
      </c>
      <c r="G680" t="s">
        <v>37</v>
      </c>
      <c r="H680" t="s">
        <v>178</v>
      </c>
      <c r="I680" t="s">
        <v>92</v>
      </c>
      <c r="J680" s="2">
        <v>1</v>
      </c>
      <c r="K680" s="3">
        <v>529.44000000000005</v>
      </c>
      <c r="L680" s="3">
        <v>231.24</v>
      </c>
      <c r="M680" s="4">
        <v>5.4899999999999997E-2</v>
      </c>
      <c r="N680" s="3">
        <f t="shared" si="50"/>
        <v>529.44000000000005</v>
      </c>
      <c r="O680" s="3">
        <f t="shared" si="51"/>
        <v>500.37</v>
      </c>
      <c r="P680" s="3">
        <f t="shared" si="52"/>
        <v>231.24</v>
      </c>
      <c r="Q680" s="3">
        <f t="shared" si="53"/>
        <v>269.13</v>
      </c>
      <c r="R680" s="4">
        <f t="shared" si="54"/>
        <v>0.53790000000000004</v>
      </c>
      <c r="S680" s="2">
        <v>5</v>
      </c>
      <c r="T680" t="s">
        <v>46</v>
      </c>
      <c r="U680">
        <v>4</v>
      </c>
    </row>
    <row r="681" spans="1:21" x14ac:dyDescent="0.25">
      <c r="A681" s="1">
        <v>46148</v>
      </c>
      <c r="B681" t="s">
        <v>877</v>
      </c>
      <c r="C681" t="s">
        <v>159</v>
      </c>
      <c r="D681" t="s">
        <v>24</v>
      </c>
      <c r="E681" t="s">
        <v>25</v>
      </c>
      <c r="F681" t="s">
        <v>26</v>
      </c>
      <c r="G681" t="s">
        <v>37</v>
      </c>
      <c r="H681" t="s">
        <v>178</v>
      </c>
      <c r="I681" t="s">
        <v>77</v>
      </c>
      <c r="J681" s="2">
        <v>8</v>
      </c>
      <c r="K681" s="3">
        <v>528.83000000000004</v>
      </c>
      <c r="L681" s="3">
        <v>251.67</v>
      </c>
      <c r="M681" s="4">
        <v>0</v>
      </c>
      <c r="N681" s="3">
        <f t="shared" si="50"/>
        <v>4230.6400000000003</v>
      </c>
      <c r="O681" s="3">
        <f t="shared" si="51"/>
        <v>4230.6400000000003</v>
      </c>
      <c r="P681" s="3">
        <f t="shared" si="52"/>
        <v>2013.36</v>
      </c>
      <c r="Q681" s="3">
        <f t="shared" si="53"/>
        <v>2217.2800000000002</v>
      </c>
      <c r="R681" s="4">
        <f t="shared" si="54"/>
        <v>0.52410000000000001</v>
      </c>
      <c r="S681" s="2">
        <v>4</v>
      </c>
      <c r="T681" t="s">
        <v>46</v>
      </c>
      <c r="U681">
        <v>5</v>
      </c>
    </row>
    <row r="682" spans="1:21" x14ac:dyDescent="0.25">
      <c r="A682" s="1">
        <v>46076</v>
      </c>
      <c r="B682" t="s">
        <v>878</v>
      </c>
      <c r="C682" t="s">
        <v>55</v>
      </c>
      <c r="D682" t="s">
        <v>56</v>
      </c>
      <c r="E682" t="s">
        <v>57</v>
      </c>
      <c r="F682" t="s">
        <v>26</v>
      </c>
      <c r="G682" t="s">
        <v>27</v>
      </c>
      <c r="H682" t="s">
        <v>86</v>
      </c>
      <c r="I682" t="s">
        <v>53</v>
      </c>
      <c r="J682" s="2">
        <v>2</v>
      </c>
      <c r="K682" s="3">
        <v>1913.3</v>
      </c>
      <c r="L682" s="3">
        <v>1246.43</v>
      </c>
      <c r="M682" s="4">
        <v>3.6299999999999999E-2</v>
      </c>
      <c r="N682" s="3">
        <f t="shared" si="50"/>
        <v>3826.6</v>
      </c>
      <c r="O682" s="3">
        <f t="shared" si="51"/>
        <v>3687.69</v>
      </c>
      <c r="P682" s="3">
        <f t="shared" si="52"/>
        <v>2492.86</v>
      </c>
      <c r="Q682" s="3">
        <f t="shared" si="53"/>
        <v>1194.83</v>
      </c>
      <c r="R682" s="4">
        <f t="shared" si="54"/>
        <v>0.32400000000000001</v>
      </c>
      <c r="S682" s="2">
        <v>5</v>
      </c>
      <c r="T682" t="s">
        <v>46</v>
      </c>
      <c r="U682">
        <v>5</v>
      </c>
    </row>
    <row r="683" spans="1:21" x14ac:dyDescent="0.25">
      <c r="A683" s="1">
        <v>46035</v>
      </c>
      <c r="B683" t="s">
        <v>879</v>
      </c>
      <c r="C683" t="s">
        <v>62</v>
      </c>
      <c r="D683" t="s">
        <v>113</v>
      </c>
      <c r="E683" t="s">
        <v>50</v>
      </c>
      <c r="F683" t="s">
        <v>36</v>
      </c>
      <c r="G683" t="s">
        <v>51</v>
      </c>
      <c r="H683" t="s">
        <v>59</v>
      </c>
      <c r="I683" t="s">
        <v>29</v>
      </c>
      <c r="J683" s="2">
        <v>3</v>
      </c>
      <c r="K683" s="3">
        <v>2303.67</v>
      </c>
      <c r="L683" s="3">
        <v>1451.59</v>
      </c>
      <c r="M683" s="4">
        <v>0</v>
      </c>
      <c r="N683" s="3">
        <f t="shared" si="50"/>
        <v>6911.01</v>
      </c>
      <c r="O683" s="3">
        <f t="shared" si="51"/>
        <v>6911.01</v>
      </c>
      <c r="P683" s="3">
        <f t="shared" si="52"/>
        <v>4354.7700000000004</v>
      </c>
      <c r="Q683" s="3">
        <f t="shared" si="53"/>
        <v>2556.2399999999998</v>
      </c>
      <c r="R683" s="4">
        <f t="shared" si="54"/>
        <v>0.36990000000000001</v>
      </c>
      <c r="S683" s="2">
        <v>14</v>
      </c>
      <c r="T683" t="s">
        <v>40</v>
      </c>
    </row>
    <row r="684" spans="1:21" x14ac:dyDescent="0.25">
      <c r="A684" s="1">
        <v>46158</v>
      </c>
      <c r="B684" t="s">
        <v>880</v>
      </c>
      <c r="C684" t="s">
        <v>89</v>
      </c>
      <c r="D684" t="s">
        <v>43</v>
      </c>
      <c r="E684" t="s">
        <v>25</v>
      </c>
      <c r="F684" t="s">
        <v>58</v>
      </c>
      <c r="G684" t="s">
        <v>27</v>
      </c>
      <c r="H684" t="s">
        <v>68</v>
      </c>
      <c r="I684" t="s">
        <v>60</v>
      </c>
      <c r="J684" s="2">
        <v>3</v>
      </c>
      <c r="K684" s="3">
        <v>1303.6099999999999</v>
      </c>
      <c r="L684" s="3">
        <v>824.22</v>
      </c>
      <c r="M684" s="4">
        <v>3.5000000000000003E-2</v>
      </c>
      <c r="N684" s="3">
        <f t="shared" si="50"/>
        <v>3910.83</v>
      </c>
      <c r="O684" s="3">
        <f t="shared" si="51"/>
        <v>3773.95</v>
      </c>
      <c r="P684" s="3">
        <f t="shared" si="52"/>
        <v>2472.66</v>
      </c>
      <c r="Q684" s="3">
        <f t="shared" si="53"/>
        <v>1301.29</v>
      </c>
      <c r="R684" s="4">
        <f t="shared" si="54"/>
        <v>0.3448</v>
      </c>
      <c r="S684" s="2">
        <v>8</v>
      </c>
      <c r="T684" t="s">
        <v>46</v>
      </c>
      <c r="U684">
        <v>2</v>
      </c>
    </row>
    <row r="685" spans="1:21" x14ac:dyDescent="0.25">
      <c r="A685" s="1">
        <v>46164</v>
      </c>
      <c r="B685" t="s">
        <v>881</v>
      </c>
      <c r="C685" t="s">
        <v>195</v>
      </c>
      <c r="D685" t="s">
        <v>43</v>
      </c>
      <c r="E685" t="s">
        <v>25</v>
      </c>
      <c r="F685" t="s">
        <v>58</v>
      </c>
      <c r="G685" t="s">
        <v>27</v>
      </c>
      <c r="H685" t="s">
        <v>68</v>
      </c>
      <c r="I685" t="s">
        <v>53</v>
      </c>
      <c r="J685" s="2">
        <v>1</v>
      </c>
      <c r="K685" s="3">
        <v>1292.24</v>
      </c>
      <c r="L685" s="3">
        <v>829.64</v>
      </c>
      <c r="M685" s="4">
        <v>6.4199999999999993E-2</v>
      </c>
      <c r="N685" s="3">
        <f t="shared" si="50"/>
        <v>1292.24</v>
      </c>
      <c r="O685" s="3">
        <f t="shared" si="51"/>
        <v>1209.28</v>
      </c>
      <c r="P685" s="3">
        <f t="shared" si="52"/>
        <v>829.64</v>
      </c>
      <c r="Q685" s="3">
        <f t="shared" si="53"/>
        <v>379.64</v>
      </c>
      <c r="R685" s="4">
        <f t="shared" si="54"/>
        <v>0.31390000000000001</v>
      </c>
      <c r="S685" s="2">
        <v>6</v>
      </c>
      <c r="T685" t="s">
        <v>46</v>
      </c>
      <c r="U685">
        <v>3</v>
      </c>
    </row>
    <row r="686" spans="1:21" x14ac:dyDescent="0.25">
      <c r="A686" s="1">
        <v>46109</v>
      </c>
      <c r="B686" t="s">
        <v>882</v>
      </c>
      <c r="C686" t="s">
        <v>108</v>
      </c>
      <c r="D686" t="s">
        <v>101</v>
      </c>
      <c r="E686" t="s">
        <v>35</v>
      </c>
      <c r="F686" t="s">
        <v>36</v>
      </c>
      <c r="G686" t="s">
        <v>51</v>
      </c>
      <c r="H686" t="s">
        <v>59</v>
      </c>
      <c r="I686" t="s">
        <v>77</v>
      </c>
      <c r="J686" s="2">
        <v>5</v>
      </c>
      <c r="K686" s="3">
        <v>2104.33</v>
      </c>
      <c r="L686" s="3">
        <v>1479.34</v>
      </c>
      <c r="M686" s="4">
        <v>9.6000000000000002E-2</v>
      </c>
      <c r="N686" s="3">
        <f t="shared" si="50"/>
        <v>10521.65</v>
      </c>
      <c r="O686" s="3">
        <f t="shared" si="51"/>
        <v>9511.57</v>
      </c>
      <c r="P686" s="3">
        <f t="shared" si="52"/>
        <v>7396.7</v>
      </c>
      <c r="Q686" s="3">
        <f t="shared" si="53"/>
        <v>2114.87</v>
      </c>
      <c r="R686" s="4">
        <f t="shared" si="54"/>
        <v>0.2223</v>
      </c>
      <c r="S686" s="2">
        <v>11</v>
      </c>
      <c r="T686" t="s">
        <v>30</v>
      </c>
      <c r="U686">
        <v>3</v>
      </c>
    </row>
    <row r="687" spans="1:21" x14ac:dyDescent="0.25">
      <c r="A687" s="1">
        <v>46059</v>
      </c>
      <c r="B687" t="s">
        <v>883</v>
      </c>
      <c r="C687" t="s">
        <v>190</v>
      </c>
      <c r="D687" t="s">
        <v>130</v>
      </c>
      <c r="E687" t="s">
        <v>72</v>
      </c>
      <c r="F687" t="s">
        <v>64</v>
      </c>
      <c r="G687" t="s">
        <v>51</v>
      </c>
      <c r="H687" t="s">
        <v>59</v>
      </c>
      <c r="I687" t="s">
        <v>53</v>
      </c>
      <c r="J687" s="2">
        <v>2</v>
      </c>
      <c r="K687" s="3">
        <v>2113.09</v>
      </c>
      <c r="L687" s="3">
        <v>1516.4</v>
      </c>
      <c r="M687" s="4">
        <v>0</v>
      </c>
      <c r="N687" s="3">
        <f t="shared" si="50"/>
        <v>4226.18</v>
      </c>
      <c r="O687" s="3">
        <f t="shared" si="51"/>
        <v>4226.18</v>
      </c>
      <c r="P687" s="3">
        <f t="shared" si="52"/>
        <v>3032.8</v>
      </c>
      <c r="Q687" s="3">
        <f t="shared" si="53"/>
        <v>1193.3800000000001</v>
      </c>
      <c r="R687" s="4">
        <f t="shared" si="54"/>
        <v>0.28239999999999998</v>
      </c>
      <c r="S687" s="2">
        <v>9</v>
      </c>
      <c r="T687" t="s">
        <v>46</v>
      </c>
      <c r="U687">
        <v>4</v>
      </c>
    </row>
    <row r="688" spans="1:21" x14ac:dyDescent="0.25">
      <c r="A688" s="1">
        <v>46213</v>
      </c>
      <c r="B688" t="s">
        <v>884</v>
      </c>
      <c r="C688" t="s">
        <v>195</v>
      </c>
      <c r="D688" t="s">
        <v>139</v>
      </c>
      <c r="E688" t="s">
        <v>72</v>
      </c>
      <c r="F688" t="s">
        <v>36</v>
      </c>
      <c r="G688" t="s">
        <v>51</v>
      </c>
      <c r="H688" t="s">
        <v>52</v>
      </c>
      <c r="I688" t="s">
        <v>92</v>
      </c>
      <c r="J688" s="2">
        <v>1</v>
      </c>
      <c r="K688" s="3">
        <v>262</v>
      </c>
      <c r="L688" s="3">
        <v>119.15</v>
      </c>
      <c r="M688" s="4">
        <v>1.09E-2</v>
      </c>
      <c r="N688" s="3">
        <f t="shared" si="50"/>
        <v>262</v>
      </c>
      <c r="O688" s="3">
        <f t="shared" si="51"/>
        <v>259.14</v>
      </c>
      <c r="P688" s="3">
        <f t="shared" si="52"/>
        <v>119.15</v>
      </c>
      <c r="Q688" s="3">
        <f t="shared" si="53"/>
        <v>139.99</v>
      </c>
      <c r="R688" s="4">
        <f t="shared" si="54"/>
        <v>0.54020000000000001</v>
      </c>
      <c r="S688" s="2">
        <v>9</v>
      </c>
      <c r="T688" t="s">
        <v>46</v>
      </c>
      <c r="U688">
        <v>3</v>
      </c>
    </row>
    <row r="689" spans="1:21" x14ac:dyDescent="0.25">
      <c r="A689" s="1">
        <v>46148</v>
      </c>
      <c r="B689" t="s">
        <v>885</v>
      </c>
      <c r="C689" t="s">
        <v>321</v>
      </c>
      <c r="D689" t="s">
        <v>49</v>
      </c>
      <c r="E689" t="s">
        <v>50</v>
      </c>
      <c r="F689" t="s">
        <v>58</v>
      </c>
      <c r="G689" t="s">
        <v>27</v>
      </c>
      <c r="H689" t="s">
        <v>86</v>
      </c>
      <c r="I689" t="s">
        <v>60</v>
      </c>
      <c r="J689" s="2">
        <v>2</v>
      </c>
      <c r="K689" s="3">
        <v>1834.15</v>
      </c>
      <c r="L689" s="3">
        <v>1149.52</v>
      </c>
      <c r="M689" s="4">
        <v>6.7000000000000004E-2</v>
      </c>
      <c r="N689" s="3">
        <f t="shared" si="50"/>
        <v>3668.3</v>
      </c>
      <c r="O689" s="3">
        <f t="shared" si="51"/>
        <v>3422.52</v>
      </c>
      <c r="P689" s="3">
        <f t="shared" si="52"/>
        <v>2299.04</v>
      </c>
      <c r="Q689" s="3">
        <f t="shared" si="53"/>
        <v>1123.48</v>
      </c>
      <c r="R689" s="4">
        <f t="shared" si="54"/>
        <v>0.32829999999999998</v>
      </c>
      <c r="S689" s="2">
        <v>4</v>
      </c>
      <c r="T689" t="s">
        <v>46</v>
      </c>
      <c r="U689">
        <v>4</v>
      </c>
    </row>
    <row r="690" spans="1:21" x14ac:dyDescent="0.25">
      <c r="A690" s="1">
        <v>46169</v>
      </c>
      <c r="B690" t="s">
        <v>886</v>
      </c>
      <c r="C690" t="s">
        <v>428</v>
      </c>
      <c r="D690" t="s">
        <v>207</v>
      </c>
      <c r="E690" t="s">
        <v>35</v>
      </c>
      <c r="F690" t="s">
        <v>36</v>
      </c>
      <c r="G690" t="s">
        <v>27</v>
      </c>
      <c r="H690" t="s">
        <v>28</v>
      </c>
      <c r="I690" t="s">
        <v>60</v>
      </c>
      <c r="J690" s="2">
        <v>3</v>
      </c>
      <c r="K690" s="3">
        <v>768.68</v>
      </c>
      <c r="L690" s="3">
        <v>454.41</v>
      </c>
      <c r="M690" s="4">
        <v>7.1000000000000004E-3</v>
      </c>
      <c r="N690" s="3">
        <f t="shared" si="50"/>
        <v>2306.04</v>
      </c>
      <c r="O690" s="3">
        <f t="shared" si="51"/>
        <v>2289.67</v>
      </c>
      <c r="P690" s="3">
        <f t="shared" si="52"/>
        <v>1363.23</v>
      </c>
      <c r="Q690" s="3">
        <f t="shared" si="53"/>
        <v>926.44</v>
      </c>
      <c r="R690" s="4">
        <f t="shared" si="54"/>
        <v>0.40460000000000002</v>
      </c>
      <c r="S690" s="2">
        <v>12</v>
      </c>
      <c r="T690" t="s">
        <v>30</v>
      </c>
      <c r="U690">
        <v>5</v>
      </c>
    </row>
    <row r="691" spans="1:21" x14ac:dyDescent="0.25">
      <c r="A691" s="1">
        <v>46100</v>
      </c>
      <c r="B691" t="s">
        <v>887</v>
      </c>
      <c r="C691" t="s">
        <v>456</v>
      </c>
      <c r="D691" t="s">
        <v>97</v>
      </c>
      <c r="E691" t="s">
        <v>57</v>
      </c>
      <c r="F691" t="s">
        <v>58</v>
      </c>
      <c r="G691" t="s">
        <v>37</v>
      </c>
      <c r="H691" t="s">
        <v>104</v>
      </c>
      <c r="I691" t="s">
        <v>87</v>
      </c>
      <c r="J691" s="2">
        <v>3</v>
      </c>
      <c r="K691" s="3">
        <v>313.94</v>
      </c>
      <c r="L691" s="3">
        <v>130.41</v>
      </c>
      <c r="M691" s="4">
        <v>3.5000000000000003E-2</v>
      </c>
      <c r="N691" s="3">
        <f t="shared" si="50"/>
        <v>941.82</v>
      </c>
      <c r="O691" s="3">
        <f t="shared" si="51"/>
        <v>908.86</v>
      </c>
      <c r="P691" s="3">
        <f t="shared" si="52"/>
        <v>391.23</v>
      </c>
      <c r="Q691" s="3">
        <f t="shared" si="53"/>
        <v>517.63</v>
      </c>
      <c r="R691" s="4">
        <f t="shared" si="54"/>
        <v>0.56950000000000001</v>
      </c>
      <c r="S691" s="2">
        <v>14</v>
      </c>
      <c r="T691" t="s">
        <v>30</v>
      </c>
      <c r="U691">
        <v>4</v>
      </c>
    </row>
    <row r="692" spans="1:21" x14ac:dyDescent="0.25">
      <c r="A692" s="1">
        <v>46209</v>
      </c>
      <c r="B692" t="s">
        <v>888</v>
      </c>
      <c r="C692" t="s">
        <v>106</v>
      </c>
      <c r="D692" t="s">
        <v>49</v>
      </c>
      <c r="E692" t="s">
        <v>50</v>
      </c>
      <c r="F692" t="s">
        <v>58</v>
      </c>
      <c r="G692" t="s">
        <v>37</v>
      </c>
      <c r="H692" t="s">
        <v>178</v>
      </c>
      <c r="I692" t="s">
        <v>65</v>
      </c>
      <c r="J692" s="2">
        <v>7</v>
      </c>
      <c r="K692" s="3">
        <v>518.57000000000005</v>
      </c>
      <c r="L692" s="3">
        <v>248.13</v>
      </c>
      <c r="M692" s="4">
        <v>7.1199999999999999E-2</v>
      </c>
      <c r="N692" s="3">
        <f t="shared" si="50"/>
        <v>3629.99</v>
      </c>
      <c r="O692" s="3">
        <f t="shared" si="51"/>
        <v>3371.53</v>
      </c>
      <c r="P692" s="3">
        <f t="shared" si="52"/>
        <v>1736.91</v>
      </c>
      <c r="Q692" s="3">
        <f t="shared" si="53"/>
        <v>1634.62</v>
      </c>
      <c r="R692" s="4">
        <f t="shared" si="54"/>
        <v>0.48480000000000001</v>
      </c>
      <c r="S692" s="2">
        <v>11</v>
      </c>
      <c r="T692" t="s">
        <v>30</v>
      </c>
      <c r="U692">
        <v>4</v>
      </c>
    </row>
    <row r="693" spans="1:21" x14ac:dyDescent="0.25">
      <c r="A693" s="1">
        <v>46032</v>
      </c>
      <c r="B693" t="s">
        <v>889</v>
      </c>
      <c r="C693" t="s">
        <v>284</v>
      </c>
      <c r="D693" t="s">
        <v>24</v>
      </c>
      <c r="E693" t="s">
        <v>25</v>
      </c>
      <c r="F693" t="s">
        <v>36</v>
      </c>
      <c r="G693" t="s">
        <v>44</v>
      </c>
      <c r="H693" t="s">
        <v>73</v>
      </c>
      <c r="I693" t="s">
        <v>60</v>
      </c>
      <c r="J693" s="2">
        <v>6</v>
      </c>
      <c r="K693" s="3">
        <v>1669.76</v>
      </c>
      <c r="L693" s="3">
        <v>1159.8900000000001</v>
      </c>
      <c r="M693" s="4">
        <v>2.7099999999999999E-2</v>
      </c>
      <c r="N693" s="3">
        <f t="shared" si="50"/>
        <v>10018.56</v>
      </c>
      <c r="O693" s="3">
        <f t="shared" si="51"/>
        <v>9747.06</v>
      </c>
      <c r="P693" s="3">
        <f t="shared" si="52"/>
        <v>6959.34</v>
      </c>
      <c r="Q693" s="3">
        <f t="shared" si="53"/>
        <v>2787.72</v>
      </c>
      <c r="R693" s="4">
        <f t="shared" si="54"/>
        <v>0.28599999999999998</v>
      </c>
      <c r="S693" s="2">
        <v>12</v>
      </c>
      <c r="T693" t="s">
        <v>30</v>
      </c>
      <c r="U693">
        <v>3</v>
      </c>
    </row>
    <row r="694" spans="1:21" x14ac:dyDescent="0.25">
      <c r="A694" s="1">
        <v>46187</v>
      </c>
      <c r="B694" t="s">
        <v>890</v>
      </c>
      <c r="C694" t="s">
        <v>240</v>
      </c>
      <c r="D694" t="s">
        <v>130</v>
      </c>
      <c r="E694" t="s">
        <v>72</v>
      </c>
      <c r="F694" t="s">
        <v>36</v>
      </c>
      <c r="G694" t="s">
        <v>44</v>
      </c>
      <c r="H694" t="s">
        <v>124</v>
      </c>
      <c r="I694" t="s">
        <v>29</v>
      </c>
      <c r="J694" s="2">
        <v>8</v>
      </c>
      <c r="K694" s="3">
        <v>5739.6</v>
      </c>
      <c r="L694" s="3">
        <v>4687.68</v>
      </c>
      <c r="M694" s="4">
        <v>0</v>
      </c>
      <c r="N694" s="3">
        <f t="shared" si="50"/>
        <v>45916.800000000003</v>
      </c>
      <c r="O694" s="3">
        <f t="shared" si="51"/>
        <v>45916.800000000003</v>
      </c>
      <c r="P694" s="3">
        <f t="shared" si="52"/>
        <v>37501.440000000002</v>
      </c>
      <c r="Q694" s="3">
        <f t="shared" si="53"/>
        <v>8415.36</v>
      </c>
      <c r="R694" s="4">
        <f t="shared" si="54"/>
        <v>0.18329999999999999</v>
      </c>
      <c r="S694" s="2">
        <v>13</v>
      </c>
      <c r="T694" t="s">
        <v>30</v>
      </c>
      <c r="U694">
        <v>2</v>
      </c>
    </row>
    <row r="695" spans="1:21" x14ac:dyDescent="0.25">
      <c r="A695" s="1">
        <v>46113</v>
      </c>
      <c r="B695" t="s">
        <v>891</v>
      </c>
      <c r="C695" t="s">
        <v>247</v>
      </c>
      <c r="D695" t="s">
        <v>71</v>
      </c>
      <c r="E695" t="s">
        <v>72</v>
      </c>
      <c r="F695" t="s">
        <v>58</v>
      </c>
      <c r="G695" t="s">
        <v>51</v>
      </c>
      <c r="H695" t="s">
        <v>59</v>
      </c>
      <c r="I695" t="s">
        <v>92</v>
      </c>
      <c r="J695" s="2">
        <v>8</v>
      </c>
      <c r="K695" s="3">
        <v>2175.77</v>
      </c>
      <c r="L695" s="3">
        <v>1406.26</v>
      </c>
      <c r="M695" s="4">
        <v>0.15129999999999999</v>
      </c>
      <c r="N695" s="3">
        <f t="shared" si="50"/>
        <v>17406.16</v>
      </c>
      <c r="O695" s="3">
        <f t="shared" si="51"/>
        <v>14772.61</v>
      </c>
      <c r="P695" s="3">
        <f t="shared" si="52"/>
        <v>11250.08</v>
      </c>
      <c r="Q695" s="3">
        <f t="shared" si="53"/>
        <v>3522.53</v>
      </c>
      <c r="R695" s="4">
        <f t="shared" si="54"/>
        <v>0.23849999999999999</v>
      </c>
      <c r="S695" s="2">
        <v>5</v>
      </c>
      <c r="T695" t="s">
        <v>46</v>
      </c>
      <c r="U695">
        <v>5</v>
      </c>
    </row>
    <row r="696" spans="1:21" x14ac:dyDescent="0.25">
      <c r="A696" s="1">
        <v>46123</v>
      </c>
      <c r="B696" t="s">
        <v>892</v>
      </c>
      <c r="C696" t="s">
        <v>142</v>
      </c>
      <c r="D696" t="s">
        <v>139</v>
      </c>
      <c r="E696" t="s">
        <v>72</v>
      </c>
      <c r="F696" t="s">
        <v>64</v>
      </c>
      <c r="G696" t="s">
        <v>37</v>
      </c>
      <c r="H696" t="s">
        <v>178</v>
      </c>
      <c r="I696" t="s">
        <v>65</v>
      </c>
      <c r="J696" s="2">
        <v>3</v>
      </c>
      <c r="K696" s="3">
        <v>491.86</v>
      </c>
      <c r="L696" s="3">
        <v>246.78</v>
      </c>
      <c r="M696" s="4">
        <v>4.6199999999999998E-2</v>
      </c>
      <c r="N696" s="3">
        <f t="shared" si="50"/>
        <v>1475.58</v>
      </c>
      <c r="O696" s="3">
        <f t="shared" si="51"/>
        <v>1407.41</v>
      </c>
      <c r="P696" s="3">
        <f t="shared" si="52"/>
        <v>740.34</v>
      </c>
      <c r="Q696" s="3">
        <f t="shared" si="53"/>
        <v>667.07</v>
      </c>
      <c r="R696" s="4">
        <f t="shared" si="54"/>
        <v>0.47399999999999998</v>
      </c>
      <c r="S696" s="2">
        <v>4</v>
      </c>
      <c r="T696" t="s">
        <v>46</v>
      </c>
      <c r="U696">
        <v>4</v>
      </c>
    </row>
    <row r="697" spans="1:21" x14ac:dyDescent="0.25">
      <c r="A697" s="1">
        <v>46219</v>
      </c>
      <c r="B697" t="s">
        <v>893</v>
      </c>
      <c r="C697" t="s">
        <v>187</v>
      </c>
      <c r="D697" t="s">
        <v>113</v>
      </c>
      <c r="E697" t="s">
        <v>50</v>
      </c>
      <c r="F697" t="s">
        <v>64</v>
      </c>
      <c r="G697" t="s">
        <v>27</v>
      </c>
      <c r="H697" t="s">
        <v>86</v>
      </c>
      <c r="I697" t="s">
        <v>29</v>
      </c>
      <c r="J697" s="2">
        <v>1</v>
      </c>
      <c r="K697" s="3">
        <v>1858.72</v>
      </c>
      <c r="L697" s="3">
        <v>1206.42</v>
      </c>
      <c r="M697" s="4">
        <v>0</v>
      </c>
      <c r="N697" s="3">
        <f t="shared" si="50"/>
        <v>1858.72</v>
      </c>
      <c r="O697" s="3">
        <f t="shared" si="51"/>
        <v>1858.72</v>
      </c>
      <c r="P697" s="3">
        <f t="shared" si="52"/>
        <v>1206.42</v>
      </c>
      <c r="Q697" s="3">
        <f t="shared" si="53"/>
        <v>652.29999999999995</v>
      </c>
      <c r="R697" s="4">
        <f t="shared" si="54"/>
        <v>0.35089999999999999</v>
      </c>
      <c r="S697" s="2">
        <v>11</v>
      </c>
      <c r="T697" t="s">
        <v>30</v>
      </c>
      <c r="U697">
        <v>4</v>
      </c>
    </row>
    <row r="698" spans="1:21" x14ac:dyDescent="0.25">
      <c r="A698" s="1">
        <v>46125</v>
      </c>
      <c r="B698" t="s">
        <v>894</v>
      </c>
      <c r="C698" t="s">
        <v>375</v>
      </c>
      <c r="D698" t="s">
        <v>49</v>
      </c>
      <c r="E698" t="s">
        <v>50</v>
      </c>
      <c r="F698" t="s">
        <v>58</v>
      </c>
      <c r="G698" t="s">
        <v>27</v>
      </c>
      <c r="H698" t="s">
        <v>86</v>
      </c>
      <c r="I698" t="s">
        <v>65</v>
      </c>
      <c r="J698" s="2">
        <v>1</v>
      </c>
      <c r="K698" s="3">
        <v>1811.21</v>
      </c>
      <c r="L698" s="3">
        <v>1229.48</v>
      </c>
      <c r="M698" s="4">
        <v>0.14169999999999999</v>
      </c>
      <c r="N698" s="3">
        <f t="shared" si="50"/>
        <v>1811.21</v>
      </c>
      <c r="O698" s="3">
        <f t="shared" si="51"/>
        <v>1554.56</v>
      </c>
      <c r="P698" s="3">
        <f t="shared" si="52"/>
        <v>1229.48</v>
      </c>
      <c r="Q698" s="3">
        <f t="shared" si="53"/>
        <v>325.08</v>
      </c>
      <c r="R698" s="4">
        <f t="shared" si="54"/>
        <v>0.20910000000000001</v>
      </c>
      <c r="S698" s="2">
        <v>11</v>
      </c>
      <c r="T698" t="s">
        <v>30</v>
      </c>
      <c r="U698">
        <v>2</v>
      </c>
    </row>
    <row r="699" spans="1:21" x14ac:dyDescent="0.25">
      <c r="A699" s="1">
        <v>46084</v>
      </c>
      <c r="B699" t="s">
        <v>895</v>
      </c>
      <c r="C699" t="s">
        <v>42</v>
      </c>
      <c r="D699" t="s">
        <v>63</v>
      </c>
      <c r="E699" t="s">
        <v>35</v>
      </c>
      <c r="F699" t="s">
        <v>58</v>
      </c>
      <c r="G699" t="s">
        <v>27</v>
      </c>
      <c r="H699" t="s">
        <v>86</v>
      </c>
      <c r="I699" t="s">
        <v>87</v>
      </c>
      <c r="J699" s="2">
        <v>1</v>
      </c>
      <c r="K699" s="3">
        <v>1842.04</v>
      </c>
      <c r="L699" s="3">
        <v>1149.75</v>
      </c>
      <c r="M699" s="4">
        <v>3.5000000000000003E-2</v>
      </c>
      <c r="N699" s="3">
        <f t="shared" si="50"/>
        <v>1842.04</v>
      </c>
      <c r="O699" s="3">
        <f t="shared" si="51"/>
        <v>1777.57</v>
      </c>
      <c r="P699" s="3">
        <f t="shared" si="52"/>
        <v>1149.75</v>
      </c>
      <c r="Q699" s="3">
        <f t="shared" si="53"/>
        <v>627.82000000000005</v>
      </c>
      <c r="R699" s="4">
        <f t="shared" si="54"/>
        <v>0.35320000000000001</v>
      </c>
      <c r="S699" s="2">
        <v>8</v>
      </c>
      <c r="T699" t="s">
        <v>46</v>
      </c>
      <c r="U699">
        <v>5</v>
      </c>
    </row>
    <row r="700" spans="1:21" x14ac:dyDescent="0.25">
      <c r="A700" s="1">
        <v>46195</v>
      </c>
      <c r="B700" t="s">
        <v>896</v>
      </c>
      <c r="C700" t="s">
        <v>226</v>
      </c>
      <c r="D700" t="s">
        <v>49</v>
      </c>
      <c r="E700" t="s">
        <v>50</v>
      </c>
      <c r="F700" t="s">
        <v>36</v>
      </c>
      <c r="G700" t="s">
        <v>51</v>
      </c>
      <c r="H700" t="s">
        <v>52</v>
      </c>
      <c r="I700" t="s">
        <v>94</v>
      </c>
      <c r="J700" s="2">
        <v>6</v>
      </c>
      <c r="K700" s="3">
        <v>270.26</v>
      </c>
      <c r="L700" s="3">
        <v>118.49</v>
      </c>
      <c r="M700" s="4">
        <v>0.1075</v>
      </c>
      <c r="N700" s="3">
        <f t="shared" si="50"/>
        <v>1621.56</v>
      </c>
      <c r="O700" s="3">
        <f t="shared" si="51"/>
        <v>1447.24</v>
      </c>
      <c r="P700" s="3">
        <f t="shared" si="52"/>
        <v>710.94</v>
      </c>
      <c r="Q700" s="3">
        <f t="shared" si="53"/>
        <v>736.3</v>
      </c>
      <c r="R700" s="4">
        <f t="shared" si="54"/>
        <v>0.50880000000000003</v>
      </c>
      <c r="S700" s="2">
        <v>4</v>
      </c>
      <c r="T700" t="s">
        <v>46</v>
      </c>
      <c r="U700">
        <v>2</v>
      </c>
    </row>
    <row r="701" spans="1:21" x14ac:dyDescent="0.25">
      <c r="A701" s="1">
        <v>46131</v>
      </c>
      <c r="B701" t="s">
        <v>897</v>
      </c>
      <c r="C701" t="s">
        <v>476</v>
      </c>
      <c r="D701" t="s">
        <v>101</v>
      </c>
      <c r="E701" t="s">
        <v>35</v>
      </c>
      <c r="F701" t="s">
        <v>26</v>
      </c>
      <c r="G701" t="s">
        <v>37</v>
      </c>
      <c r="H701" t="s">
        <v>104</v>
      </c>
      <c r="I701" t="s">
        <v>29</v>
      </c>
      <c r="J701" s="2">
        <v>2</v>
      </c>
      <c r="K701" s="3">
        <v>315.48</v>
      </c>
      <c r="L701" s="3">
        <v>134.51</v>
      </c>
      <c r="M701" s="4">
        <v>0</v>
      </c>
      <c r="N701" s="3">
        <f t="shared" si="50"/>
        <v>630.96</v>
      </c>
      <c r="O701" s="3">
        <f t="shared" si="51"/>
        <v>630.96</v>
      </c>
      <c r="P701" s="3">
        <f t="shared" si="52"/>
        <v>269.02</v>
      </c>
      <c r="Q701" s="3">
        <f t="shared" si="53"/>
        <v>361.94</v>
      </c>
      <c r="R701" s="4">
        <f t="shared" si="54"/>
        <v>0.5736</v>
      </c>
      <c r="S701" s="2">
        <v>14</v>
      </c>
      <c r="T701" t="s">
        <v>30</v>
      </c>
      <c r="U701">
        <v>4</v>
      </c>
    </row>
    <row r="702" spans="1:21" x14ac:dyDescent="0.25">
      <c r="A702" s="1">
        <v>46182</v>
      </c>
      <c r="B702" t="s">
        <v>898</v>
      </c>
      <c r="C702" t="s">
        <v>23</v>
      </c>
      <c r="D702" t="s">
        <v>121</v>
      </c>
      <c r="E702" t="s">
        <v>72</v>
      </c>
      <c r="F702" t="s">
        <v>64</v>
      </c>
      <c r="G702" t="s">
        <v>44</v>
      </c>
      <c r="H702" t="s">
        <v>45</v>
      </c>
      <c r="I702" t="s">
        <v>77</v>
      </c>
      <c r="J702" s="2">
        <v>4</v>
      </c>
      <c r="K702" s="3">
        <v>405.34</v>
      </c>
      <c r="L702" s="3">
        <v>218.18</v>
      </c>
      <c r="M702" s="4">
        <v>6.9199999999999998E-2</v>
      </c>
      <c r="N702" s="3">
        <f t="shared" si="50"/>
        <v>1621.36</v>
      </c>
      <c r="O702" s="3">
        <f t="shared" si="51"/>
        <v>1509.16</v>
      </c>
      <c r="P702" s="3">
        <f t="shared" si="52"/>
        <v>872.72</v>
      </c>
      <c r="Q702" s="3">
        <f t="shared" si="53"/>
        <v>636.44000000000005</v>
      </c>
      <c r="R702" s="4">
        <f t="shared" si="54"/>
        <v>0.42170000000000002</v>
      </c>
      <c r="S702" s="2">
        <v>3</v>
      </c>
      <c r="T702" t="s">
        <v>46</v>
      </c>
      <c r="U702">
        <v>2</v>
      </c>
    </row>
    <row r="703" spans="1:21" x14ac:dyDescent="0.25">
      <c r="A703" s="1">
        <v>46191</v>
      </c>
      <c r="B703" t="s">
        <v>899</v>
      </c>
      <c r="C703" t="s">
        <v>198</v>
      </c>
      <c r="D703" t="s">
        <v>97</v>
      </c>
      <c r="E703" t="s">
        <v>57</v>
      </c>
      <c r="F703" t="s">
        <v>26</v>
      </c>
      <c r="G703" t="s">
        <v>44</v>
      </c>
      <c r="H703" t="s">
        <v>73</v>
      </c>
      <c r="I703" t="s">
        <v>60</v>
      </c>
      <c r="J703" s="2">
        <v>3</v>
      </c>
      <c r="K703" s="3">
        <v>1783.15</v>
      </c>
      <c r="L703" s="3">
        <v>1060.93</v>
      </c>
      <c r="M703" s="4">
        <v>0</v>
      </c>
      <c r="N703" s="3">
        <f t="shared" si="50"/>
        <v>5349.45</v>
      </c>
      <c r="O703" s="3">
        <f t="shared" si="51"/>
        <v>5349.45</v>
      </c>
      <c r="P703" s="3">
        <f t="shared" si="52"/>
        <v>3182.79</v>
      </c>
      <c r="Q703" s="3">
        <f t="shared" si="53"/>
        <v>2166.66</v>
      </c>
      <c r="R703" s="4">
        <f t="shared" si="54"/>
        <v>0.40500000000000003</v>
      </c>
      <c r="S703" s="2">
        <v>2</v>
      </c>
      <c r="T703" t="s">
        <v>46</v>
      </c>
      <c r="U703">
        <v>2</v>
      </c>
    </row>
    <row r="704" spans="1:21" x14ac:dyDescent="0.25">
      <c r="A704" s="1">
        <v>46111</v>
      </c>
      <c r="B704" t="s">
        <v>900</v>
      </c>
      <c r="C704" t="s">
        <v>148</v>
      </c>
      <c r="D704" t="s">
        <v>71</v>
      </c>
      <c r="E704" t="s">
        <v>72</v>
      </c>
      <c r="F704" t="s">
        <v>58</v>
      </c>
      <c r="G704" t="s">
        <v>44</v>
      </c>
      <c r="H704" t="s">
        <v>45</v>
      </c>
      <c r="I704" t="s">
        <v>39</v>
      </c>
      <c r="J704" s="2">
        <v>8</v>
      </c>
      <c r="K704" s="3">
        <v>372.01</v>
      </c>
      <c r="L704" s="3">
        <v>214.26</v>
      </c>
      <c r="M704" s="4">
        <v>3.8100000000000002E-2</v>
      </c>
      <c r="N704" s="3">
        <f t="shared" si="50"/>
        <v>2976.08</v>
      </c>
      <c r="O704" s="3">
        <f t="shared" si="51"/>
        <v>2862.69</v>
      </c>
      <c r="P704" s="3">
        <f t="shared" si="52"/>
        <v>1714.08</v>
      </c>
      <c r="Q704" s="3">
        <f t="shared" si="53"/>
        <v>1148.6099999999999</v>
      </c>
      <c r="R704" s="4">
        <f t="shared" si="54"/>
        <v>0.4012</v>
      </c>
      <c r="S704" s="2">
        <v>10</v>
      </c>
      <c r="T704" t="s">
        <v>46</v>
      </c>
      <c r="U704">
        <v>4</v>
      </c>
    </row>
    <row r="705" spans="1:21" x14ac:dyDescent="0.25">
      <c r="A705" s="1">
        <v>46216</v>
      </c>
      <c r="B705" t="s">
        <v>901</v>
      </c>
      <c r="C705" t="s">
        <v>155</v>
      </c>
      <c r="D705" t="s">
        <v>113</v>
      </c>
      <c r="E705" t="s">
        <v>50</v>
      </c>
      <c r="F705" t="s">
        <v>36</v>
      </c>
      <c r="G705" t="s">
        <v>37</v>
      </c>
      <c r="H705" t="s">
        <v>38</v>
      </c>
      <c r="I705" t="s">
        <v>77</v>
      </c>
      <c r="J705" s="2">
        <v>2</v>
      </c>
      <c r="K705" s="3">
        <v>420.94</v>
      </c>
      <c r="L705" s="3">
        <v>193.24</v>
      </c>
      <c r="M705" s="4">
        <v>0</v>
      </c>
      <c r="N705" s="3">
        <f t="shared" si="50"/>
        <v>841.88</v>
      </c>
      <c r="O705" s="3">
        <f t="shared" si="51"/>
        <v>841.88</v>
      </c>
      <c r="P705" s="3">
        <f t="shared" si="52"/>
        <v>386.48</v>
      </c>
      <c r="Q705" s="3">
        <f t="shared" si="53"/>
        <v>455.4</v>
      </c>
      <c r="R705" s="4">
        <f t="shared" si="54"/>
        <v>0.54090000000000005</v>
      </c>
      <c r="S705" s="2">
        <v>9</v>
      </c>
      <c r="T705" t="s">
        <v>46</v>
      </c>
      <c r="U705">
        <v>2</v>
      </c>
    </row>
    <row r="706" spans="1:21" x14ac:dyDescent="0.25">
      <c r="A706" s="1">
        <v>46049</v>
      </c>
      <c r="B706" t="s">
        <v>902</v>
      </c>
      <c r="C706" t="s">
        <v>103</v>
      </c>
      <c r="D706" t="s">
        <v>207</v>
      </c>
      <c r="E706" t="s">
        <v>35</v>
      </c>
      <c r="F706" t="s">
        <v>36</v>
      </c>
      <c r="G706" t="s">
        <v>27</v>
      </c>
      <c r="H706" t="s">
        <v>86</v>
      </c>
      <c r="I706" t="s">
        <v>92</v>
      </c>
      <c r="J706" s="2">
        <v>8</v>
      </c>
      <c r="K706" s="3">
        <v>1924.39</v>
      </c>
      <c r="L706" s="3">
        <v>1144.5</v>
      </c>
      <c r="M706" s="4">
        <v>0</v>
      </c>
      <c r="N706" s="3">
        <f t="shared" ref="N706:N769" si="55">ROUND(J706*K706,2)</f>
        <v>15395.12</v>
      </c>
      <c r="O706" s="3">
        <f t="shared" ref="O706:O769" si="56">ROUND(N706*(1-M706),2)</f>
        <v>15395.12</v>
      </c>
      <c r="P706" s="3">
        <f t="shared" ref="P706:P769" si="57">ROUND(J706*L706,2)</f>
        <v>9156</v>
      </c>
      <c r="Q706" s="3">
        <f t="shared" ref="Q706:Q769" si="58">ROUND(O706-P706,2)</f>
        <v>6239.12</v>
      </c>
      <c r="R706" s="4">
        <f t="shared" ref="R706:R769" si="59">IF(O706=0,0,ROUND(Q706/O706,4))</f>
        <v>0.40529999999999999</v>
      </c>
      <c r="S706" s="2">
        <v>8</v>
      </c>
      <c r="T706" t="s">
        <v>46</v>
      </c>
      <c r="U706">
        <v>5</v>
      </c>
    </row>
    <row r="707" spans="1:21" x14ac:dyDescent="0.25">
      <c r="A707" s="1">
        <v>46177</v>
      </c>
      <c r="B707" t="s">
        <v>903</v>
      </c>
      <c r="C707" t="s">
        <v>82</v>
      </c>
      <c r="D707" t="s">
        <v>34</v>
      </c>
      <c r="E707" t="s">
        <v>35</v>
      </c>
      <c r="F707" t="s">
        <v>58</v>
      </c>
      <c r="G707" t="s">
        <v>44</v>
      </c>
      <c r="H707" t="s">
        <v>124</v>
      </c>
      <c r="I707" t="s">
        <v>29</v>
      </c>
      <c r="J707" s="2">
        <v>8</v>
      </c>
      <c r="K707" s="3">
        <v>5955.7</v>
      </c>
      <c r="L707" s="3">
        <v>4500.91</v>
      </c>
      <c r="M707" s="4">
        <v>3.5000000000000003E-2</v>
      </c>
      <c r="N707" s="3">
        <f t="shared" si="55"/>
        <v>47645.599999999999</v>
      </c>
      <c r="O707" s="3">
        <f t="shared" si="56"/>
        <v>45978</v>
      </c>
      <c r="P707" s="3">
        <f t="shared" si="57"/>
        <v>36007.279999999999</v>
      </c>
      <c r="Q707" s="3">
        <f t="shared" si="58"/>
        <v>9970.7199999999993</v>
      </c>
      <c r="R707" s="4">
        <f t="shared" si="59"/>
        <v>0.21690000000000001</v>
      </c>
      <c r="S707" s="2">
        <v>3</v>
      </c>
      <c r="T707" t="s">
        <v>40</v>
      </c>
    </row>
    <row r="708" spans="1:21" x14ac:dyDescent="0.25">
      <c r="A708" s="1">
        <v>46175</v>
      </c>
      <c r="B708" t="s">
        <v>904</v>
      </c>
      <c r="C708" t="s">
        <v>157</v>
      </c>
      <c r="D708" t="s">
        <v>113</v>
      </c>
      <c r="E708" t="s">
        <v>50</v>
      </c>
      <c r="F708" t="s">
        <v>64</v>
      </c>
      <c r="G708" t="s">
        <v>51</v>
      </c>
      <c r="H708" t="s">
        <v>116</v>
      </c>
      <c r="I708" t="s">
        <v>29</v>
      </c>
      <c r="J708" s="2">
        <v>2</v>
      </c>
      <c r="K708" s="3">
        <v>2748.07</v>
      </c>
      <c r="L708" s="3">
        <v>1755.95</v>
      </c>
      <c r="M708" s="4">
        <v>0.1075</v>
      </c>
      <c r="N708" s="3">
        <f t="shared" si="55"/>
        <v>5496.14</v>
      </c>
      <c r="O708" s="3">
        <f t="shared" si="56"/>
        <v>4905.3</v>
      </c>
      <c r="P708" s="3">
        <f t="shared" si="57"/>
        <v>3511.9</v>
      </c>
      <c r="Q708" s="3">
        <f t="shared" si="58"/>
        <v>1393.4</v>
      </c>
      <c r="R708" s="4">
        <f t="shared" si="59"/>
        <v>0.28410000000000002</v>
      </c>
      <c r="S708" s="2">
        <v>6</v>
      </c>
      <c r="T708" t="s">
        <v>46</v>
      </c>
      <c r="U708">
        <v>4</v>
      </c>
    </row>
    <row r="709" spans="1:21" x14ac:dyDescent="0.25">
      <c r="A709" s="1">
        <v>46218</v>
      </c>
      <c r="B709" t="s">
        <v>905</v>
      </c>
      <c r="C709" t="s">
        <v>220</v>
      </c>
      <c r="D709" t="s">
        <v>85</v>
      </c>
      <c r="E709" t="s">
        <v>50</v>
      </c>
      <c r="F709" t="s">
        <v>64</v>
      </c>
      <c r="G709" t="s">
        <v>37</v>
      </c>
      <c r="H709" t="s">
        <v>104</v>
      </c>
      <c r="I709" t="s">
        <v>74</v>
      </c>
      <c r="J709" s="2">
        <v>6</v>
      </c>
      <c r="K709" s="3">
        <v>304.08</v>
      </c>
      <c r="L709" s="3">
        <v>139.58000000000001</v>
      </c>
      <c r="M709" s="4">
        <v>9.9500000000000005E-2</v>
      </c>
      <c r="N709" s="3">
        <f t="shared" si="55"/>
        <v>1824.48</v>
      </c>
      <c r="O709" s="3">
        <f t="shared" si="56"/>
        <v>1642.94</v>
      </c>
      <c r="P709" s="3">
        <f t="shared" si="57"/>
        <v>837.48</v>
      </c>
      <c r="Q709" s="3">
        <f t="shared" si="58"/>
        <v>805.46</v>
      </c>
      <c r="R709" s="4">
        <f t="shared" si="59"/>
        <v>0.49030000000000001</v>
      </c>
      <c r="S709" s="2">
        <v>9</v>
      </c>
      <c r="T709" t="s">
        <v>46</v>
      </c>
      <c r="U709">
        <v>3</v>
      </c>
    </row>
    <row r="710" spans="1:21" x14ac:dyDescent="0.25">
      <c r="A710" s="1">
        <v>46049</v>
      </c>
      <c r="B710" t="s">
        <v>906</v>
      </c>
      <c r="C710" t="s">
        <v>226</v>
      </c>
      <c r="D710" t="s">
        <v>207</v>
      </c>
      <c r="E710" t="s">
        <v>35</v>
      </c>
      <c r="F710" t="s">
        <v>26</v>
      </c>
      <c r="G710" t="s">
        <v>44</v>
      </c>
      <c r="H710" t="s">
        <v>45</v>
      </c>
      <c r="I710" t="s">
        <v>94</v>
      </c>
      <c r="J710" s="2">
        <v>6</v>
      </c>
      <c r="K710" s="3">
        <v>380.44</v>
      </c>
      <c r="L710" s="3">
        <v>214.39</v>
      </c>
      <c r="M710" s="4">
        <v>0.1244</v>
      </c>
      <c r="N710" s="3">
        <f t="shared" si="55"/>
        <v>2282.64</v>
      </c>
      <c r="O710" s="3">
        <f t="shared" si="56"/>
        <v>1998.68</v>
      </c>
      <c r="P710" s="3">
        <f t="shared" si="57"/>
        <v>1286.3399999999999</v>
      </c>
      <c r="Q710" s="3">
        <f t="shared" si="58"/>
        <v>712.34</v>
      </c>
      <c r="R710" s="4">
        <f t="shared" si="59"/>
        <v>0.35639999999999999</v>
      </c>
      <c r="S710" s="2">
        <v>6</v>
      </c>
      <c r="T710" t="s">
        <v>46</v>
      </c>
      <c r="U710">
        <v>3</v>
      </c>
    </row>
    <row r="711" spans="1:21" x14ac:dyDescent="0.25">
      <c r="A711" s="1">
        <v>46126</v>
      </c>
      <c r="B711" t="s">
        <v>907</v>
      </c>
      <c r="C711" t="s">
        <v>231</v>
      </c>
      <c r="D711" t="s">
        <v>121</v>
      </c>
      <c r="E711" t="s">
        <v>72</v>
      </c>
      <c r="F711" t="s">
        <v>58</v>
      </c>
      <c r="G711" t="s">
        <v>37</v>
      </c>
      <c r="H711" t="s">
        <v>38</v>
      </c>
      <c r="I711" t="s">
        <v>92</v>
      </c>
      <c r="J711" s="2">
        <v>2</v>
      </c>
      <c r="K711" s="3">
        <v>453.44</v>
      </c>
      <c r="L711" s="3">
        <v>200.97</v>
      </c>
      <c r="M711" s="4">
        <v>8.2400000000000001E-2</v>
      </c>
      <c r="N711" s="3">
        <f t="shared" si="55"/>
        <v>906.88</v>
      </c>
      <c r="O711" s="3">
        <f t="shared" si="56"/>
        <v>832.15</v>
      </c>
      <c r="P711" s="3">
        <f t="shared" si="57"/>
        <v>401.94</v>
      </c>
      <c r="Q711" s="3">
        <f t="shared" si="58"/>
        <v>430.21</v>
      </c>
      <c r="R711" s="4">
        <f t="shared" si="59"/>
        <v>0.51700000000000002</v>
      </c>
      <c r="S711" s="2">
        <v>14</v>
      </c>
      <c r="T711" t="s">
        <v>30</v>
      </c>
      <c r="U711">
        <v>5</v>
      </c>
    </row>
    <row r="712" spans="1:21" x14ac:dyDescent="0.25">
      <c r="A712" s="1">
        <v>46075</v>
      </c>
      <c r="B712" t="s">
        <v>908</v>
      </c>
      <c r="C712" t="s">
        <v>329</v>
      </c>
      <c r="D712" t="s">
        <v>139</v>
      </c>
      <c r="E712" t="s">
        <v>72</v>
      </c>
      <c r="F712" t="s">
        <v>36</v>
      </c>
      <c r="G712" t="s">
        <v>51</v>
      </c>
      <c r="H712" t="s">
        <v>116</v>
      </c>
      <c r="I712" t="s">
        <v>87</v>
      </c>
      <c r="J712" s="2">
        <v>8</v>
      </c>
      <c r="K712" s="3">
        <v>2815.59</v>
      </c>
      <c r="L712" s="3">
        <v>1823.95</v>
      </c>
      <c r="M712" s="4">
        <v>0.106</v>
      </c>
      <c r="N712" s="3">
        <f t="shared" si="55"/>
        <v>22524.720000000001</v>
      </c>
      <c r="O712" s="3">
        <f t="shared" si="56"/>
        <v>20137.099999999999</v>
      </c>
      <c r="P712" s="3">
        <f t="shared" si="57"/>
        <v>14591.6</v>
      </c>
      <c r="Q712" s="3">
        <f t="shared" si="58"/>
        <v>5545.5</v>
      </c>
      <c r="R712" s="4">
        <f t="shared" si="59"/>
        <v>0.27539999999999998</v>
      </c>
      <c r="S712" s="2">
        <v>3</v>
      </c>
      <c r="T712" t="s">
        <v>40</v>
      </c>
    </row>
    <row r="713" spans="1:21" x14ac:dyDescent="0.25">
      <c r="A713" s="1">
        <v>46062</v>
      </c>
      <c r="B713" t="s">
        <v>909</v>
      </c>
      <c r="C713" t="s">
        <v>294</v>
      </c>
      <c r="D713" t="s">
        <v>101</v>
      </c>
      <c r="E713" t="s">
        <v>35</v>
      </c>
      <c r="F713" t="s">
        <v>58</v>
      </c>
      <c r="G713" t="s">
        <v>44</v>
      </c>
      <c r="H713" t="s">
        <v>45</v>
      </c>
      <c r="I713" t="s">
        <v>77</v>
      </c>
      <c r="J713" s="2">
        <v>3</v>
      </c>
      <c r="K713" s="3">
        <v>393.2</v>
      </c>
      <c r="L713" s="3">
        <v>208.9</v>
      </c>
      <c r="M713" s="4">
        <v>9.9000000000000005E-2</v>
      </c>
      <c r="N713" s="3">
        <f t="shared" si="55"/>
        <v>1179.5999999999999</v>
      </c>
      <c r="O713" s="3">
        <f t="shared" si="56"/>
        <v>1062.82</v>
      </c>
      <c r="P713" s="3">
        <f t="shared" si="57"/>
        <v>626.70000000000005</v>
      </c>
      <c r="Q713" s="3">
        <f t="shared" si="58"/>
        <v>436.12</v>
      </c>
      <c r="R713" s="4">
        <f t="shared" si="59"/>
        <v>0.4103</v>
      </c>
      <c r="S713" s="2">
        <v>9</v>
      </c>
      <c r="T713" t="s">
        <v>46</v>
      </c>
      <c r="U713">
        <v>2</v>
      </c>
    </row>
    <row r="714" spans="1:21" x14ac:dyDescent="0.25">
      <c r="A714" s="1">
        <v>46234</v>
      </c>
      <c r="B714" t="s">
        <v>910</v>
      </c>
      <c r="C714" t="s">
        <v>112</v>
      </c>
      <c r="D714" t="s">
        <v>97</v>
      </c>
      <c r="E714" t="s">
        <v>57</v>
      </c>
      <c r="F714" t="s">
        <v>58</v>
      </c>
      <c r="G714" t="s">
        <v>37</v>
      </c>
      <c r="H714" t="s">
        <v>178</v>
      </c>
      <c r="I714" t="s">
        <v>92</v>
      </c>
      <c r="J714" s="2">
        <v>2</v>
      </c>
      <c r="K714" s="3">
        <v>535.9</v>
      </c>
      <c r="L714" s="3">
        <v>241.74</v>
      </c>
      <c r="M714" s="4">
        <v>3.5000000000000003E-2</v>
      </c>
      <c r="N714" s="3">
        <f t="shared" si="55"/>
        <v>1071.8</v>
      </c>
      <c r="O714" s="3">
        <f t="shared" si="56"/>
        <v>1034.29</v>
      </c>
      <c r="P714" s="3">
        <f t="shared" si="57"/>
        <v>483.48</v>
      </c>
      <c r="Q714" s="3">
        <f t="shared" si="58"/>
        <v>550.80999999999995</v>
      </c>
      <c r="R714" s="4">
        <f t="shared" si="59"/>
        <v>0.53249999999999997</v>
      </c>
      <c r="S714" s="2">
        <v>6</v>
      </c>
      <c r="T714" t="s">
        <v>46</v>
      </c>
      <c r="U714">
        <v>2</v>
      </c>
    </row>
    <row r="715" spans="1:21" x14ac:dyDescent="0.25">
      <c r="A715" s="1">
        <v>46234</v>
      </c>
      <c r="B715" t="s">
        <v>911</v>
      </c>
      <c r="C715" t="s">
        <v>62</v>
      </c>
      <c r="D715" t="s">
        <v>121</v>
      </c>
      <c r="E715" t="s">
        <v>72</v>
      </c>
      <c r="F715" t="s">
        <v>26</v>
      </c>
      <c r="G715" t="s">
        <v>27</v>
      </c>
      <c r="H715" t="s">
        <v>86</v>
      </c>
      <c r="I715" t="s">
        <v>39</v>
      </c>
      <c r="J715" s="2">
        <v>5</v>
      </c>
      <c r="K715" s="3">
        <v>1890.73</v>
      </c>
      <c r="L715" s="3">
        <v>1207.54</v>
      </c>
      <c r="M715" s="4">
        <v>0</v>
      </c>
      <c r="N715" s="3">
        <f t="shared" si="55"/>
        <v>9453.65</v>
      </c>
      <c r="O715" s="3">
        <f t="shared" si="56"/>
        <v>9453.65</v>
      </c>
      <c r="P715" s="3">
        <f t="shared" si="57"/>
        <v>6037.7</v>
      </c>
      <c r="Q715" s="3">
        <f t="shared" si="58"/>
        <v>3415.95</v>
      </c>
      <c r="R715" s="4">
        <f t="shared" si="59"/>
        <v>0.36130000000000001</v>
      </c>
      <c r="S715" s="2">
        <v>2</v>
      </c>
      <c r="T715" t="s">
        <v>46</v>
      </c>
      <c r="U715">
        <v>4</v>
      </c>
    </row>
    <row r="716" spans="1:21" x14ac:dyDescent="0.25">
      <c r="A716" s="1">
        <v>46129</v>
      </c>
      <c r="B716" t="s">
        <v>912</v>
      </c>
      <c r="C716" t="s">
        <v>82</v>
      </c>
      <c r="D716" t="s">
        <v>121</v>
      </c>
      <c r="E716" t="s">
        <v>72</v>
      </c>
      <c r="F716" t="s">
        <v>64</v>
      </c>
      <c r="G716" t="s">
        <v>44</v>
      </c>
      <c r="H716" t="s">
        <v>124</v>
      </c>
      <c r="I716" t="s">
        <v>74</v>
      </c>
      <c r="J716" s="2">
        <v>7</v>
      </c>
      <c r="K716" s="3">
        <v>6100.13</v>
      </c>
      <c r="L716" s="3">
        <v>4421.49</v>
      </c>
      <c r="M716" s="4">
        <v>0</v>
      </c>
      <c r="N716" s="3">
        <f t="shared" si="55"/>
        <v>42700.91</v>
      </c>
      <c r="O716" s="3">
        <f t="shared" si="56"/>
        <v>42700.91</v>
      </c>
      <c r="P716" s="3">
        <f t="shared" si="57"/>
        <v>30950.43</v>
      </c>
      <c r="Q716" s="3">
        <f t="shared" si="58"/>
        <v>11750.48</v>
      </c>
      <c r="R716" s="4">
        <f t="shared" si="59"/>
        <v>0.2752</v>
      </c>
      <c r="S716" s="2">
        <v>13</v>
      </c>
      <c r="T716" t="s">
        <v>30</v>
      </c>
      <c r="U716">
        <v>3</v>
      </c>
    </row>
    <row r="717" spans="1:21" x14ac:dyDescent="0.25">
      <c r="A717" s="1">
        <v>46050</v>
      </c>
      <c r="B717" t="s">
        <v>913</v>
      </c>
      <c r="C717" t="s">
        <v>527</v>
      </c>
      <c r="D717" t="s">
        <v>63</v>
      </c>
      <c r="E717" t="s">
        <v>35</v>
      </c>
      <c r="F717" t="s">
        <v>64</v>
      </c>
      <c r="G717" t="s">
        <v>44</v>
      </c>
      <c r="H717" t="s">
        <v>124</v>
      </c>
      <c r="I717" t="s">
        <v>92</v>
      </c>
      <c r="J717" s="2">
        <v>6</v>
      </c>
      <c r="K717" s="3">
        <v>6142.19</v>
      </c>
      <c r="L717" s="3">
        <v>4512.67</v>
      </c>
      <c r="M717" s="4">
        <v>9.0300000000000005E-2</v>
      </c>
      <c r="N717" s="3">
        <f t="shared" si="55"/>
        <v>36853.14</v>
      </c>
      <c r="O717" s="3">
        <f t="shared" si="56"/>
        <v>33525.300000000003</v>
      </c>
      <c r="P717" s="3">
        <f t="shared" si="57"/>
        <v>27076.02</v>
      </c>
      <c r="Q717" s="3">
        <f t="shared" si="58"/>
        <v>6449.28</v>
      </c>
      <c r="R717" s="4">
        <f t="shared" si="59"/>
        <v>0.19239999999999999</v>
      </c>
      <c r="S717" s="2">
        <v>5</v>
      </c>
      <c r="T717" t="s">
        <v>46</v>
      </c>
      <c r="U717">
        <v>4</v>
      </c>
    </row>
    <row r="718" spans="1:21" x14ac:dyDescent="0.25">
      <c r="A718" s="1">
        <v>46101</v>
      </c>
      <c r="B718" t="s">
        <v>914</v>
      </c>
      <c r="C718" t="s">
        <v>144</v>
      </c>
      <c r="D718" t="s">
        <v>139</v>
      </c>
      <c r="E718" t="s">
        <v>72</v>
      </c>
      <c r="F718" t="s">
        <v>26</v>
      </c>
      <c r="G718" t="s">
        <v>51</v>
      </c>
      <c r="H718" t="s">
        <v>59</v>
      </c>
      <c r="I718" t="s">
        <v>60</v>
      </c>
      <c r="J718" s="2">
        <v>5</v>
      </c>
      <c r="K718" s="3">
        <v>2316.9699999999998</v>
      </c>
      <c r="L718" s="3">
        <v>1508.96</v>
      </c>
      <c r="M718" s="4">
        <v>8.0100000000000005E-2</v>
      </c>
      <c r="N718" s="3">
        <f t="shared" si="55"/>
        <v>11584.85</v>
      </c>
      <c r="O718" s="3">
        <f t="shared" si="56"/>
        <v>10656.9</v>
      </c>
      <c r="P718" s="3">
        <f t="shared" si="57"/>
        <v>7544.8</v>
      </c>
      <c r="Q718" s="3">
        <f t="shared" si="58"/>
        <v>3112.1</v>
      </c>
      <c r="R718" s="4">
        <f t="shared" si="59"/>
        <v>0.29199999999999998</v>
      </c>
      <c r="S718" s="2">
        <v>2</v>
      </c>
      <c r="T718" t="s">
        <v>46</v>
      </c>
      <c r="U718">
        <v>3</v>
      </c>
    </row>
    <row r="719" spans="1:21" x14ac:dyDescent="0.25">
      <c r="A719" s="1">
        <v>46156</v>
      </c>
      <c r="B719" t="s">
        <v>915</v>
      </c>
      <c r="C719" t="s">
        <v>500</v>
      </c>
      <c r="D719" t="s">
        <v>71</v>
      </c>
      <c r="E719" t="s">
        <v>72</v>
      </c>
      <c r="F719" t="s">
        <v>26</v>
      </c>
      <c r="G719" t="s">
        <v>37</v>
      </c>
      <c r="H719" t="s">
        <v>104</v>
      </c>
      <c r="I719" t="s">
        <v>65</v>
      </c>
      <c r="J719" s="2">
        <v>3</v>
      </c>
      <c r="K719" s="3">
        <v>321.63</v>
      </c>
      <c r="L719" s="3">
        <v>144.12</v>
      </c>
      <c r="M719" s="4">
        <v>8.4500000000000006E-2</v>
      </c>
      <c r="N719" s="3">
        <f t="shared" si="55"/>
        <v>964.89</v>
      </c>
      <c r="O719" s="3">
        <f t="shared" si="56"/>
        <v>883.36</v>
      </c>
      <c r="P719" s="3">
        <f t="shared" si="57"/>
        <v>432.36</v>
      </c>
      <c r="Q719" s="3">
        <f t="shared" si="58"/>
        <v>451</v>
      </c>
      <c r="R719" s="4">
        <f t="shared" si="59"/>
        <v>0.51060000000000005</v>
      </c>
      <c r="S719" s="2">
        <v>4</v>
      </c>
      <c r="T719" t="s">
        <v>46</v>
      </c>
      <c r="U719">
        <v>4</v>
      </c>
    </row>
    <row r="720" spans="1:21" x14ac:dyDescent="0.25">
      <c r="A720" s="1">
        <v>46071</v>
      </c>
      <c r="B720" t="s">
        <v>916</v>
      </c>
      <c r="C720" t="s">
        <v>253</v>
      </c>
      <c r="D720" t="s">
        <v>24</v>
      </c>
      <c r="E720" t="s">
        <v>25</v>
      </c>
      <c r="F720" t="s">
        <v>36</v>
      </c>
      <c r="G720" t="s">
        <v>51</v>
      </c>
      <c r="H720" t="s">
        <v>116</v>
      </c>
      <c r="I720" t="s">
        <v>53</v>
      </c>
      <c r="J720" s="2">
        <v>8</v>
      </c>
      <c r="K720" s="3">
        <v>2853.96</v>
      </c>
      <c r="L720" s="3">
        <v>1902.59</v>
      </c>
      <c r="M720" s="4">
        <v>0</v>
      </c>
      <c r="N720" s="3">
        <f t="shared" si="55"/>
        <v>22831.68</v>
      </c>
      <c r="O720" s="3">
        <f t="shared" si="56"/>
        <v>22831.68</v>
      </c>
      <c r="P720" s="3">
        <f t="shared" si="57"/>
        <v>15220.72</v>
      </c>
      <c r="Q720" s="3">
        <f t="shared" si="58"/>
        <v>7610.96</v>
      </c>
      <c r="R720" s="4">
        <f t="shared" si="59"/>
        <v>0.33339999999999997</v>
      </c>
      <c r="S720" s="2">
        <v>11</v>
      </c>
      <c r="T720" t="s">
        <v>30</v>
      </c>
      <c r="U720">
        <v>5</v>
      </c>
    </row>
    <row r="721" spans="1:22" x14ac:dyDescent="0.25">
      <c r="A721" s="1">
        <v>46223</v>
      </c>
      <c r="B721" t="s">
        <v>917</v>
      </c>
      <c r="C721" t="s">
        <v>243</v>
      </c>
      <c r="D721" t="s">
        <v>121</v>
      </c>
      <c r="E721" t="s">
        <v>72</v>
      </c>
      <c r="F721" t="s">
        <v>58</v>
      </c>
      <c r="G721" t="s">
        <v>37</v>
      </c>
      <c r="H721" t="s">
        <v>178</v>
      </c>
      <c r="I721" t="s">
        <v>94</v>
      </c>
      <c r="J721" s="2">
        <v>2</v>
      </c>
      <c r="K721" s="3">
        <v>481.57</v>
      </c>
      <c r="L721" s="3">
        <v>247.99</v>
      </c>
      <c r="M721" s="4">
        <v>4.5600000000000002E-2</v>
      </c>
      <c r="N721" s="3">
        <f t="shared" si="55"/>
        <v>963.14</v>
      </c>
      <c r="O721" s="3">
        <f t="shared" si="56"/>
        <v>919.22</v>
      </c>
      <c r="P721" s="3">
        <f t="shared" si="57"/>
        <v>495.98</v>
      </c>
      <c r="Q721" s="3">
        <f t="shared" si="58"/>
        <v>423.24</v>
      </c>
      <c r="R721" s="4">
        <f t="shared" si="59"/>
        <v>0.46039999999999998</v>
      </c>
      <c r="S721" s="2">
        <v>4</v>
      </c>
      <c r="T721" t="s">
        <v>46</v>
      </c>
      <c r="U721">
        <v>5</v>
      </c>
    </row>
    <row r="722" spans="1:22" x14ac:dyDescent="0.25">
      <c r="A722" s="1">
        <v>46089</v>
      </c>
      <c r="B722" t="s">
        <v>918</v>
      </c>
      <c r="C722" t="s">
        <v>204</v>
      </c>
      <c r="D722" t="s">
        <v>49</v>
      </c>
      <c r="E722" t="s">
        <v>50</v>
      </c>
      <c r="F722" t="s">
        <v>58</v>
      </c>
      <c r="G722" t="s">
        <v>37</v>
      </c>
      <c r="H722" t="s">
        <v>178</v>
      </c>
      <c r="I722" t="s">
        <v>92</v>
      </c>
      <c r="J722" s="2">
        <v>5</v>
      </c>
      <c r="K722" s="3">
        <v>482.66</v>
      </c>
      <c r="L722" s="3">
        <v>240.59</v>
      </c>
      <c r="M722" s="4">
        <v>3.5000000000000003E-2</v>
      </c>
      <c r="N722" s="3">
        <f t="shared" si="55"/>
        <v>2413.3000000000002</v>
      </c>
      <c r="O722" s="3">
        <f t="shared" si="56"/>
        <v>2328.83</v>
      </c>
      <c r="P722" s="3">
        <f t="shared" si="57"/>
        <v>1202.95</v>
      </c>
      <c r="Q722" s="3">
        <f t="shared" si="58"/>
        <v>1125.8800000000001</v>
      </c>
      <c r="R722" s="4">
        <f t="shared" si="59"/>
        <v>0.48349999999999999</v>
      </c>
      <c r="S722" s="2">
        <v>11</v>
      </c>
      <c r="T722" t="s">
        <v>30</v>
      </c>
      <c r="U722">
        <v>2</v>
      </c>
    </row>
    <row r="723" spans="1:22" x14ac:dyDescent="0.25">
      <c r="A723" s="1">
        <v>46071</v>
      </c>
      <c r="B723" t="s">
        <v>919</v>
      </c>
      <c r="C723" t="s">
        <v>48</v>
      </c>
      <c r="D723" t="s">
        <v>43</v>
      </c>
      <c r="E723" t="s">
        <v>25</v>
      </c>
      <c r="F723" t="s">
        <v>36</v>
      </c>
      <c r="G723" t="s">
        <v>27</v>
      </c>
      <c r="H723" t="s">
        <v>68</v>
      </c>
      <c r="I723" t="s">
        <v>77</v>
      </c>
      <c r="J723" s="2">
        <v>6</v>
      </c>
      <c r="K723" s="3">
        <v>1244.0999999999999</v>
      </c>
      <c r="L723" s="3">
        <v>779.66</v>
      </c>
      <c r="M723" s="4">
        <v>5.5100000000000003E-2</v>
      </c>
      <c r="N723" s="3">
        <f t="shared" si="55"/>
        <v>7464.6</v>
      </c>
      <c r="O723" s="3">
        <f t="shared" si="56"/>
        <v>7053.3</v>
      </c>
      <c r="P723" s="3">
        <f t="shared" si="57"/>
        <v>4677.96</v>
      </c>
      <c r="Q723" s="3">
        <f t="shared" si="58"/>
        <v>2375.34</v>
      </c>
      <c r="R723" s="4">
        <f t="shared" si="59"/>
        <v>0.33679999999999999</v>
      </c>
      <c r="S723" s="2">
        <v>2</v>
      </c>
      <c r="T723" t="s">
        <v>46</v>
      </c>
      <c r="U723">
        <v>3</v>
      </c>
    </row>
    <row r="724" spans="1:22" x14ac:dyDescent="0.25">
      <c r="A724" s="1">
        <v>46036</v>
      </c>
      <c r="B724" t="s">
        <v>920</v>
      </c>
      <c r="C724" t="s">
        <v>204</v>
      </c>
      <c r="D724" t="s">
        <v>63</v>
      </c>
      <c r="E724" t="s">
        <v>35</v>
      </c>
      <c r="F724" t="s">
        <v>36</v>
      </c>
      <c r="G724" t="s">
        <v>51</v>
      </c>
      <c r="H724" t="s">
        <v>52</v>
      </c>
      <c r="I724" t="s">
        <v>94</v>
      </c>
      <c r="J724" s="2">
        <v>6</v>
      </c>
      <c r="K724" s="3">
        <v>254.29</v>
      </c>
      <c r="L724" s="3">
        <v>113.41</v>
      </c>
      <c r="M724" s="4">
        <v>0</v>
      </c>
      <c r="N724" s="3">
        <f t="shared" si="55"/>
        <v>1525.74</v>
      </c>
      <c r="O724" s="3">
        <f t="shared" si="56"/>
        <v>1525.74</v>
      </c>
      <c r="P724" s="3">
        <f t="shared" si="57"/>
        <v>680.46</v>
      </c>
      <c r="Q724" s="3">
        <f t="shared" si="58"/>
        <v>845.28</v>
      </c>
      <c r="R724" s="4">
        <f t="shared" si="59"/>
        <v>0.55400000000000005</v>
      </c>
      <c r="S724" s="2">
        <v>12</v>
      </c>
      <c r="T724" t="s">
        <v>30</v>
      </c>
      <c r="U724">
        <v>2</v>
      </c>
    </row>
    <row r="725" spans="1:22" x14ac:dyDescent="0.25">
      <c r="A725" s="1">
        <v>46094</v>
      </c>
      <c r="B725" t="s">
        <v>921</v>
      </c>
      <c r="C725" t="s">
        <v>297</v>
      </c>
      <c r="D725" t="s">
        <v>71</v>
      </c>
      <c r="E725" t="s">
        <v>72</v>
      </c>
      <c r="F725" t="s">
        <v>58</v>
      </c>
      <c r="G725" t="s">
        <v>37</v>
      </c>
      <c r="H725" t="s">
        <v>178</v>
      </c>
      <c r="I725" t="s">
        <v>65</v>
      </c>
      <c r="J725" s="2">
        <v>6</v>
      </c>
      <c r="K725" s="3">
        <v>529.80999999999995</v>
      </c>
      <c r="L725" s="3">
        <v>238.55</v>
      </c>
      <c r="M725" s="4">
        <v>3.5000000000000003E-2</v>
      </c>
      <c r="N725" s="3">
        <f t="shared" si="55"/>
        <v>3178.86</v>
      </c>
      <c r="O725" s="3">
        <f t="shared" si="56"/>
        <v>3067.6</v>
      </c>
      <c r="P725" s="3">
        <f t="shared" si="57"/>
        <v>1431.3</v>
      </c>
      <c r="Q725" s="3">
        <f t="shared" si="58"/>
        <v>1636.3</v>
      </c>
      <c r="R725" s="4">
        <f t="shared" si="59"/>
        <v>0.53339999999999999</v>
      </c>
      <c r="S725" s="2">
        <v>13</v>
      </c>
      <c r="T725" t="s">
        <v>30</v>
      </c>
      <c r="U725">
        <v>3</v>
      </c>
    </row>
    <row r="726" spans="1:22" x14ac:dyDescent="0.25">
      <c r="A726" s="1">
        <v>46048</v>
      </c>
      <c r="B726" t="s">
        <v>922</v>
      </c>
      <c r="C726" t="s">
        <v>138</v>
      </c>
      <c r="D726" t="s">
        <v>126</v>
      </c>
      <c r="E726" t="s">
        <v>57</v>
      </c>
      <c r="F726" t="s">
        <v>64</v>
      </c>
      <c r="G726" t="s">
        <v>44</v>
      </c>
      <c r="H726" t="s">
        <v>45</v>
      </c>
      <c r="I726" t="s">
        <v>65</v>
      </c>
      <c r="J726" s="2">
        <v>1</v>
      </c>
      <c r="K726" s="3">
        <v>391.1</v>
      </c>
      <c r="L726" s="3">
        <v>202.31</v>
      </c>
      <c r="M726" s="4">
        <v>6.1999999999999998E-3</v>
      </c>
      <c r="N726" s="3">
        <f t="shared" si="55"/>
        <v>391.1</v>
      </c>
      <c r="O726" s="3">
        <f t="shared" si="56"/>
        <v>388.68</v>
      </c>
      <c r="P726" s="3">
        <f t="shared" si="57"/>
        <v>202.31</v>
      </c>
      <c r="Q726" s="3">
        <f t="shared" si="58"/>
        <v>186.37</v>
      </c>
      <c r="R726" s="4">
        <f t="shared" si="59"/>
        <v>0.47949999999999998</v>
      </c>
      <c r="S726" s="2">
        <v>5</v>
      </c>
      <c r="T726" t="s">
        <v>46</v>
      </c>
      <c r="U726">
        <v>2</v>
      </c>
    </row>
    <row r="727" spans="1:22" x14ac:dyDescent="0.25">
      <c r="A727" s="1">
        <v>46117</v>
      </c>
      <c r="B727" t="s">
        <v>923</v>
      </c>
      <c r="C727" t="s">
        <v>315</v>
      </c>
      <c r="D727" t="s">
        <v>24</v>
      </c>
      <c r="E727" t="s">
        <v>25</v>
      </c>
      <c r="F727" t="s">
        <v>36</v>
      </c>
      <c r="G727" t="s">
        <v>27</v>
      </c>
      <c r="H727" t="s">
        <v>28</v>
      </c>
      <c r="I727" t="s">
        <v>87</v>
      </c>
      <c r="J727" s="2">
        <v>6</v>
      </c>
      <c r="K727" s="3">
        <v>743.81</v>
      </c>
      <c r="L727" s="3">
        <v>474.89</v>
      </c>
      <c r="M727" s="4">
        <v>0</v>
      </c>
      <c r="N727" s="3">
        <f t="shared" si="55"/>
        <v>4462.8599999999997</v>
      </c>
      <c r="O727" s="3">
        <f t="shared" si="56"/>
        <v>4462.8599999999997</v>
      </c>
      <c r="P727" s="3">
        <f t="shared" si="57"/>
        <v>2849.34</v>
      </c>
      <c r="Q727" s="3">
        <f t="shared" si="58"/>
        <v>1613.52</v>
      </c>
      <c r="R727" s="4">
        <f t="shared" si="59"/>
        <v>0.36149999999999999</v>
      </c>
      <c r="S727" s="2">
        <v>3</v>
      </c>
      <c r="T727" t="s">
        <v>46</v>
      </c>
      <c r="U727">
        <v>3</v>
      </c>
    </row>
    <row r="728" spans="1:22" x14ac:dyDescent="0.25">
      <c r="A728" s="1">
        <v>46025</v>
      </c>
      <c r="B728" t="s">
        <v>924</v>
      </c>
      <c r="C728" t="s">
        <v>384</v>
      </c>
      <c r="D728" t="s">
        <v>71</v>
      </c>
      <c r="E728" t="s">
        <v>72</v>
      </c>
      <c r="F728" t="s">
        <v>64</v>
      </c>
      <c r="G728" t="s">
        <v>27</v>
      </c>
      <c r="H728" t="s">
        <v>68</v>
      </c>
      <c r="I728" t="s">
        <v>29</v>
      </c>
      <c r="J728" s="2">
        <v>1</v>
      </c>
      <c r="K728" s="3">
        <v>1251.78</v>
      </c>
      <c r="L728" s="3">
        <v>794.12</v>
      </c>
      <c r="M728" s="4">
        <v>1.7500000000000002E-2</v>
      </c>
      <c r="N728" s="3">
        <f t="shared" si="55"/>
        <v>1251.78</v>
      </c>
      <c r="O728" s="3">
        <f t="shared" si="56"/>
        <v>1229.8699999999999</v>
      </c>
      <c r="P728" s="3">
        <f t="shared" si="57"/>
        <v>794.12</v>
      </c>
      <c r="Q728" s="3">
        <f t="shared" si="58"/>
        <v>435.75</v>
      </c>
      <c r="R728" s="4">
        <f t="shared" si="59"/>
        <v>0.3543</v>
      </c>
      <c r="S728" s="2">
        <v>5</v>
      </c>
      <c r="T728" t="s">
        <v>46</v>
      </c>
      <c r="U728">
        <v>5</v>
      </c>
    </row>
    <row r="729" spans="1:22" x14ac:dyDescent="0.25">
      <c r="A729" s="1">
        <v>46156</v>
      </c>
      <c r="B729" t="s">
        <v>925</v>
      </c>
      <c r="C729" t="s">
        <v>251</v>
      </c>
      <c r="D729" t="s">
        <v>139</v>
      </c>
      <c r="E729" t="s">
        <v>72</v>
      </c>
      <c r="F729" t="s">
        <v>58</v>
      </c>
      <c r="G729" t="s">
        <v>27</v>
      </c>
      <c r="H729" t="s">
        <v>28</v>
      </c>
      <c r="I729" t="s">
        <v>87</v>
      </c>
      <c r="J729" s="2">
        <v>6</v>
      </c>
      <c r="K729" s="3">
        <v>805.91</v>
      </c>
      <c r="L729" s="3">
        <v>478.08</v>
      </c>
      <c r="M729" s="4">
        <v>3.5000000000000003E-2</v>
      </c>
      <c r="N729" s="3">
        <f t="shared" si="55"/>
        <v>4835.46</v>
      </c>
      <c r="O729" s="3">
        <f t="shared" si="56"/>
        <v>4666.22</v>
      </c>
      <c r="P729" s="3">
        <f t="shared" si="57"/>
        <v>2868.48</v>
      </c>
      <c r="Q729" s="3">
        <f t="shared" si="58"/>
        <v>1797.74</v>
      </c>
      <c r="R729" s="4">
        <f t="shared" si="59"/>
        <v>0.38529999999999998</v>
      </c>
      <c r="S729" s="2">
        <v>14</v>
      </c>
      <c r="T729" t="s">
        <v>30</v>
      </c>
      <c r="U729">
        <v>4</v>
      </c>
    </row>
    <row r="730" spans="1:22" x14ac:dyDescent="0.25">
      <c r="A730" s="1">
        <v>46077</v>
      </c>
      <c r="B730" t="s">
        <v>926</v>
      </c>
      <c r="C730" t="s">
        <v>166</v>
      </c>
      <c r="D730" t="s">
        <v>56</v>
      </c>
      <c r="E730" t="s">
        <v>57</v>
      </c>
      <c r="F730" t="s">
        <v>36</v>
      </c>
      <c r="G730" t="s">
        <v>27</v>
      </c>
      <c r="H730" t="s">
        <v>68</v>
      </c>
      <c r="I730" t="s">
        <v>94</v>
      </c>
      <c r="J730" s="2">
        <v>5</v>
      </c>
      <c r="K730" s="3">
        <v>1336.37</v>
      </c>
      <c r="L730" s="3">
        <v>745.87</v>
      </c>
      <c r="M730" s="4">
        <v>0</v>
      </c>
      <c r="N730" s="3">
        <f t="shared" si="55"/>
        <v>6681.85</v>
      </c>
      <c r="O730" s="3">
        <f t="shared" si="56"/>
        <v>6681.85</v>
      </c>
      <c r="P730" s="3">
        <f t="shared" si="57"/>
        <v>3729.35</v>
      </c>
      <c r="Q730" s="3">
        <f t="shared" si="58"/>
        <v>2952.5</v>
      </c>
      <c r="R730" s="4">
        <f t="shared" si="59"/>
        <v>0.44190000000000002</v>
      </c>
      <c r="S730" s="2">
        <v>7</v>
      </c>
      <c r="T730" t="s">
        <v>46</v>
      </c>
      <c r="U730">
        <v>4</v>
      </c>
    </row>
    <row r="731" spans="1:22" x14ac:dyDescent="0.25">
      <c r="A731" s="1">
        <v>46233</v>
      </c>
      <c r="B731" t="s">
        <v>927</v>
      </c>
      <c r="C731" t="s">
        <v>243</v>
      </c>
      <c r="D731" t="s">
        <v>85</v>
      </c>
      <c r="E731" t="s">
        <v>50</v>
      </c>
      <c r="F731" t="s">
        <v>64</v>
      </c>
      <c r="G731" t="s">
        <v>51</v>
      </c>
      <c r="H731" t="s">
        <v>116</v>
      </c>
      <c r="I731" t="s">
        <v>74</v>
      </c>
      <c r="J731" s="2">
        <v>2</v>
      </c>
      <c r="K731" s="3">
        <v>2716.7</v>
      </c>
      <c r="L731" s="3">
        <v>1810.26</v>
      </c>
      <c r="M731" s="4">
        <v>0.1232</v>
      </c>
      <c r="N731" s="3">
        <f t="shared" si="55"/>
        <v>5433.4</v>
      </c>
      <c r="O731" s="3">
        <f t="shared" si="56"/>
        <v>4764.01</v>
      </c>
      <c r="P731" s="3">
        <f t="shared" si="57"/>
        <v>3620.52</v>
      </c>
      <c r="Q731" s="3">
        <f t="shared" si="58"/>
        <v>1143.49</v>
      </c>
      <c r="R731" s="4">
        <f t="shared" si="59"/>
        <v>0.24</v>
      </c>
      <c r="S731" s="2">
        <v>7</v>
      </c>
      <c r="T731" t="s">
        <v>46</v>
      </c>
      <c r="U731">
        <v>3</v>
      </c>
    </row>
    <row r="732" spans="1:22" x14ac:dyDescent="0.25">
      <c r="A732" s="1">
        <v>46132</v>
      </c>
      <c r="B732" t="s">
        <v>928</v>
      </c>
      <c r="C732" t="s">
        <v>166</v>
      </c>
      <c r="D732" t="s">
        <v>71</v>
      </c>
      <c r="E732" t="s">
        <v>72</v>
      </c>
      <c r="F732" t="s">
        <v>36</v>
      </c>
      <c r="G732" t="s">
        <v>27</v>
      </c>
      <c r="H732" t="s">
        <v>86</v>
      </c>
      <c r="I732" t="s">
        <v>39</v>
      </c>
      <c r="J732" s="2">
        <v>1</v>
      </c>
      <c r="K732" s="3">
        <v>1797.96</v>
      </c>
      <c r="L732" s="3">
        <v>1220.55</v>
      </c>
      <c r="M732" s="4">
        <v>0</v>
      </c>
      <c r="N732" s="3">
        <f t="shared" si="55"/>
        <v>1797.96</v>
      </c>
      <c r="O732" s="3">
        <f t="shared" si="56"/>
        <v>1797.96</v>
      </c>
      <c r="P732" s="3">
        <f t="shared" si="57"/>
        <v>1220.55</v>
      </c>
      <c r="Q732" s="3">
        <f t="shared" si="58"/>
        <v>577.41</v>
      </c>
      <c r="R732" s="4">
        <f t="shared" si="59"/>
        <v>0.3211</v>
      </c>
      <c r="S732" s="2">
        <v>27</v>
      </c>
      <c r="T732" t="s">
        <v>30</v>
      </c>
      <c r="U732">
        <v>2</v>
      </c>
      <c r="V732" t="s">
        <v>208</v>
      </c>
    </row>
    <row r="733" spans="1:22" x14ac:dyDescent="0.25">
      <c r="A733" s="1">
        <v>46053</v>
      </c>
      <c r="B733" t="s">
        <v>929</v>
      </c>
      <c r="C733" t="s">
        <v>112</v>
      </c>
      <c r="D733" t="s">
        <v>97</v>
      </c>
      <c r="E733" t="s">
        <v>57</v>
      </c>
      <c r="F733" t="s">
        <v>36</v>
      </c>
      <c r="G733" t="s">
        <v>51</v>
      </c>
      <c r="H733" t="s">
        <v>116</v>
      </c>
      <c r="I733" t="s">
        <v>74</v>
      </c>
      <c r="J733" s="2">
        <v>2</v>
      </c>
      <c r="K733" s="3">
        <v>2863.81</v>
      </c>
      <c r="L733" s="3">
        <v>1870.54</v>
      </c>
      <c r="M733" s="4">
        <v>0.1227</v>
      </c>
      <c r="N733" s="3">
        <f t="shared" si="55"/>
        <v>5727.62</v>
      </c>
      <c r="O733" s="3">
        <f t="shared" si="56"/>
        <v>5024.84</v>
      </c>
      <c r="P733" s="3">
        <f t="shared" si="57"/>
        <v>3741.08</v>
      </c>
      <c r="Q733" s="3">
        <f t="shared" si="58"/>
        <v>1283.76</v>
      </c>
      <c r="R733" s="4">
        <f t="shared" si="59"/>
        <v>0.2555</v>
      </c>
      <c r="S733" s="2">
        <v>13</v>
      </c>
      <c r="T733" t="s">
        <v>30</v>
      </c>
      <c r="U733">
        <v>4</v>
      </c>
    </row>
    <row r="734" spans="1:22" x14ac:dyDescent="0.25">
      <c r="A734" s="1">
        <v>46151</v>
      </c>
      <c r="B734" t="s">
        <v>930</v>
      </c>
      <c r="C734" t="s">
        <v>108</v>
      </c>
      <c r="D734" t="s">
        <v>63</v>
      </c>
      <c r="E734" t="s">
        <v>35</v>
      </c>
      <c r="F734" t="s">
        <v>58</v>
      </c>
      <c r="G734" t="s">
        <v>37</v>
      </c>
      <c r="H734" t="s">
        <v>178</v>
      </c>
      <c r="I734" t="s">
        <v>39</v>
      </c>
      <c r="J734" s="2">
        <v>4</v>
      </c>
      <c r="K734" s="3">
        <v>520.99</v>
      </c>
      <c r="L734" s="3">
        <v>248.1</v>
      </c>
      <c r="M734" s="4">
        <v>3.5000000000000003E-2</v>
      </c>
      <c r="N734" s="3">
        <f t="shared" si="55"/>
        <v>2083.96</v>
      </c>
      <c r="O734" s="3">
        <f t="shared" si="56"/>
        <v>2011.02</v>
      </c>
      <c r="P734" s="3">
        <f t="shared" si="57"/>
        <v>992.4</v>
      </c>
      <c r="Q734" s="3">
        <f t="shared" si="58"/>
        <v>1018.62</v>
      </c>
      <c r="R734" s="4">
        <f t="shared" si="59"/>
        <v>0.50649999999999995</v>
      </c>
      <c r="S734" s="2">
        <v>7</v>
      </c>
      <c r="T734" t="s">
        <v>46</v>
      </c>
      <c r="U734">
        <v>3</v>
      </c>
    </row>
    <row r="735" spans="1:22" x14ac:dyDescent="0.25">
      <c r="A735" s="1">
        <v>46043</v>
      </c>
      <c r="B735" t="s">
        <v>931</v>
      </c>
      <c r="C735" t="s">
        <v>153</v>
      </c>
      <c r="D735" t="s">
        <v>207</v>
      </c>
      <c r="E735" t="s">
        <v>35</v>
      </c>
      <c r="F735" t="s">
        <v>36</v>
      </c>
      <c r="G735" t="s">
        <v>51</v>
      </c>
      <c r="H735" t="s">
        <v>59</v>
      </c>
      <c r="I735" t="s">
        <v>60</v>
      </c>
      <c r="J735" s="2">
        <v>7</v>
      </c>
      <c r="K735" s="3">
        <v>2134.4299999999998</v>
      </c>
      <c r="L735" s="3">
        <v>1457.82</v>
      </c>
      <c r="M735" s="4">
        <v>0</v>
      </c>
      <c r="N735" s="3">
        <f t="shared" si="55"/>
        <v>14941.01</v>
      </c>
      <c r="O735" s="3">
        <f t="shared" si="56"/>
        <v>14941.01</v>
      </c>
      <c r="P735" s="3">
        <f t="shared" si="57"/>
        <v>10204.74</v>
      </c>
      <c r="Q735" s="3">
        <f t="shared" si="58"/>
        <v>4736.2700000000004</v>
      </c>
      <c r="R735" s="4">
        <f t="shared" si="59"/>
        <v>0.317</v>
      </c>
      <c r="S735" s="2">
        <v>8</v>
      </c>
      <c r="T735" t="s">
        <v>46</v>
      </c>
      <c r="U735">
        <v>2</v>
      </c>
    </row>
    <row r="736" spans="1:22" x14ac:dyDescent="0.25">
      <c r="A736" s="1">
        <v>46152</v>
      </c>
      <c r="B736" t="s">
        <v>932</v>
      </c>
      <c r="C736" t="s">
        <v>224</v>
      </c>
      <c r="D736" t="s">
        <v>113</v>
      </c>
      <c r="E736" t="s">
        <v>50</v>
      </c>
      <c r="F736" t="s">
        <v>36</v>
      </c>
      <c r="G736" t="s">
        <v>37</v>
      </c>
      <c r="H736" t="s">
        <v>38</v>
      </c>
      <c r="I736" t="s">
        <v>87</v>
      </c>
      <c r="J736" s="2">
        <v>2</v>
      </c>
      <c r="K736" s="3">
        <v>431.06</v>
      </c>
      <c r="L736" s="3">
        <v>198.42</v>
      </c>
      <c r="M736" s="4">
        <v>1.17E-2</v>
      </c>
      <c r="N736" s="3">
        <f t="shared" si="55"/>
        <v>862.12</v>
      </c>
      <c r="O736" s="3">
        <f t="shared" si="56"/>
        <v>852.03</v>
      </c>
      <c r="P736" s="3">
        <f t="shared" si="57"/>
        <v>396.84</v>
      </c>
      <c r="Q736" s="3">
        <f t="shared" si="58"/>
        <v>455.19</v>
      </c>
      <c r="R736" s="4">
        <f t="shared" si="59"/>
        <v>0.53420000000000001</v>
      </c>
      <c r="S736" s="2">
        <v>13</v>
      </c>
      <c r="T736" t="s">
        <v>30</v>
      </c>
      <c r="U736">
        <v>2</v>
      </c>
    </row>
    <row r="737" spans="1:21" x14ac:dyDescent="0.25">
      <c r="A737" s="1">
        <v>46062</v>
      </c>
      <c r="B737" t="s">
        <v>933</v>
      </c>
      <c r="C737" t="s">
        <v>315</v>
      </c>
      <c r="D737" t="s">
        <v>130</v>
      </c>
      <c r="E737" t="s">
        <v>72</v>
      </c>
      <c r="F737" t="s">
        <v>26</v>
      </c>
      <c r="G737" t="s">
        <v>44</v>
      </c>
      <c r="H737" t="s">
        <v>124</v>
      </c>
      <c r="I737" t="s">
        <v>94</v>
      </c>
      <c r="J737" s="2">
        <v>5</v>
      </c>
      <c r="K737" s="3">
        <v>5997.25</v>
      </c>
      <c r="L737" s="3">
        <v>4331.25</v>
      </c>
      <c r="M737" s="4">
        <v>0.1134</v>
      </c>
      <c r="N737" s="3">
        <f t="shared" si="55"/>
        <v>29986.25</v>
      </c>
      <c r="O737" s="3">
        <f t="shared" si="56"/>
        <v>26585.81</v>
      </c>
      <c r="P737" s="3">
        <f t="shared" si="57"/>
        <v>21656.25</v>
      </c>
      <c r="Q737" s="3">
        <f t="shared" si="58"/>
        <v>4929.5600000000004</v>
      </c>
      <c r="R737" s="4">
        <f t="shared" si="59"/>
        <v>0.18540000000000001</v>
      </c>
      <c r="S737" s="2">
        <v>4</v>
      </c>
      <c r="T737" t="s">
        <v>46</v>
      </c>
      <c r="U737">
        <v>3</v>
      </c>
    </row>
    <row r="738" spans="1:21" x14ac:dyDescent="0.25">
      <c r="A738" s="1">
        <v>46117</v>
      </c>
      <c r="B738" t="s">
        <v>934</v>
      </c>
      <c r="C738" t="s">
        <v>198</v>
      </c>
      <c r="D738" t="s">
        <v>130</v>
      </c>
      <c r="E738" t="s">
        <v>72</v>
      </c>
      <c r="F738" t="s">
        <v>58</v>
      </c>
      <c r="G738" t="s">
        <v>51</v>
      </c>
      <c r="H738" t="s">
        <v>59</v>
      </c>
      <c r="I738" t="s">
        <v>53</v>
      </c>
      <c r="J738" s="2">
        <v>2</v>
      </c>
      <c r="K738" s="3">
        <v>2113.67</v>
      </c>
      <c r="L738" s="3">
        <v>1482.48</v>
      </c>
      <c r="M738" s="4">
        <v>0.1024</v>
      </c>
      <c r="N738" s="3">
        <f t="shared" si="55"/>
        <v>4227.34</v>
      </c>
      <c r="O738" s="3">
        <f t="shared" si="56"/>
        <v>3794.46</v>
      </c>
      <c r="P738" s="3">
        <f t="shared" si="57"/>
        <v>2964.96</v>
      </c>
      <c r="Q738" s="3">
        <f t="shared" si="58"/>
        <v>829.5</v>
      </c>
      <c r="R738" s="4">
        <f t="shared" si="59"/>
        <v>0.21859999999999999</v>
      </c>
      <c r="S738" s="2">
        <v>3</v>
      </c>
      <c r="T738" t="s">
        <v>46</v>
      </c>
      <c r="U738">
        <v>5</v>
      </c>
    </row>
    <row r="739" spans="1:21" x14ac:dyDescent="0.25">
      <c r="A739" s="1">
        <v>46081</v>
      </c>
      <c r="B739" t="s">
        <v>935</v>
      </c>
      <c r="C739" t="s">
        <v>110</v>
      </c>
      <c r="D739" t="s">
        <v>85</v>
      </c>
      <c r="E739" t="s">
        <v>50</v>
      </c>
      <c r="F739" t="s">
        <v>58</v>
      </c>
      <c r="G739" t="s">
        <v>44</v>
      </c>
      <c r="H739" t="s">
        <v>124</v>
      </c>
      <c r="I739" t="s">
        <v>77</v>
      </c>
      <c r="J739" s="2">
        <v>6</v>
      </c>
      <c r="K739" s="3">
        <v>5628.73</v>
      </c>
      <c r="L739" s="3">
        <v>4323.92</v>
      </c>
      <c r="M739" s="4">
        <v>0.1028</v>
      </c>
      <c r="N739" s="3">
        <f t="shared" si="55"/>
        <v>33772.379999999997</v>
      </c>
      <c r="O739" s="3">
        <f t="shared" si="56"/>
        <v>30300.58</v>
      </c>
      <c r="P739" s="3">
        <f t="shared" si="57"/>
        <v>25943.52</v>
      </c>
      <c r="Q739" s="3">
        <f t="shared" si="58"/>
        <v>4357.0600000000004</v>
      </c>
      <c r="R739" s="4">
        <f t="shared" si="59"/>
        <v>0.14380000000000001</v>
      </c>
      <c r="S739" s="2">
        <v>5</v>
      </c>
      <c r="T739" t="s">
        <v>46</v>
      </c>
      <c r="U739">
        <v>5</v>
      </c>
    </row>
    <row r="740" spans="1:21" x14ac:dyDescent="0.25">
      <c r="A740" s="1">
        <v>46152</v>
      </c>
      <c r="B740" t="s">
        <v>936</v>
      </c>
      <c r="C740" t="s">
        <v>108</v>
      </c>
      <c r="D740" t="s">
        <v>49</v>
      </c>
      <c r="E740" t="s">
        <v>50</v>
      </c>
      <c r="F740" t="s">
        <v>36</v>
      </c>
      <c r="G740" t="s">
        <v>27</v>
      </c>
      <c r="H740" t="s">
        <v>68</v>
      </c>
      <c r="I740" t="s">
        <v>29</v>
      </c>
      <c r="J740" s="2">
        <v>5</v>
      </c>
      <c r="K740" s="3">
        <v>1310.81</v>
      </c>
      <c r="L740" s="3">
        <v>795.57</v>
      </c>
      <c r="M740" s="4">
        <v>7.3499999999999996E-2</v>
      </c>
      <c r="N740" s="3">
        <f t="shared" si="55"/>
        <v>6554.05</v>
      </c>
      <c r="O740" s="3">
        <f t="shared" si="56"/>
        <v>6072.33</v>
      </c>
      <c r="P740" s="3">
        <f t="shared" si="57"/>
        <v>3977.85</v>
      </c>
      <c r="Q740" s="3">
        <f t="shared" si="58"/>
        <v>2094.48</v>
      </c>
      <c r="R740" s="4">
        <f t="shared" si="59"/>
        <v>0.34489999999999998</v>
      </c>
      <c r="S740" s="2">
        <v>2</v>
      </c>
      <c r="T740" t="s">
        <v>46</v>
      </c>
      <c r="U740">
        <v>3</v>
      </c>
    </row>
    <row r="741" spans="1:21" x14ac:dyDescent="0.25">
      <c r="A741" s="1">
        <v>46155</v>
      </c>
      <c r="B741" t="s">
        <v>937</v>
      </c>
      <c r="C741" t="s">
        <v>115</v>
      </c>
      <c r="D741" t="s">
        <v>63</v>
      </c>
      <c r="E741" t="s">
        <v>35</v>
      </c>
      <c r="F741" t="s">
        <v>36</v>
      </c>
      <c r="G741" t="s">
        <v>51</v>
      </c>
      <c r="H741" t="s">
        <v>59</v>
      </c>
      <c r="I741" t="s">
        <v>65</v>
      </c>
      <c r="J741" s="2">
        <v>7</v>
      </c>
      <c r="K741" s="3">
        <v>2283.11</v>
      </c>
      <c r="L741" s="3">
        <v>1364.25</v>
      </c>
      <c r="M741" s="4">
        <v>9.5899999999999999E-2</v>
      </c>
      <c r="N741" s="3">
        <f t="shared" si="55"/>
        <v>15981.77</v>
      </c>
      <c r="O741" s="3">
        <f t="shared" si="56"/>
        <v>14449.12</v>
      </c>
      <c r="P741" s="3">
        <f t="shared" si="57"/>
        <v>9549.75</v>
      </c>
      <c r="Q741" s="3">
        <f t="shared" si="58"/>
        <v>4899.37</v>
      </c>
      <c r="R741" s="4">
        <f t="shared" si="59"/>
        <v>0.33910000000000001</v>
      </c>
      <c r="S741" s="2">
        <v>12</v>
      </c>
      <c r="T741" t="s">
        <v>30</v>
      </c>
      <c r="U741">
        <v>2</v>
      </c>
    </row>
    <row r="742" spans="1:21" x14ac:dyDescent="0.25">
      <c r="A742" s="1">
        <v>46219</v>
      </c>
      <c r="B742" t="s">
        <v>938</v>
      </c>
      <c r="C742" t="s">
        <v>275</v>
      </c>
      <c r="D742" t="s">
        <v>139</v>
      </c>
      <c r="E742" t="s">
        <v>72</v>
      </c>
      <c r="F742" t="s">
        <v>64</v>
      </c>
      <c r="G742" t="s">
        <v>51</v>
      </c>
      <c r="H742" t="s">
        <v>52</v>
      </c>
      <c r="I742" t="s">
        <v>87</v>
      </c>
      <c r="J742" s="2">
        <v>2</v>
      </c>
      <c r="K742" s="3">
        <v>263.64</v>
      </c>
      <c r="L742" s="3">
        <v>118.22</v>
      </c>
      <c r="M742" s="4">
        <v>0.1258</v>
      </c>
      <c r="N742" s="3">
        <f t="shared" si="55"/>
        <v>527.28</v>
      </c>
      <c r="O742" s="3">
        <f t="shared" si="56"/>
        <v>460.95</v>
      </c>
      <c r="P742" s="3">
        <f t="shared" si="57"/>
        <v>236.44</v>
      </c>
      <c r="Q742" s="3">
        <f t="shared" si="58"/>
        <v>224.51</v>
      </c>
      <c r="R742" s="4">
        <f t="shared" si="59"/>
        <v>0.48709999999999998</v>
      </c>
      <c r="S742" s="2">
        <v>10</v>
      </c>
      <c r="T742" t="s">
        <v>46</v>
      </c>
      <c r="U742">
        <v>2</v>
      </c>
    </row>
    <row r="743" spans="1:21" x14ac:dyDescent="0.25">
      <c r="A743" s="1">
        <v>46184</v>
      </c>
      <c r="B743" t="s">
        <v>939</v>
      </c>
      <c r="C743" t="s">
        <v>433</v>
      </c>
      <c r="D743" t="s">
        <v>63</v>
      </c>
      <c r="E743" t="s">
        <v>35</v>
      </c>
      <c r="F743" t="s">
        <v>26</v>
      </c>
      <c r="G743" t="s">
        <v>44</v>
      </c>
      <c r="H743" t="s">
        <v>73</v>
      </c>
      <c r="I743" t="s">
        <v>53</v>
      </c>
      <c r="J743" s="2">
        <v>7</v>
      </c>
      <c r="K743" s="3">
        <v>1678.78</v>
      </c>
      <c r="L743" s="3">
        <v>1125.95</v>
      </c>
      <c r="M743" s="4">
        <v>0</v>
      </c>
      <c r="N743" s="3">
        <f t="shared" si="55"/>
        <v>11751.46</v>
      </c>
      <c r="O743" s="3">
        <f t="shared" si="56"/>
        <v>11751.46</v>
      </c>
      <c r="P743" s="3">
        <f t="shared" si="57"/>
        <v>7881.65</v>
      </c>
      <c r="Q743" s="3">
        <f t="shared" si="58"/>
        <v>3869.81</v>
      </c>
      <c r="R743" s="4">
        <f t="shared" si="59"/>
        <v>0.32929999999999998</v>
      </c>
      <c r="S743" s="2">
        <v>3</v>
      </c>
      <c r="T743" t="s">
        <v>46</v>
      </c>
      <c r="U743">
        <v>4</v>
      </c>
    </row>
    <row r="744" spans="1:21" x14ac:dyDescent="0.25">
      <c r="A744" s="1">
        <v>46050</v>
      </c>
      <c r="B744" t="s">
        <v>940</v>
      </c>
      <c r="C744" t="s">
        <v>33</v>
      </c>
      <c r="D744" t="s">
        <v>121</v>
      </c>
      <c r="E744" t="s">
        <v>72</v>
      </c>
      <c r="F744" t="s">
        <v>26</v>
      </c>
      <c r="G744" t="s">
        <v>27</v>
      </c>
      <c r="H744" t="s">
        <v>86</v>
      </c>
      <c r="I744" t="s">
        <v>65</v>
      </c>
      <c r="J744" s="2">
        <v>5</v>
      </c>
      <c r="K744" s="3">
        <v>1834.99</v>
      </c>
      <c r="L744" s="3">
        <v>1227.01</v>
      </c>
      <c r="M744" s="4">
        <v>0</v>
      </c>
      <c r="N744" s="3">
        <f t="shared" si="55"/>
        <v>9174.9500000000007</v>
      </c>
      <c r="O744" s="3">
        <f t="shared" si="56"/>
        <v>9174.9500000000007</v>
      </c>
      <c r="P744" s="3">
        <f t="shared" si="57"/>
        <v>6135.05</v>
      </c>
      <c r="Q744" s="3">
        <f t="shared" si="58"/>
        <v>3039.9</v>
      </c>
      <c r="R744" s="4">
        <f t="shared" si="59"/>
        <v>0.33129999999999998</v>
      </c>
      <c r="S744" s="2">
        <v>7</v>
      </c>
      <c r="T744" t="s">
        <v>46</v>
      </c>
      <c r="U744">
        <v>4</v>
      </c>
    </row>
    <row r="745" spans="1:21" x14ac:dyDescent="0.25">
      <c r="A745" s="1">
        <v>46117</v>
      </c>
      <c r="B745" t="s">
        <v>941</v>
      </c>
      <c r="C745" t="s">
        <v>180</v>
      </c>
      <c r="D745" t="s">
        <v>71</v>
      </c>
      <c r="E745" t="s">
        <v>72</v>
      </c>
      <c r="F745" t="s">
        <v>58</v>
      </c>
      <c r="G745" t="s">
        <v>27</v>
      </c>
      <c r="H745" t="s">
        <v>28</v>
      </c>
      <c r="I745" t="s">
        <v>39</v>
      </c>
      <c r="J745" s="2">
        <v>8</v>
      </c>
      <c r="K745" s="3">
        <v>776.65</v>
      </c>
      <c r="L745" s="3">
        <v>485.52</v>
      </c>
      <c r="M745" s="4">
        <v>5.6500000000000002E-2</v>
      </c>
      <c r="N745" s="3">
        <f t="shared" si="55"/>
        <v>6213.2</v>
      </c>
      <c r="O745" s="3">
        <f t="shared" si="56"/>
        <v>5862.15</v>
      </c>
      <c r="P745" s="3">
        <f t="shared" si="57"/>
        <v>3884.16</v>
      </c>
      <c r="Q745" s="3">
        <f t="shared" si="58"/>
        <v>1977.99</v>
      </c>
      <c r="R745" s="4">
        <f t="shared" si="59"/>
        <v>0.33739999999999998</v>
      </c>
      <c r="S745" s="2">
        <v>13</v>
      </c>
      <c r="T745" t="s">
        <v>30</v>
      </c>
      <c r="U745">
        <v>4</v>
      </c>
    </row>
    <row r="746" spans="1:21" x14ac:dyDescent="0.25">
      <c r="A746" s="1">
        <v>46152</v>
      </c>
      <c r="B746" t="s">
        <v>942</v>
      </c>
      <c r="C746" t="s">
        <v>153</v>
      </c>
      <c r="D746" t="s">
        <v>63</v>
      </c>
      <c r="E746" t="s">
        <v>35</v>
      </c>
      <c r="F746" t="s">
        <v>58</v>
      </c>
      <c r="G746" t="s">
        <v>51</v>
      </c>
      <c r="H746" t="s">
        <v>116</v>
      </c>
      <c r="I746" t="s">
        <v>74</v>
      </c>
      <c r="J746" s="2">
        <v>3</v>
      </c>
      <c r="K746" s="3">
        <v>2680.47</v>
      </c>
      <c r="L746" s="3">
        <v>1890.57</v>
      </c>
      <c r="M746" s="4">
        <v>0.1022</v>
      </c>
      <c r="N746" s="3">
        <f t="shared" si="55"/>
        <v>8041.41</v>
      </c>
      <c r="O746" s="3">
        <f t="shared" si="56"/>
        <v>7219.58</v>
      </c>
      <c r="P746" s="3">
        <f t="shared" si="57"/>
        <v>5671.71</v>
      </c>
      <c r="Q746" s="3">
        <f t="shared" si="58"/>
        <v>1547.87</v>
      </c>
      <c r="R746" s="4">
        <f t="shared" si="59"/>
        <v>0.21440000000000001</v>
      </c>
      <c r="S746" s="2">
        <v>11</v>
      </c>
      <c r="T746" t="s">
        <v>30</v>
      </c>
      <c r="U746">
        <v>2</v>
      </c>
    </row>
    <row r="747" spans="1:21" x14ac:dyDescent="0.25">
      <c r="A747" s="1">
        <v>46232</v>
      </c>
      <c r="B747" t="s">
        <v>943</v>
      </c>
      <c r="C747" t="s">
        <v>150</v>
      </c>
      <c r="D747" t="s">
        <v>85</v>
      </c>
      <c r="E747" t="s">
        <v>50</v>
      </c>
      <c r="F747" t="s">
        <v>26</v>
      </c>
      <c r="G747" t="s">
        <v>37</v>
      </c>
      <c r="H747" t="s">
        <v>104</v>
      </c>
      <c r="I747" t="s">
        <v>65</v>
      </c>
      <c r="J747" s="2">
        <v>5</v>
      </c>
      <c r="K747" s="3">
        <v>324.31</v>
      </c>
      <c r="L747" s="3">
        <v>141.25</v>
      </c>
      <c r="M747" s="4">
        <v>8.5800000000000001E-2</v>
      </c>
      <c r="N747" s="3">
        <f t="shared" si="55"/>
        <v>1621.55</v>
      </c>
      <c r="O747" s="3">
        <f t="shared" si="56"/>
        <v>1482.42</v>
      </c>
      <c r="P747" s="3">
        <f t="shared" si="57"/>
        <v>706.25</v>
      </c>
      <c r="Q747" s="3">
        <f t="shared" si="58"/>
        <v>776.17</v>
      </c>
      <c r="R747" s="4">
        <f t="shared" si="59"/>
        <v>0.52359999999999995</v>
      </c>
      <c r="S747" s="2">
        <v>8</v>
      </c>
      <c r="T747" t="s">
        <v>46</v>
      </c>
      <c r="U747">
        <v>5</v>
      </c>
    </row>
    <row r="748" spans="1:21" x14ac:dyDescent="0.25">
      <c r="A748" s="1">
        <v>46111</v>
      </c>
      <c r="B748" t="s">
        <v>944</v>
      </c>
      <c r="C748" t="s">
        <v>384</v>
      </c>
      <c r="D748" t="s">
        <v>101</v>
      </c>
      <c r="E748" t="s">
        <v>35</v>
      </c>
      <c r="F748" t="s">
        <v>58</v>
      </c>
      <c r="G748" t="s">
        <v>27</v>
      </c>
      <c r="H748" t="s">
        <v>86</v>
      </c>
      <c r="I748" t="s">
        <v>53</v>
      </c>
      <c r="J748" s="2">
        <v>1</v>
      </c>
      <c r="K748" s="3">
        <v>1927.57</v>
      </c>
      <c r="L748" s="3">
        <v>1159.8900000000001</v>
      </c>
      <c r="M748" s="4">
        <v>9.5699999999999993E-2</v>
      </c>
      <c r="N748" s="3">
        <f t="shared" si="55"/>
        <v>1927.57</v>
      </c>
      <c r="O748" s="3">
        <f t="shared" si="56"/>
        <v>1743.1</v>
      </c>
      <c r="P748" s="3">
        <f t="shared" si="57"/>
        <v>1159.8900000000001</v>
      </c>
      <c r="Q748" s="3">
        <f t="shared" si="58"/>
        <v>583.21</v>
      </c>
      <c r="R748" s="4">
        <f t="shared" si="59"/>
        <v>0.33460000000000001</v>
      </c>
      <c r="S748" s="2">
        <v>11</v>
      </c>
      <c r="T748" t="s">
        <v>30</v>
      </c>
      <c r="U748">
        <v>2</v>
      </c>
    </row>
    <row r="749" spans="1:21" x14ac:dyDescent="0.25">
      <c r="A749" s="1">
        <v>46032</v>
      </c>
      <c r="B749" t="s">
        <v>945</v>
      </c>
      <c r="C749" t="s">
        <v>288</v>
      </c>
      <c r="D749" t="s">
        <v>43</v>
      </c>
      <c r="E749" t="s">
        <v>25</v>
      </c>
      <c r="F749" t="s">
        <v>58</v>
      </c>
      <c r="G749" t="s">
        <v>44</v>
      </c>
      <c r="H749" t="s">
        <v>73</v>
      </c>
      <c r="I749" t="s">
        <v>29</v>
      </c>
      <c r="J749" s="2">
        <v>2</v>
      </c>
      <c r="K749" s="3">
        <v>1660.13</v>
      </c>
      <c r="L749" s="3">
        <v>1115.52</v>
      </c>
      <c r="M749" s="4">
        <v>0.1116</v>
      </c>
      <c r="N749" s="3">
        <f t="shared" si="55"/>
        <v>3320.26</v>
      </c>
      <c r="O749" s="3">
        <f t="shared" si="56"/>
        <v>2949.72</v>
      </c>
      <c r="P749" s="3">
        <f t="shared" si="57"/>
        <v>2231.04</v>
      </c>
      <c r="Q749" s="3">
        <f t="shared" si="58"/>
        <v>718.68</v>
      </c>
      <c r="R749" s="4">
        <f t="shared" si="59"/>
        <v>0.24360000000000001</v>
      </c>
      <c r="S749" s="2">
        <v>12</v>
      </c>
      <c r="T749" t="s">
        <v>30</v>
      </c>
      <c r="U749">
        <v>4</v>
      </c>
    </row>
    <row r="750" spans="1:21" x14ac:dyDescent="0.25">
      <c r="A750" s="1">
        <v>46128</v>
      </c>
      <c r="B750" t="s">
        <v>946</v>
      </c>
      <c r="C750" t="s">
        <v>560</v>
      </c>
      <c r="D750" t="s">
        <v>139</v>
      </c>
      <c r="E750" t="s">
        <v>72</v>
      </c>
      <c r="F750" t="s">
        <v>64</v>
      </c>
      <c r="G750" t="s">
        <v>27</v>
      </c>
      <c r="H750" t="s">
        <v>86</v>
      </c>
      <c r="I750" t="s">
        <v>60</v>
      </c>
      <c r="J750" s="2">
        <v>2</v>
      </c>
      <c r="K750" s="3">
        <v>1857.13</v>
      </c>
      <c r="L750" s="3">
        <v>1192.8399999999999</v>
      </c>
      <c r="M750" s="4">
        <v>8.8900000000000007E-2</v>
      </c>
      <c r="N750" s="3">
        <f t="shared" si="55"/>
        <v>3714.26</v>
      </c>
      <c r="O750" s="3">
        <f t="shared" si="56"/>
        <v>3384.06</v>
      </c>
      <c r="P750" s="3">
        <f t="shared" si="57"/>
        <v>2385.6799999999998</v>
      </c>
      <c r="Q750" s="3">
        <f t="shared" si="58"/>
        <v>998.38</v>
      </c>
      <c r="R750" s="4">
        <f t="shared" si="59"/>
        <v>0.29499999999999998</v>
      </c>
      <c r="S750" s="2">
        <v>6</v>
      </c>
      <c r="T750" t="s">
        <v>46</v>
      </c>
      <c r="U750">
        <v>3</v>
      </c>
    </row>
    <row r="751" spans="1:21" x14ac:dyDescent="0.25">
      <c r="A751" s="1">
        <v>46186</v>
      </c>
      <c r="B751" t="s">
        <v>947</v>
      </c>
      <c r="C751" t="s">
        <v>106</v>
      </c>
      <c r="D751" t="s">
        <v>113</v>
      </c>
      <c r="E751" t="s">
        <v>50</v>
      </c>
      <c r="F751" t="s">
        <v>58</v>
      </c>
      <c r="G751" t="s">
        <v>51</v>
      </c>
      <c r="H751" t="s">
        <v>59</v>
      </c>
      <c r="I751" t="s">
        <v>74</v>
      </c>
      <c r="J751" s="2">
        <v>8</v>
      </c>
      <c r="K751" s="3">
        <v>2245.2800000000002</v>
      </c>
      <c r="L751" s="3">
        <v>1374.22</v>
      </c>
      <c r="M751" s="4">
        <v>3.5000000000000003E-2</v>
      </c>
      <c r="N751" s="3">
        <f t="shared" si="55"/>
        <v>17962.240000000002</v>
      </c>
      <c r="O751" s="3">
        <f t="shared" si="56"/>
        <v>17333.560000000001</v>
      </c>
      <c r="P751" s="3">
        <f t="shared" si="57"/>
        <v>10993.76</v>
      </c>
      <c r="Q751" s="3">
        <f t="shared" si="58"/>
        <v>6339.8</v>
      </c>
      <c r="R751" s="4">
        <f t="shared" si="59"/>
        <v>0.36580000000000001</v>
      </c>
      <c r="S751" s="2">
        <v>8</v>
      </c>
      <c r="T751" t="s">
        <v>46</v>
      </c>
      <c r="U751">
        <v>2</v>
      </c>
    </row>
    <row r="752" spans="1:21" x14ac:dyDescent="0.25">
      <c r="A752" s="1">
        <v>46142</v>
      </c>
      <c r="B752" t="s">
        <v>948</v>
      </c>
      <c r="C752" t="s">
        <v>358</v>
      </c>
      <c r="D752" t="s">
        <v>24</v>
      </c>
      <c r="E752" t="s">
        <v>25</v>
      </c>
      <c r="F752" t="s">
        <v>64</v>
      </c>
      <c r="G752" t="s">
        <v>44</v>
      </c>
      <c r="H752" t="s">
        <v>73</v>
      </c>
      <c r="I752" t="s">
        <v>29</v>
      </c>
      <c r="J752" s="2">
        <v>2</v>
      </c>
      <c r="K752" s="3">
        <v>1603.33</v>
      </c>
      <c r="L752" s="3">
        <v>1127.82</v>
      </c>
      <c r="M752" s="4">
        <v>0</v>
      </c>
      <c r="N752" s="3">
        <f t="shared" si="55"/>
        <v>3206.66</v>
      </c>
      <c r="O752" s="3">
        <f t="shared" si="56"/>
        <v>3206.66</v>
      </c>
      <c r="P752" s="3">
        <f t="shared" si="57"/>
        <v>2255.64</v>
      </c>
      <c r="Q752" s="3">
        <f t="shared" si="58"/>
        <v>951.02</v>
      </c>
      <c r="R752" s="4">
        <f t="shared" si="59"/>
        <v>0.29659999999999997</v>
      </c>
      <c r="S752" s="2">
        <v>13</v>
      </c>
      <c r="T752" t="s">
        <v>30</v>
      </c>
      <c r="U752">
        <v>4</v>
      </c>
    </row>
    <row r="753" spans="1:21" x14ac:dyDescent="0.25">
      <c r="A753" s="1">
        <v>46095</v>
      </c>
      <c r="B753" t="s">
        <v>949</v>
      </c>
      <c r="C753" t="s">
        <v>418</v>
      </c>
      <c r="D753" t="s">
        <v>43</v>
      </c>
      <c r="E753" t="s">
        <v>25</v>
      </c>
      <c r="F753" t="s">
        <v>58</v>
      </c>
      <c r="G753" t="s">
        <v>44</v>
      </c>
      <c r="H753" t="s">
        <v>124</v>
      </c>
      <c r="I753" t="s">
        <v>65</v>
      </c>
      <c r="J753" s="2">
        <v>2</v>
      </c>
      <c r="K753" s="3">
        <v>5964.88</v>
      </c>
      <c r="L753" s="3">
        <v>4380.3599999999997</v>
      </c>
      <c r="M753" s="4">
        <v>5.8400000000000001E-2</v>
      </c>
      <c r="N753" s="3">
        <f t="shared" si="55"/>
        <v>11929.76</v>
      </c>
      <c r="O753" s="3">
        <f t="shared" si="56"/>
        <v>11233.06</v>
      </c>
      <c r="P753" s="3">
        <f t="shared" si="57"/>
        <v>8760.7199999999993</v>
      </c>
      <c r="Q753" s="3">
        <f t="shared" si="58"/>
        <v>2472.34</v>
      </c>
      <c r="R753" s="4">
        <f t="shared" si="59"/>
        <v>0.22009999999999999</v>
      </c>
      <c r="S753" s="2">
        <v>6</v>
      </c>
      <c r="T753" t="s">
        <v>46</v>
      </c>
      <c r="U753">
        <v>4</v>
      </c>
    </row>
    <row r="754" spans="1:21" x14ac:dyDescent="0.25">
      <c r="A754" s="1">
        <v>46185</v>
      </c>
      <c r="B754" t="s">
        <v>950</v>
      </c>
      <c r="C754" t="s">
        <v>271</v>
      </c>
      <c r="D754" t="s">
        <v>130</v>
      </c>
      <c r="E754" t="s">
        <v>72</v>
      </c>
      <c r="F754" t="s">
        <v>58</v>
      </c>
      <c r="G754" t="s">
        <v>44</v>
      </c>
      <c r="H754" t="s">
        <v>45</v>
      </c>
      <c r="I754" t="s">
        <v>60</v>
      </c>
      <c r="J754" s="2">
        <v>2</v>
      </c>
      <c r="K754" s="3">
        <v>369.03</v>
      </c>
      <c r="L754" s="3">
        <v>211.53</v>
      </c>
      <c r="M754" s="4">
        <v>8.3400000000000002E-2</v>
      </c>
      <c r="N754" s="3">
        <f t="shared" si="55"/>
        <v>738.06</v>
      </c>
      <c r="O754" s="3">
        <f t="shared" si="56"/>
        <v>676.51</v>
      </c>
      <c r="P754" s="3">
        <f t="shared" si="57"/>
        <v>423.06</v>
      </c>
      <c r="Q754" s="3">
        <f t="shared" si="58"/>
        <v>253.45</v>
      </c>
      <c r="R754" s="4">
        <f t="shared" si="59"/>
        <v>0.37459999999999999</v>
      </c>
      <c r="S754" s="2">
        <v>3</v>
      </c>
      <c r="T754" t="s">
        <v>46</v>
      </c>
      <c r="U754">
        <v>3</v>
      </c>
    </row>
    <row r="755" spans="1:21" x14ac:dyDescent="0.25">
      <c r="A755" s="1">
        <v>46150</v>
      </c>
      <c r="B755" t="s">
        <v>951</v>
      </c>
      <c r="C755" t="s">
        <v>55</v>
      </c>
      <c r="D755" t="s">
        <v>63</v>
      </c>
      <c r="E755" t="s">
        <v>35</v>
      </c>
      <c r="F755" t="s">
        <v>58</v>
      </c>
      <c r="G755" t="s">
        <v>37</v>
      </c>
      <c r="H755" t="s">
        <v>38</v>
      </c>
      <c r="I755" t="s">
        <v>29</v>
      </c>
      <c r="J755" s="2">
        <v>6</v>
      </c>
      <c r="K755" s="3">
        <v>446.64</v>
      </c>
      <c r="L755" s="3">
        <v>182.98</v>
      </c>
      <c r="M755" s="4">
        <v>7.4300000000000005E-2</v>
      </c>
      <c r="N755" s="3">
        <f t="shared" si="55"/>
        <v>2679.84</v>
      </c>
      <c r="O755" s="3">
        <f t="shared" si="56"/>
        <v>2480.73</v>
      </c>
      <c r="P755" s="3">
        <f t="shared" si="57"/>
        <v>1097.8800000000001</v>
      </c>
      <c r="Q755" s="3">
        <f t="shared" si="58"/>
        <v>1382.85</v>
      </c>
      <c r="R755" s="4">
        <f t="shared" si="59"/>
        <v>0.55740000000000001</v>
      </c>
      <c r="S755" s="2">
        <v>12</v>
      </c>
      <c r="T755" t="s">
        <v>30</v>
      </c>
      <c r="U755">
        <v>5</v>
      </c>
    </row>
    <row r="756" spans="1:21" x14ac:dyDescent="0.25">
      <c r="A756" s="1">
        <v>46212</v>
      </c>
      <c r="B756" t="s">
        <v>952</v>
      </c>
      <c r="C756" t="s">
        <v>120</v>
      </c>
      <c r="D756" t="s">
        <v>85</v>
      </c>
      <c r="E756" t="s">
        <v>50</v>
      </c>
      <c r="F756" t="s">
        <v>26</v>
      </c>
      <c r="G756" t="s">
        <v>37</v>
      </c>
      <c r="H756" t="s">
        <v>178</v>
      </c>
      <c r="I756" t="s">
        <v>53</v>
      </c>
      <c r="J756" s="2">
        <v>2</v>
      </c>
      <c r="K756" s="3">
        <v>519.44000000000005</v>
      </c>
      <c r="L756" s="3">
        <v>235.36</v>
      </c>
      <c r="M756" s="4">
        <v>7.7700000000000005E-2</v>
      </c>
      <c r="N756" s="3">
        <f t="shared" si="55"/>
        <v>1038.8800000000001</v>
      </c>
      <c r="O756" s="3">
        <f t="shared" si="56"/>
        <v>958.16</v>
      </c>
      <c r="P756" s="3">
        <f t="shared" si="57"/>
        <v>470.72</v>
      </c>
      <c r="Q756" s="3">
        <f t="shared" si="58"/>
        <v>487.44</v>
      </c>
      <c r="R756" s="4">
        <f t="shared" si="59"/>
        <v>0.50870000000000004</v>
      </c>
      <c r="S756" s="2">
        <v>7</v>
      </c>
      <c r="T756" t="s">
        <v>46</v>
      </c>
      <c r="U756">
        <v>3</v>
      </c>
    </row>
    <row r="757" spans="1:21" x14ac:dyDescent="0.25">
      <c r="A757" s="1">
        <v>46133</v>
      </c>
      <c r="B757" t="s">
        <v>953</v>
      </c>
      <c r="C757" t="s">
        <v>243</v>
      </c>
      <c r="D757" t="s">
        <v>85</v>
      </c>
      <c r="E757" t="s">
        <v>50</v>
      </c>
      <c r="F757" t="s">
        <v>26</v>
      </c>
      <c r="G757" t="s">
        <v>51</v>
      </c>
      <c r="H757" t="s">
        <v>59</v>
      </c>
      <c r="I757" t="s">
        <v>77</v>
      </c>
      <c r="J757" s="2">
        <v>6</v>
      </c>
      <c r="K757" s="3">
        <v>2305.0700000000002</v>
      </c>
      <c r="L757" s="3">
        <v>1387.55</v>
      </c>
      <c r="M757" s="4">
        <v>0</v>
      </c>
      <c r="N757" s="3">
        <f t="shared" si="55"/>
        <v>13830.42</v>
      </c>
      <c r="O757" s="3">
        <f t="shared" si="56"/>
        <v>13830.42</v>
      </c>
      <c r="P757" s="3">
        <f t="shared" si="57"/>
        <v>8325.2999999999993</v>
      </c>
      <c r="Q757" s="3">
        <f t="shared" si="58"/>
        <v>5505.12</v>
      </c>
      <c r="R757" s="4">
        <f t="shared" si="59"/>
        <v>0.39800000000000002</v>
      </c>
      <c r="S757" s="2">
        <v>6</v>
      </c>
      <c r="T757" t="s">
        <v>46</v>
      </c>
      <c r="U757">
        <v>3</v>
      </c>
    </row>
    <row r="758" spans="1:21" x14ac:dyDescent="0.25">
      <c r="A758" s="1">
        <v>46053</v>
      </c>
      <c r="B758" t="s">
        <v>954</v>
      </c>
      <c r="C758" t="s">
        <v>195</v>
      </c>
      <c r="D758" t="s">
        <v>121</v>
      </c>
      <c r="E758" t="s">
        <v>72</v>
      </c>
      <c r="F758" t="s">
        <v>36</v>
      </c>
      <c r="G758" t="s">
        <v>27</v>
      </c>
      <c r="H758" t="s">
        <v>86</v>
      </c>
      <c r="I758" t="s">
        <v>87</v>
      </c>
      <c r="J758" s="2">
        <v>8</v>
      </c>
      <c r="K758" s="3">
        <v>1923.34</v>
      </c>
      <c r="L758" s="3">
        <v>1199.93</v>
      </c>
      <c r="M758" s="4">
        <v>4.5699999999999998E-2</v>
      </c>
      <c r="N758" s="3">
        <f t="shared" si="55"/>
        <v>15386.72</v>
      </c>
      <c r="O758" s="3">
        <f t="shared" si="56"/>
        <v>14683.55</v>
      </c>
      <c r="P758" s="3">
        <f t="shared" si="57"/>
        <v>9599.44</v>
      </c>
      <c r="Q758" s="3">
        <f t="shared" si="58"/>
        <v>5084.1099999999997</v>
      </c>
      <c r="R758" s="4">
        <f t="shared" si="59"/>
        <v>0.34620000000000001</v>
      </c>
      <c r="S758" s="2">
        <v>9</v>
      </c>
      <c r="T758" t="s">
        <v>46</v>
      </c>
      <c r="U758">
        <v>5</v>
      </c>
    </row>
    <row r="759" spans="1:21" x14ac:dyDescent="0.25">
      <c r="A759" s="1">
        <v>46075</v>
      </c>
      <c r="B759" t="s">
        <v>955</v>
      </c>
      <c r="C759" t="s">
        <v>294</v>
      </c>
      <c r="D759" t="s">
        <v>85</v>
      </c>
      <c r="E759" t="s">
        <v>50</v>
      </c>
      <c r="F759" t="s">
        <v>26</v>
      </c>
      <c r="G759" t="s">
        <v>37</v>
      </c>
      <c r="H759" t="s">
        <v>38</v>
      </c>
      <c r="I759" t="s">
        <v>65</v>
      </c>
      <c r="J759" s="2">
        <v>3</v>
      </c>
      <c r="K759" s="3">
        <v>441.37</v>
      </c>
      <c r="L759" s="3">
        <v>195.3</v>
      </c>
      <c r="M759" s="4">
        <v>0</v>
      </c>
      <c r="N759" s="3">
        <f t="shared" si="55"/>
        <v>1324.11</v>
      </c>
      <c r="O759" s="3">
        <f t="shared" si="56"/>
        <v>1324.11</v>
      </c>
      <c r="P759" s="3">
        <f t="shared" si="57"/>
        <v>585.9</v>
      </c>
      <c r="Q759" s="3">
        <f t="shared" si="58"/>
        <v>738.21</v>
      </c>
      <c r="R759" s="4">
        <f t="shared" si="59"/>
        <v>0.5575</v>
      </c>
      <c r="S759" s="2">
        <v>5</v>
      </c>
      <c r="T759" t="s">
        <v>46</v>
      </c>
      <c r="U759">
        <v>3</v>
      </c>
    </row>
    <row r="760" spans="1:21" x14ac:dyDescent="0.25">
      <c r="A760" s="1">
        <v>46028</v>
      </c>
      <c r="B760" t="s">
        <v>956</v>
      </c>
      <c r="C760" t="s">
        <v>201</v>
      </c>
      <c r="D760" t="s">
        <v>71</v>
      </c>
      <c r="E760" t="s">
        <v>72</v>
      </c>
      <c r="F760" t="s">
        <v>36</v>
      </c>
      <c r="G760" t="s">
        <v>51</v>
      </c>
      <c r="H760" t="s">
        <v>52</v>
      </c>
      <c r="I760" t="s">
        <v>77</v>
      </c>
      <c r="J760" s="2">
        <v>5</v>
      </c>
      <c r="K760" s="3">
        <v>272.70999999999998</v>
      </c>
      <c r="L760" s="3">
        <v>124.84</v>
      </c>
      <c r="M760" s="4">
        <v>7.8700000000000006E-2</v>
      </c>
      <c r="N760" s="3">
        <f t="shared" si="55"/>
        <v>1363.55</v>
      </c>
      <c r="O760" s="3">
        <f t="shared" si="56"/>
        <v>1256.24</v>
      </c>
      <c r="P760" s="3">
        <f t="shared" si="57"/>
        <v>624.20000000000005</v>
      </c>
      <c r="Q760" s="3">
        <f t="shared" si="58"/>
        <v>632.04</v>
      </c>
      <c r="R760" s="4">
        <f t="shared" si="59"/>
        <v>0.50309999999999999</v>
      </c>
      <c r="S760" s="2">
        <v>4</v>
      </c>
      <c r="T760" t="s">
        <v>46</v>
      </c>
      <c r="U760">
        <v>4</v>
      </c>
    </row>
    <row r="761" spans="1:21" x14ac:dyDescent="0.25">
      <c r="A761" s="1">
        <v>46059</v>
      </c>
      <c r="B761" t="s">
        <v>957</v>
      </c>
      <c r="C761" t="s">
        <v>144</v>
      </c>
      <c r="D761" t="s">
        <v>56</v>
      </c>
      <c r="E761" t="s">
        <v>57</v>
      </c>
      <c r="F761" t="s">
        <v>58</v>
      </c>
      <c r="G761" t="s">
        <v>37</v>
      </c>
      <c r="H761" t="s">
        <v>38</v>
      </c>
      <c r="I761" t="s">
        <v>65</v>
      </c>
      <c r="J761" s="2">
        <v>5</v>
      </c>
      <c r="K761" s="3">
        <v>424.41</v>
      </c>
      <c r="L761" s="3">
        <v>197.24</v>
      </c>
      <c r="M761" s="4">
        <v>0.15890000000000001</v>
      </c>
      <c r="N761" s="3">
        <f t="shared" si="55"/>
        <v>2122.0500000000002</v>
      </c>
      <c r="O761" s="3">
        <f t="shared" si="56"/>
        <v>1784.86</v>
      </c>
      <c r="P761" s="3">
        <f t="shared" si="57"/>
        <v>986.2</v>
      </c>
      <c r="Q761" s="3">
        <f t="shared" si="58"/>
        <v>798.66</v>
      </c>
      <c r="R761" s="4">
        <f t="shared" si="59"/>
        <v>0.44750000000000001</v>
      </c>
      <c r="S761" s="2">
        <v>6</v>
      </c>
      <c r="T761" t="s">
        <v>46</v>
      </c>
      <c r="U761">
        <v>5</v>
      </c>
    </row>
    <row r="762" spans="1:21" x14ac:dyDescent="0.25">
      <c r="A762" s="1">
        <v>46073</v>
      </c>
      <c r="B762" t="s">
        <v>958</v>
      </c>
      <c r="C762" t="s">
        <v>198</v>
      </c>
      <c r="D762" t="s">
        <v>121</v>
      </c>
      <c r="E762" t="s">
        <v>72</v>
      </c>
      <c r="F762" t="s">
        <v>64</v>
      </c>
      <c r="G762" t="s">
        <v>51</v>
      </c>
      <c r="H762" t="s">
        <v>59</v>
      </c>
      <c r="I762" t="s">
        <v>60</v>
      </c>
      <c r="J762" s="2">
        <v>3</v>
      </c>
      <c r="K762" s="3">
        <v>2122.27</v>
      </c>
      <c r="L762" s="3">
        <v>1503.55</v>
      </c>
      <c r="M762" s="4">
        <v>0</v>
      </c>
      <c r="N762" s="3">
        <f t="shared" si="55"/>
        <v>6366.81</v>
      </c>
      <c r="O762" s="3">
        <f t="shared" si="56"/>
        <v>6366.81</v>
      </c>
      <c r="P762" s="3">
        <f t="shared" si="57"/>
        <v>4510.6499999999996</v>
      </c>
      <c r="Q762" s="3">
        <f t="shared" si="58"/>
        <v>1856.16</v>
      </c>
      <c r="R762" s="4">
        <f t="shared" si="59"/>
        <v>0.29149999999999998</v>
      </c>
      <c r="S762" s="2">
        <v>10</v>
      </c>
      <c r="T762" t="s">
        <v>46</v>
      </c>
      <c r="U762">
        <v>4</v>
      </c>
    </row>
    <row r="763" spans="1:21" x14ac:dyDescent="0.25">
      <c r="A763" s="1">
        <v>46204</v>
      </c>
      <c r="B763" t="s">
        <v>959</v>
      </c>
      <c r="C763" t="s">
        <v>216</v>
      </c>
      <c r="D763" t="s">
        <v>49</v>
      </c>
      <c r="E763" t="s">
        <v>50</v>
      </c>
      <c r="F763" t="s">
        <v>36</v>
      </c>
      <c r="G763" t="s">
        <v>27</v>
      </c>
      <c r="H763" t="s">
        <v>86</v>
      </c>
      <c r="I763" t="s">
        <v>87</v>
      </c>
      <c r="J763" s="2">
        <v>7</v>
      </c>
      <c r="K763" s="3">
        <v>1833.01</v>
      </c>
      <c r="L763" s="3">
        <v>1246.3499999999999</v>
      </c>
      <c r="M763" s="4">
        <v>2.0500000000000001E-2</v>
      </c>
      <c r="N763" s="3">
        <f t="shared" si="55"/>
        <v>12831.07</v>
      </c>
      <c r="O763" s="3">
        <f t="shared" si="56"/>
        <v>12568.03</v>
      </c>
      <c r="P763" s="3">
        <f t="shared" si="57"/>
        <v>8724.4500000000007</v>
      </c>
      <c r="Q763" s="3">
        <f t="shared" si="58"/>
        <v>3843.58</v>
      </c>
      <c r="R763" s="4">
        <f t="shared" si="59"/>
        <v>0.30580000000000002</v>
      </c>
      <c r="S763" s="2">
        <v>10</v>
      </c>
      <c r="T763" t="s">
        <v>46</v>
      </c>
      <c r="U763">
        <v>3</v>
      </c>
    </row>
    <row r="764" spans="1:21" x14ac:dyDescent="0.25">
      <c r="A764" s="1">
        <v>46196</v>
      </c>
      <c r="B764" t="s">
        <v>960</v>
      </c>
      <c r="C764" t="s">
        <v>375</v>
      </c>
      <c r="D764" t="s">
        <v>71</v>
      </c>
      <c r="E764" t="s">
        <v>72</v>
      </c>
      <c r="F764" t="s">
        <v>58</v>
      </c>
      <c r="G764" t="s">
        <v>51</v>
      </c>
      <c r="H764" t="s">
        <v>52</v>
      </c>
      <c r="I764" t="s">
        <v>74</v>
      </c>
      <c r="J764" s="2">
        <v>7</v>
      </c>
      <c r="K764" s="3">
        <v>266.24</v>
      </c>
      <c r="L764" s="3">
        <v>123.02</v>
      </c>
      <c r="M764" s="4">
        <v>3.5000000000000003E-2</v>
      </c>
      <c r="N764" s="3">
        <f t="shared" si="55"/>
        <v>1863.68</v>
      </c>
      <c r="O764" s="3">
        <f t="shared" si="56"/>
        <v>1798.45</v>
      </c>
      <c r="P764" s="3">
        <f t="shared" si="57"/>
        <v>861.14</v>
      </c>
      <c r="Q764" s="3">
        <f t="shared" si="58"/>
        <v>937.31</v>
      </c>
      <c r="R764" s="4">
        <f t="shared" si="59"/>
        <v>0.5212</v>
      </c>
      <c r="S764" s="2">
        <v>2</v>
      </c>
      <c r="T764" t="s">
        <v>46</v>
      </c>
      <c r="U764">
        <v>3</v>
      </c>
    </row>
    <row r="765" spans="1:21" x14ac:dyDescent="0.25">
      <c r="A765" s="1">
        <v>46221</v>
      </c>
      <c r="B765" t="s">
        <v>961</v>
      </c>
      <c r="C765" t="s">
        <v>243</v>
      </c>
      <c r="D765" t="s">
        <v>43</v>
      </c>
      <c r="E765" t="s">
        <v>25</v>
      </c>
      <c r="F765" t="s">
        <v>64</v>
      </c>
      <c r="G765" t="s">
        <v>27</v>
      </c>
      <c r="H765" t="s">
        <v>68</v>
      </c>
      <c r="I765" t="s">
        <v>94</v>
      </c>
      <c r="J765" s="2">
        <v>6</v>
      </c>
      <c r="K765" s="3">
        <v>1269.24</v>
      </c>
      <c r="L765" s="3">
        <v>825.33</v>
      </c>
      <c r="M765" s="4">
        <v>0</v>
      </c>
      <c r="N765" s="3">
        <f t="shared" si="55"/>
        <v>7615.44</v>
      </c>
      <c r="O765" s="3">
        <f t="shared" si="56"/>
        <v>7615.44</v>
      </c>
      <c r="P765" s="3">
        <f t="shared" si="57"/>
        <v>4951.9799999999996</v>
      </c>
      <c r="Q765" s="3">
        <f t="shared" si="58"/>
        <v>2663.46</v>
      </c>
      <c r="R765" s="4">
        <f t="shared" si="59"/>
        <v>0.34970000000000001</v>
      </c>
      <c r="S765" s="2">
        <v>8</v>
      </c>
      <c r="T765" t="s">
        <v>46</v>
      </c>
      <c r="U765">
        <v>2</v>
      </c>
    </row>
    <row r="766" spans="1:21" x14ac:dyDescent="0.25">
      <c r="A766" s="1">
        <v>46126</v>
      </c>
      <c r="B766" t="s">
        <v>962</v>
      </c>
      <c r="C766" t="s">
        <v>284</v>
      </c>
      <c r="D766" t="s">
        <v>113</v>
      </c>
      <c r="E766" t="s">
        <v>50</v>
      </c>
      <c r="F766" t="s">
        <v>64</v>
      </c>
      <c r="G766" t="s">
        <v>44</v>
      </c>
      <c r="H766" t="s">
        <v>45</v>
      </c>
      <c r="I766" t="s">
        <v>92</v>
      </c>
      <c r="J766" s="2">
        <v>1</v>
      </c>
      <c r="K766" s="3">
        <v>382.87</v>
      </c>
      <c r="L766" s="3">
        <v>216.91</v>
      </c>
      <c r="M766" s="4">
        <v>4.4600000000000001E-2</v>
      </c>
      <c r="N766" s="3">
        <f t="shared" si="55"/>
        <v>382.87</v>
      </c>
      <c r="O766" s="3">
        <f t="shared" si="56"/>
        <v>365.79</v>
      </c>
      <c r="P766" s="3">
        <f t="shared" si="57"/>
        <v>216.91</v>
      </c>
      <c r="Q766" s="3">
        <f t="shared" si="58"/>
        <v>148.88</v>
      </c>
      <c r="R766" s="4">
        <f t="shared" si="59"/>
        <v>0.40699999999999997</v>
      </c>
      <c r="S766" s="2">
        <v>2</v>
      </c>
      <c r="T766" t="s">
        <v>46</v>
      </c>
      <c r="U766">
        <v>4</v>
      </c>
    </row>
    <row r="767" spans="1:21" x14ac:dyDescent="0.25">
      <c r="A767" s="1">
        <v>46156</v>
      </c>
      <c r="B767" t="s">
        <v>963</v>
      </c>
      <c r="C767" t="s">
        <v>476</v>
      </c>
      <c r="D767" t="s">
        <v>97</v>
      </c>
      <c r="E767" t="s">
        <v>57</v>
      </c>
      <c r="F767" t="s">
        <v>36</v>
      </c>
      <c r="G767" t="s">
        <v>51</v>
      </c>
      <c r="H767" t="s">
        <v>116</v>
      </c>
      <c r="I767" t="s">
        <v>60</v>
      </c>
      <c r="J767" s="2">
        <v>5</v>
      </c>
      <c r="K767" s="3">
        <v>2719.93</v>
      </c>
      <c r="L767" s="3">
        <v>1829.64</v>
      </c>
      <c r="M767" s="4">
        <v>0</v>
      </c>
      <c r="N767" s="3">
        <f t="shared" si="55"/>
        <v>13599.65</v>
      </c>
      <c r="O767" s="3">
        <f t="shared" si="56"/>
        <v>13599.65</v>
      </c>
      <c r="P767" s="3">
        <f t="shared" si="57"/>
        <v>9148.2000000000007</v>
      </c>
      <c r="Q767" s="3">
        <f t="shared" si="58"/>
        <v>4451.45</v>
      </c>
      <c r="R767" s="4">
        <f t="shared" si="59"/>
        <v>0.32729999999999998</v>
      </c>
      <c r="S767" s="2">
        <v>2</v>
      </c>
      <c r="T767" t="s">
        <v>46</v>
      </c>
      <c r="U767">
        <v>4</v>
      </c>
    </row>
    <row r="768" spans="1:21" x14ac:dyDescent="0.25">
      <c r="A768" s="1">
        <v>46055</v>
      </c>
      <c r="B768" t="s">
        <v>964</v>
      </c>
      <c r="C768" t="s">
        <v>456</v>
      </c>
      <c r="D768" t="s">
        <v>49</v>
      </c>
      <c r="E768" t="s">
        <v>50</v>
      </c>
      <c r="F768" t="s">
        <v>36</v>
      </c>
      <c r="G768" t="s">
        <v>37</v>
      </c>
      <c r="H768" t="s">
        <v>178</v>
      </c>
      <c r="I768" t="s">
        <v>92</v>
      </c>
      <c r="J768" s="2">
        <v>4</v>
      </c>
      <c r="K768" s="3">
        <v>492.63</v>
      </c>
      <c r="L768" s="3">
        <v>243.98</v>
      </c>
      <c r="M768" s="4">
        <v>0</v>
      </c>
      <c r="N768" s="3">
        <f t="shared" si="55"/>
        <v>1970.52</v>
      </c>
      <c r="O768" s="3">
        <f t="shared" si="56"/>
        <v>1970.52</v>
      </c>
      <c r="P768" s="3">
        <f t="shared" si="57"/>
        <v>975.92</v>
      </c>
      <c r="Q768" s="3">
        <f t="shared" si="58"/>
        <v>994.6</v>
      </c>
      <c r="R768" s="4">
        <f t="shared" si="59"/>
        <v>0.50470000000000004</v>
      </c>
      <c r="S768" s="2">
        <v>12</v>
      </c>
      <c r="T768" t="s">
        <v>30</v>
      </c>
      <c r="U768">
        <v>5</v>
      </c>
    </row>
    <row r="769" spans="1:21" x14ac:dyDescent="0.25">
      <c r="A769" s="1">
        <v>46201</v>
      </c>
      <c r="B769" t="s">
        <v>965</v>
      </c>
      <c r="C769" t="s">
        <v>294</v>
      </c>
      <c r="D769" t="s">
        <v>56</v>
      </c>
      <c r="E769" t="s">
        <v>57</v>
      </c>
      <c r="F769" t="s">
        <v>64</v>
      </c>
      <c r="G769" t="s">
        <v>37</v>
      </c>
      <c r="H769" t="s">
        <v>104</v>
      </c>
      <c r="I769" t="s">
        <v>94</v>
      </c>
      <c r="J769" s="2">
        <v>4</v>
      </c>
      <c r="K769" s="3">
        <v>308.69</v>
      </c>
      <c r="L769" s="3">
        <v>136.75</v>
      </c>
      <c r="M769" s="4">
        <v>0</v>
      </c>
      <c r="N769" s="3">
        <f t="shared" si="55"/>
        <v>1234.76</v>
      </c>
      <c r="O769" s="3">
        <f t="shared" si="56"/>
        <v>1234.76</v>
      </c>
      <c r="P769" s="3">
        <f t="shared" si="57"/>
        <v>547</v>
      </c>
      <c r="Q769" s="3">
        <f t="shared" si="58"/>
        <v>687.76</v>
      </c>
      <c r="R769" s="4">
        <f t="shared" si="59"/>
        <v>0.55700000000000005</v>
      </c>
      <c r="S769" s="2">
        <v>10</v>
      </c>
      <c r="T769" t="s">
        <v>46</v>
      </c>
      <c r="U769">
        <v>2</v>
      </c>
    </row>
    <row r="770" spans="1:21" x14ac:dyDescent="0.25">
      <c r="A770" s="1">
        <v>46081</v>
      </c>
      <c r="B770" t="s">
        <v>966</v>
      </c>
      <c r="C770" t="s">
        <v>106</v>
      </c>
      <c r="D770" t="s">
        <v>34</v>
      </c>
      <c r="E770" t="s">
        <v>35</v>
      </c>
      <c r="F770" t="s">
        <v>64</v>
      </c>
      <c r="G770" t="s">
        <v>27</v>
      </c>
      <c r="H770" t="s">
        <v>86</v>
      </c>
      <c r="I770" t="s">
        <v>74</v>
      </c>
      <c r="J770" s="2">
        <v>7</v>
      </c>
      <c r="K770" s="3">
        <v>1792.28</v>
      </c>
      <c r="L770" s="3">
        <v>1189.26</v>
      </c>
      <c r="M770" s="4">
        <v>8.2400000000000001E-2</v>
      </c>
      <c r="N770" s="3">
        <f t="shared" ref="N770:N833" si="60">ROUND(J770*K770,2)</f>
        <v>12545.96</v>
      </c>
      <c r="O770" s="3">
        <f t="shared" ref="O770:O833" si="61">ROUND(N770*(1-M770),2)</f>
        <v>11512.17</v>
      </c>
      <c r="P770" s="3">
        <f t="shared" ref="P770:P833" si="62">ROUND(J770*L770,2)</f>
        <v>8324.82</v>
      </c>
      <c r="Q770" s="3">
        <f t="shared" ref="Q770:Q833" si="63">ROUND(O770-P770,2)</f>
        <v>3187.35</v>
      </c>
      <c r="R770" s="4">
        <f t="shared" ref="R770:R833" si="64">IF(O770=0,0,ROUND(Q770/O770,4))</f>
        <v>0.27689999999999998</v>
      </c>
      <c r="S770" s="2">
        <v>3</v>
      </c>
      <c r="T770" t="s">
        <v>46</v>
      </c>
      <c r="U770">
        <v>4</v>
      </c>
    </row>
    <row r="771" spans="1:21" x14ac:dyDescent="0.25">
      <c r="A771" s="1">
        <v>46142</v>
      </c>
      <c r="B771" t="s">
        <v>967</v>
      </c>
      <c r="C771" t="s">
        <v>606</v>
      </c>
      <c r="D771" t="s">
        <v>139</v>
      </c>
      <c r="E771" t="s">
        <v>72</v>
      </c>
      <c r="F771" t="s">
        <v>26</v>
      </c>
      <c r="G771" t="s">
        <v>51</v>
      </c>
      <c r="H771" t="s">
        <v>52</v>
      </c>
      <c r="I771" t="s">
        <v>29</v>
      </c>
      <c r="J771" s="2">
        <v>3</v>
      </c>
      <c r="K771" s="3">
        <v>251.58</v>
      </c>
      <c r="L771" s="3">
        <v>118.71</v>
      </c>
      <c r="M771" s="4">
        <v>0.1198</v>
      </c>
      <c r="N771" s="3">
        <f t="shared" si="60"/>
        <v>754.74</v>
      </c>
      <c r="O771" s="3">
        <f t="shared" si="61"/>
        <v>664.32</v>
      </c>
      <c r="P771" s="3">
        <f t="shared" si="62"/>
        <v>356.13</v>
      </c>
      <c r="Q771" s="3">
        <f t="shared" si="63"/>
        <v>308.19</v>
      </c>
      <c r="R771" s="4">
        <f t="shared" si="64"/>
        <v>0.46389999999999998</v>
      </c>
      <c r="S771" s="2">
        <v>2</v>
      </c>
      <c r="T771" t="s">
        <v>46</v>
      </c>
      <c r="U771">
        <v>4</v>
      </c>
    </row>
    <row r="772" spans="1:21" x14ac:dyDescent="0.25">
      <c r="A772" s="1">
        <v>46064</v>
      </c>
      <c r="B772" t="s">
        <v>968</v>
      </c>
      <c r="C772" t="s">
        <v>148</v>
      </c>
      <c r="D772" t="s">
        <v>24</v>
      </c>
      <c r="E772" t="s">
        <v>25</v>
      </c>
      <c r="F772" t="s">
        <v>26</v>
      </c>
      <c r="G772" t="s">
        <v>51</v>
      </c>
      <c r="H772" t="s">
        <v>59</v>
      </c>
      <c r="I772" t="s">
        <v>53</v>
      </c>
      <c r="J772" s="2">
        <v>7</v>
      </c>
      <c r="K772" s="3">
        <v>2173.0700000000002</v>
      </c>
      <c r="L772" s="3">
        <v>1464.73</v>
      </c>
      <c r="M772" s="4">
        <v>0.1067</v>
      </c>
      <c r="N772" s="3">
        <f t="shared" si="60"/>
        <v>15211.49</v>
      </c>
      <c r="O772" s="3">
        <f t="shared" si="61"/>
        <v>13588.42</v>
      </c>
      <c r="P772" s="3">
        <f t="shared" si="62"/>
        <v>10253.11</v>
      </c>
      <c r="Q772" s="3">
        <f t="shared" si="63"/>
        <v>3335.31</v>
      </c>
      <c r="R772" s="4">
        <f t="shared" si="64"/>
        <v>0.2455</v>
      </c>
      <c r="S772" s="2">
        <v>6</v>
      </c>
      <c r="T772" t="s">
        <v>46</v>
      </c>
      <c r="U772">
        <v>4</v>
      </c>
    </row>
    <row r="773" spans="1:21" x14ac:dyDescent="0.25">
      <c r="A773" s="1">
        <v>46031</v>
      </c>
      <c r="B773" t="s">
        <v>969</v>
      </c>
      <c r="C773" t="s">
        <v>67</v>
      </c>
      <c r="D773" t="s">
        <v>85</v>
      </c>
      <c r="E773" t="s">
        <v>50</v>
      </c>
      <c r="F773" t="s">
        <v>26</v>
      </c>
      <c r="G773" t="s">
        <v>44</v>
      </c>
      <c r="H773" t="s">
        <v>45</v>
      </c>
      <c r="I773" t="s">
        <v>39</v>
      </c>
      <c r="J773" s="2">
        <v>1</v>
      </c>
      <c r="K773" s="3">
        <v>377.99</v>
      </c>
      <c r="L773" s="3">
        <v>207.12</v>
      </c>
      <c r="M773" s="4">
        <v>6.7400000000000002E-2</v>
      </c>
      <c r="N773" s="3">
        <f t="shared" si="60"/>
        <v>377.99</v>
      </c>
      <c r="O773" s="3">
        <f t="shared" si="61"/>
        <v>352.51</v>
      </c>
      <c r="P773" s="3">
        <f t="shared" si="62"/>
        <v>207.12</v>
      </c>
      <c r="Q773" s="3">
        <f t="shared" si="63"/>
        <v>145.38999999999999</v>
      </c>
      <c r="R773" s="4">
        <f t="shared" si="64"/>
        <v>0.41239999999999999</v>
      </c>
      <c r="S773" s="2">
        <v>5</v>
      </c>
      <c r="T773" t="s">
        <v>46</v>
      </c>
      <c r="U773">
        <v>3</v>
      </c>
    </row>
    <row r="774" spans="1:21" x14ac:dyDescent="0.25">
      <c r="A774" s="1">
        <v>46177</v>
      </c>
      <c r="B774" t="s">
        <v>970</v>
      </c>
      <c r="C774" t="s">
        <v>520</v>
      </c>
      <c r="D774" t="s">
        <v>34</v>
      </c>
      <c r="E774" t="s">
        <v>35</v>
      </c>
      <c r="F774" t="s">
        <v>26</v>
      </c>
      <c r="G774" t="s">
        <v>44</v>
      </c>
      <c r="H774" t="s">
        <v>45</v>
      </c>
      <c r="I774" t="s">
        <v>94</v>
      </c>
      <c r="J774" s="2">
        <v>5</v>
      </c>
      <c r="K774" s="3">
        <v>384.72</v>
      </c>
      <c r="L774" s="3">
        <v>205.45</v>
      </c>
      <c r="M774" s="4">
        <v>0</v>
      </c>
      <c r="N774" s="3">
        <f t="shared" si="60"/>
        <v>1923.6</v>
      </c>
      <c r="O774" s="3">
        <f t="shared" si="61"/>
        <v>1923.6</v>
      </c>
      <c r="P774" s="3">
        <f t="shared" si="62"/>
        <v>1027.25</v>
      </c>
      <c r="Q774" s="3">
        <f t="shared" si="63"/>
        <v>896.35</v>
      </c>
      <c r="R774" s="4">
        <f t="shared" si="64"/>
        <v>0.46600000000000003</v>
      </c>
      <c r="S774" s="2">
        <v>3</v>
      </c>
      <c r="T774" t="s">
        <v>46</v>
      </c>
      <c r="U774">
        <v>3</v>
      </c>
    </row>
    <row r="775" spans="1:21" x14ac:dyDescent="0.25">
      <c r="A775" s="1">
        <v>46130</v>
      </c>
      <c r="B775" t="s">
        <v>971</v>
      </c>
      <c r="C775" t="s">
        <v>184</v>
      </c>
      <c r="D775" t="s">
        <v>71</v>
      </c>
      <c r="E775" t="s">
        <v>72</v>
      </c>
      <c r="F775" t="s">
        <v>64</v>
      </c>
      <c r="G775" t="s">
        <v>51</v>
      </c>
      <c r="H775" t="s">
        <v>59</v>
      </c>
      <c r="I775" t="s">
        <v>87</v>
      </c>
      <c r="J775" s="2">
        <v>5</v>
      </c>
      <c r="K775" s="3">
        <v>2303.36</v>
      </c>
      <c r="L775" s="3">
        <v>1418.86</v>
      </c>
      <c r="M775" s="4">
        <v>0</v>
      </c>
      <c r="N775" s="3">
        <f t="shared" si="60"/>
        <v>11516.8</v>
      </c>
      <c r="O775" s="3">
        <f t="shared" si="61"/>
        <v>11516.8</v>
      </c>
      <c r="P775" s="3">
        <f t="shared" si="62"/>
        <v>7094.3</v>
      </c>
      <c r="Q775" s="3">
        <f t="shared" si="63"/>
        <v>4422.5</v>
      </c>
      <c r="R775" s="4">
        <f t="shared" si="64"/>
        <v>0.38400000000000001</v>
      </c>
      <c r="S775" s="2">
        <v>10</v>
      </c>
      <c r="T775" t="s">
        <v>46</v>
      </c>
      <c r="U775">
        <v>4</v>
      </c>
    </row>
    <row r="776" spans="1:21" x14ac:dyDescent="0.25">
      <c r="A776" s="1">
        <v>46209</v>
      </c>
      <c r="B776" t="s">
        <v>972</v>
      </c>
      <c r="C776" t="s">
        <v>182</v>
      </c>
      <c r="D776" t="s">
        <v>63</v>
      </c>
      <c r="E776" t="s">
        <v>35</v>
      </c>
      <c r="F776" t="s">
        <v>26</v>
      </c>
      <c r="G776" t="s">
        <v>44</v>
      </c>
      <c r="H776" t="s">
        <v>124</v>
      </c>
      <c r="I776" t="s">
        <v>77</v>
      </c>
      <c r="J776" s="2">
        <v>5</v>
      </c>
      <c r="K776" s="3">
        <v>5737.95</v>
      </c>
      <c r="L776" s="3">
        <v>4509.54</v>
      </c>
      <c r="M776" s="4">
        <v>0.1</v>
      </c>
      <c r="N776" s="3">
        <f t="shared" si="60"/>
        <v>28689.75</v>
      </c>
      <c r="O776" s="3">
        <f t="shared" si="61"/>
        <v>25820.78</v>
      </c>
      <c r="P776" s="3">
        <f t="shared" si="62"/>
        <v>22547.7</v>
      </c>
      <c r="Q776" s="3">
        <f t="shared" si="63"/>
        <v>3273.08</v>
      </c>
      <c r="R776" s="4">
        <f t="shared" si="64"/>
        <v>0.1268</v>
      </c>
      <c r="S776" s="2">
        <v>9</v>
      </c>
      <c r="T776" t="s">
        <v>46</v>
      </c>
      <c r="U776">
        <v>4</v>
      </c>
    </row>
    <row r="777" spans="1:21" x14ac:dyDescent="0.25">
      <c r="A777" s="1">
        <v>46029</v>
      </c>
      <c r="B777" t="s">
        <v>973</v>
      </c>
      <c r="C777" t="s">
        <v>226</v>
      </c>
      <c r="D777" t="s">
        <v>63</v>
      </c>
      <c r="E777" t="s">
        <v>35</v>
      </c>
      <c r="F777" t="s">
        <v>36</v>
      </c>
      <c r="G777" t="s">
        <v>44</v>
      </c>
      <c r="H777" t="s">
        <v>73</v>
      </c>
      <c r="I777" t="s">
        <v>92</v>
      </c>
      <c r="J777" s="2">
        <v>7</v>
      </c>
      <c r="K777" s="3">
        <v>1762.2</v>
      </c>
      <c r="L777" s="3">
        <v>1058.8800000000001</v>
      </c>
      <c r="M777" s="4">
        <v>0</v>
      </c>
      <c r="N777" s="3">
        <f t="shared" si="60"/>
        <v>12335.4</v>
      </c>
      <c r="O777" s="3">
        <f t="shared" si="61"/>
        <v>12335.4</v>
      </c>
      <c r="P777" s="3">
        <f t="shared" si="62"/>
        <v>7412.16</v>
      </c>
      <c r="Q777" s="3">
        <f t="shared" si="63"/>
        <v>4923.24</v>
      </c>
      <c r="R777" s="4">
        <f t="shared" si="64"/>
        <v>0.39910000000000001</v>
      </c>
      <c r="S777" s="2">
        <v>7</v>
      </c>
      <c r="T777" t="s">
        <v>46</v>
      </c>
      <c r="U777">
        <v>4</v>
      </c>
    </row>
    <row r="778" spans="1:21" x14ac:dyDescent="0.25">
      <c r="A778" s="1">
        <v>46153</v>
      </c>
      <c r="B778" t="s">
        <v>974</v>
      </c>
      <c r="C778" t="s">
        <v>148</v>
      </c>
      <c r="D778" t="s">
        <v>63</v>
      </c>
      <c r="E778" t="s">
        <v>35</v>
      </c>
      <c r="F778" t="s">
        <v>26</v>
      </c>
      <c r="G778" t="s">
        <v>51</v>
      </c>
      <c r="H778" t="s">
        <v>52</v>
      </c>
      <c r="I778" t="s">
        <v>39</v>
      </c>
      <c r="J778" s="2">
        <v>7</v>
      </c>
      <c r="K778" s="3">
        <v>261.43</v>
      </c>
      <c r="L778" s="3">
        <v>115.49</v>
      </c>
      <c r="M778" s="4">
        <v>2.6499999999999999E-2</v>
      </c>
      <c r="N778" s="3">
        <f t="shared" si="60"/>
        <v>1830.01</v>
      </c>
      <c r="O778" s="3">
        <f t="shared" si="61"/>
        <v>1781.51</v>
      </c>
      <c r="P778" s="3">
        <f t="shared" si="62"/>
        <v>808.43</v>
      </c>
      <c r="Q778" s="3">
        <f t="shared" si="63"/>
        <v>973.08</v>
      </c>
      <c r="R778" s="4">
        <f t="shared" si="64"/>
        <v>0.54620000000000002</v>
      </c>
      <c r="S778" s="2">
        <v>12</v>
      </c>
      <c r="T778" t="s">
        <v>30</v>
      </c>
      <c r="U778">
        <v>4</v>
      </c>
    </row>
    <row r="779" spans="1:21" x14ac:dyDescent="0.25">
      <c r="A779" s="1">
        <v>46171</v>
      </c>
      <c r="B779" t="s">
        <v>975</v>
      </c>
      <c r="C779" t="s">
        <v>136</v>
      </c>
      <c r="D779" t="s">
        <v>130</v>
      </c>
      <c r="E779" t="s">
        <v>72</v>
      </c>
      <c r="F779" t="s">
        <v>26</v>
      </c>
      <c r="G779" t="s">
        <v>51</v>
      </c>
      <c r="H779" t="s">
        <v>52</v>
      </c>
      <c r="I779" t="s">
        <v>39</v>
      </c>
      <c r="J779" s="2">
        <v>5</v>
      </c>
      <c r="K779" s="3">
        <v>258.64999999999998</v>
      </c>
      <c r="L779" s="3">
        <v>120.92</v>
      </c>
      <c r="M779" s="4">
        <v>0</v>
      </c>
      <c r="N779" s="3">
        <f t="shared" si="60"/>
        <v>1293.25</v>
      </c>
      <c r="O779" s="3">
        <f t="shared" si="61"/>
        <v>1293.25</v>
      </c>
      <c r="P779" s="3">
        <f t="shared" si="62"/>
        <v>604.6</v>
      </c>
      <c r="Q779" s="3">
        <f t="shared" si="63"/>
        <v>688.65</v>
      </c>
      <c r="R779" s="4">
        <f t="shared" si="64"/>
        <v>0.53249999999999997</v>
      </c>
      <c r="S779" s="2">
        <v>11</v>
      </c>
      <c r="T779" t="s">
        <v>30</v>
      </c>
      <c r="U779">
        <v>5</v>
      </c>
    </row>
    <row r="780" spans="1:21" x14ac:dyDescent="0.25">
      <c r="A780" s="1">
        <v>46140</v>
      </c>
      <c r="B780" t="s">
        <v>976</v>
      </c>
      <c r="C780" t="s">
        <v>153</v>
      </c>
      <c r="D780" t="s">
        <v>24</v>
      </c>
      <c r="E780" t="s">
        <v>25</v>
      </c>
      <c r="F780" t="s">
        <v>58</v>
      </c>
      <c r="G780" t="s">
        <v>27</v>
      </c>
      <c r="H780" t="s">
        <v>68</v>
      </c>
      <c r="I780" t="s">
        <v>94</v>
      </c>
      <c r="J780" s="2">
        <v>7</v>
      </c>
      <c r="K780" s="3">
        <v>1236.47</v>
      </c>
      <c r="L780" s="3">
        <v>821.25</v>
      </c>
      <c r="M780" s="4">
        <v>3.5000000000000003E-2</v>
      </c>
      <c r="N780" s="3">
        <f t="shared" si="60"/>
        <v>8655.2900000000009</v>
      </c>
      <c r="O780" s="3">
        <f t="shared" si="61"/>
        <v>8352.35</v>
      </c>
      <c r="P780" s="3">
        <f t="shared" si="62"/>
        <v>5748.75</v>
      </c>
      <c r="Q780" s="3">
        <f t="shared" si="63"/>
        <v>2603.6</v>
      </c>
      <c r="R780" s="4">
        <f t="shared" si="64"/>
        <v>0.31169999999999998</v>
      </c>
      <c r="S780" s="2">
        <v>13</v>
      </c>
      <c r="T780" t="s">
        <v>30</v>
      </c>
      <c r="U780">
        <v>5</v>
      </c>
    </row>
    <row r="781" spans="1:21" x14ac:dyDescent="0.25">
      <c r="A781" s="1">
        <v>46114</v>
      </c>
      <c r="B781" t="s">
        <v>977</v>
      </c>
      <c r="C781" t="s">
        <v>67</v>
      </c>
      <c r="D781" t="s">
        <v>130</v>
      </c>
      <c r="E781" t="s">
        <v>72</v>
      </c>
      <c r="F781" t="s">
        <v>64</v>
      </c>
      <c r="G781" t="s">
        <v>51</v>
      </c>
      <c r="H781" t="s">
        <v>52</v>
      </c>
      <c r="I781" t="s">
        <v>92</v>
      </c>
      <c r="J781" s="2">
        <v>3</v>
      </c>
      <c r="K781" s="3">
        <v>269.48</v>
      </c>
      <c r="L781" s="3">
        <v>118.36</v>
      </c>
      <c r="M781" s="4">
        <v>0</v>
      </c>
      <c r="N781" s="3">
        <f t="shared" si="60"/>
        <v>808.44</v>
      </c>
      <c r="O781" s="3">
        <f t="shared" si="61"/>
        <v>808.44</v>
      </c>
      <c r="P781" s="3">
        <f t="shared" si="62"/>
        <v>355.08</v>
      </c>
      <c r="Q781" s="3">
        <f t="shared" si="63"/>
        <v>453.36</v>
      </c>
      <c r="R781" s="4">
        <f t="shared" si="64"/>
        <v>0.56079999999999997</v>
      </c>
      <c r="S781" s="2">
        <v>4</v>
      </c>
      <c r="T781" t="s">
        <v>46</v>
      </c>
      <c r="U781">
        <v>2</v>
      </c>
    </row>
    <row r="782" spans="1:21" x14ac:dyDescent="0.25">
      <c r="A782" s="1">
        <v>46071</v>
      </c>
      <c r="B782" t="s">
        <v>978</v>
      </c>
      <c r="C782" t="s">
        <v>42</v>
      </c>
      <c r="D782" t="s">
        <v>139</v>
      </c>
      <c r="E782" t="s">
        <v>72</v>
      </c>
      <c r="F782" t="s">
        <v>26</v>
      </c>
      <c r="G782" t="s">
        <v>37</v>
      </c>
      <c r="H782" t="s">
        <v>178</v>
      </c>
      <c r="I782" t="s">
        <v>94</v>
      </c>
      <c r="J782" s="2">
        <v>8</v>
      </c>
      <c r="K782" s="3">
        <v>500.02</v>
      </c>
      <c r="L782" s="3">
        <v>246.4</v>
      </c>
      <c r="M782" s="4">
        <v>0</v>
      </c>
      <c r="N782" s="3">
        <f t="shared" si="60"/>
        <v>4000.16</v>
      </c>
      <c r="O782" s="3">
        <f t="shared" si="61"/>
        <v>4000.16</v>
      </c>
      <c r="P782" s="3">
        <f t="shared" si="62"/>
        <v>1971.2</v>
      </c>
      <c r="Q782" s="3">
        <f t="shared" si="63"/>
        <v>2028.96</v>
      </c>
      <c r="R782" s="4">
        <f t="shared" si="64"/>
        <v>0.50719999999999998</v>
      </c>
      <c r="S782" s="2">
        <v>11</v>
      </c>
      <c r="T782" t="s">
        <v>30</v>
      </c>
      <c r="U782">
        <v>5</v>
      </c>
    </row>
    <row r="783" spans="1:21" x14ac:dyDescent="0.25">
      <c r="A783" s="1">
        <v>46082</v>
      </c>
      <c r="B783" t="s">
        <v>979</v>
      </c>
      <c r="C783" t="s">
        <v>418</v>
      </c>
      <c r="D783" t="s">
        <v>34</v>
      </c>
      <c r="E783" t="s">
        <v>35</v>
      </c>
      <c r="F783" t="s">
        <v>64</v>
      </c>
      <c r="G783" t="s">
        <v>27</v>
      </c>
      <c r="H783" t="s">
        <v>68</v>
      </c>
      <c r="I783" t="s">
        <v>39</v>
      </c>
      <c r="J783" s="2">
        <v>3</v>
      </c>
      <c r="K783" s="3">
        <v>1265.24</v>
      </c>
      <c r="L783" s="3">
        <v>770.25</v>
      </c>
      <c r="M783" s="4">
        <v>0</v>
      </c>
      <c r="N783" s="3">
        <f t="shared" si="60"/>
        <v>3795.72</v>
      </c>
      <c r="O783" s="3">
        <f t="shared" si="61"/>
        <v>3795.72</v>
      </c>
      <c r="P783" s="3">
        <f t="shared" si="62"/>
        <v>2310.75</v>
      </c>
      <c r="Q783" s="3">
        <f t="shared" si="63"/>
        <v>1484.97</v>
      </c>
      <c r="R783" s="4">
        <f t="shared" si="64"/>
        <v>0.39119999999999999</v>
      </c>
      <c r="S783" s="2">
        <v>12</v>
      </c>
      <c r="T783" t="s">
        <v>30</v>
      </c>
      <c r="U783">
        <v>2</v>
      </c>
    </row>
    <row r="784" spans="1:21" x14ac:dyDescent="0.25">
      <c r="A784" s="1">
        <v>46092</v>
      </c>
      <c r="B784" t="s">
        <v>980</v>
      </c>
      <c r="C784" t="s">
        <v>315</v>
      </c>
      <c r="D784" t="s">
        <v>130</v>
      </c>
      <c r="E784" t="s">
        <v>72</v>
      </c>
      <c r="F784" t="s">
        <v>26</v>
      </c>
      <c r="G784" t="s">
        <v>51</v>
      </c>
      <c r="H784" t="s">
        <v>59</v>
      </c>
      <c r="I784" t="s">
        <v>74</v>
      </c>
      <c r="J784" s="2">
        <v>1</v>
      </c>
      <c r="K784" s="3">
        <v>2075.48</v>
      </c>
      <c r="L784" s="3">
        <v>1434.17</v>
      </c>
      <c r="M784" s="4">
        <v>0</v>
      </c>
      <c r="N784" s="3">
        <f t="shared" si="60"/>
        <v>2075.48</v>
      </c>
      <c r="O784" s="3">
        <f t="shared" si="61"/>
        <v>2075.48</v>
      </c>
      <c r="P784" s="3">
        <f t="shared" si="62"/>
        <v>1434.17</v>
      </c>
      <c r="Q784" s="3">
        <f t="shared" si="63"/>
        <v>641.30999999999995</v>
      </c>
      <c r="R784" s="4">
        <f t="shared" si="64"/>
        <v>0.309</v>
      </c>
      <c r="S784" s="2">
        <v>14</v>
      </c>
      <c r="T784" t="s">
        <v>30</v>
      </c>
      <c r="U784">
        <v>4</v>
      </c>
    </row>
    <row r="785" spans="1:22" x14ac:dyDescent="0.25">
      <c r="A785" s="1">
        <v>46029</v>
      </c>
      <c r="B785" t="s">
        <v>981</v>
      </c>
      <c r="C785" t="s">
        <v>392</v>
      </c>
      <c r="D785" t="s">
        <v>139</v>
      </c>
      <c r="E785" t="s">
        <v>72</v>
      </c>
      <c r="F785" t="s">
        <v>26</v>
      </c>
      <c r="G785" t="s">
        <v>27</v>
      </c>
      <c r="H785" t="s">
        <v>86</v>
      </c>
      <c r="I785" t="s">
        <v>87</v>
      </c>
      <c r="J785" s="2">
        <v>4</v>
      </c>
      <c r="K785" s="3">
        <v>1782.97</v>
      </c>
      <c r="L785" s="3">
        <v>1224.0999999999999</v>
      </c>
      <c r="M785" s="4">
        <v>0</v>
      </c>
      <c r="N785" s="3">
        <f t="shared" si="60"/>
        <v>7131.88</v>
      </c>
      <c r="O785" s="3">
        <f t="shared" si="61"/>
        <v>7131.88</v>
      </c>
      <c r="P785" s="3">
        <f t="shared" si="62"/>
        <v>4896.3999999999996</v>
      </c>
      <c r="Q785" s="3">
        <f t="shared" si="63"/>
        <v>2235.48</v>
      </c>
      <c r="R785" s="4">
        <f t="shared" si="64"/>
        <v>0.31340000000000001</v>
      </c>
      <c r="S785" s="2">
        <v>8</v>
      </c>
      <c r="T785" t="s">
        <v>46</v>
      </c>
      <c r="U785">
        <v>2</v>
      </c>
    </row>
    <row r="786" spans="1:22" x14ac:dyDescent="0.25">
      <c r="A786" s="1">
        <v>46234</v>
      </c>
      <c r="B786" t="s">
        <v>982</v>
      </c>
      <c r="C786" t="s">
        <v>136</v>
      </c>
      <c r="D786" t="s">
        <v>85</v>
      </c>
      <c r="E786" t="s">
        <v>50</v>
      </c>
      <c r="F786" t="s">
        <v>36</v>
      </c>
      <c r="G786" t="s">
        <v>37</v>
      </c>
      <c r="H786" t="s">
        <v>104</v>
      </c>
      <c r="I786" t="s">
        <v>39</v>
      </c>
      <c r="J786" s="2">
        <v>8</v>
      </c>
      <c r="K786" s="3">
        <v>329.7</v>
      </c>
      <c r="L786" s="3">
        <v>134.91999999999999</v>
      </c>
      <c r="M786" s="4">
        <v>4.8300000000000003E-2</v>
      </c>
      <c r="N786" s="3">
        <f t="shared" si="60"/>
        <v>2637.6</v>
      </c>
      <c r="O786" s="3">
        <f t="shared" si="61"/>
        <v>2510.1999999999998</v>
      </c>
      <c r="P786" s="3">
        <f t="shared" si="62"/>
        <v>1079.3599999999999</v>
      </c>
      <c r="Q786" s="3">
        <f t="shared" si="63"/>
        <v>1430.84</v>
      </c>
      <c r="R786" s="4">
        <f t="shared" si="64"/>
        <v>0.56999999999999995</v>
      </c>
      <c r="S786" s="2">
        <v>11</v>
      </c>
      <c r="T786" t="s">
        <v>30</v>
      </c>
      <c r="U786">
        <v>5</v>
      </c>
    </row>
    <row r="787" spans="1:22" x14ac:dyDescent="0.25">
      <c r="A787" s="1">
        <v>46133</v>
      </c>
      <c r="B787" t="s">
        <v>983</v>
      </c>
      <c r="C787" t="s">
        <v>166</v>
      </c>
      <c r="D787" t="s">
        <v>49</v>
      </c>
      <c r="E787" t="s">
        <v>50</v>
      </c>
      <c r="F787" t="s">
        <v>36</v>
      </c>
      <c r="G787" t="s">
        <v>44</v>
      </c>
      <c r="H787" t="s">
        <v>124</v>
      </c>
      <c r="I787" t="s">
        <v>87</v>
      </c>
      <c r="J787" s="2">
        <v>4</v>
      </c>
      <c r="K787" s="3">
        <v>5808.46</v>
      </c>
      <c r="L787" s="3">
        <v>4169.2</v>
      </c>
      <c r="M787" s="4">
        <v>0.1171</v>
      </c>
      <c r="N787" s="3">
        <f t="shared" si="60"/>
        <v>23233.84</v>
      </c>
      <c r="O787" s="3">
        <f t="shared" si="61"/>
        <v>20513.16</v>
      </c>
      <c r="P787" s="3">
        <f t="shared" si="62"/>
        <v>16676.8</v>
      </c>
      <c r="Q787" s="3">
        <f t="shared" si="63"/>
        <v>3836.36</v>
      </c>
      <c r="R787" s="4">
        <f t="shared" si="64"/>
        <v>0.187</v>
      </c>
      <c r="S787" s="2">
        <v>9</v>
      </c>
      <c r="T787" t="s">
        <v>46</v>
      </c>
      <c r="U787">
        <v>5</v>
      </c>
    </row>
    <row r="788" spans="1:22" x14ac:dyDescent="0.25">
      <c r="A788" s="1">
        <v>46232</v>
      </c>
      <c r="B788" t="s">
        <v>984</v>
      </c>
      <c r="C788" t="s">
        <v>48</v>
      </c>
      <c r="D788" t="s">
        <v>101</v>
      </c>
      <c r="E788" t="s">
        <v>35</v>
      </c>
      <c r="F788" t="s">
        <v>26</v>
      </c>
      <c r="G788" t="s">
        <v>27</v>
      </c>
      <c r="H788" t="s">
        <v>68</v>
      </c>
      <c r="I788" t="s">
        <v>94</v>
      </c>
      <c r="J788" s="2">
        <v>2</v>
      </c>
      <c r="K788" s="3">
        <v>1238.44</v>
      </c>
      <c r="L788" s="3">
        <v>761.51</v>
      </c>
      <c r="M788" s="4">
        <v>0</v>
      </c>
      <c r="N788" s="3">
        <f t="shared" si="60"/>
        <v>2476.88</v>
      </c>
      <c r="O788" s="3">
        <f t="shared" si="61"/>
        <v>2476.88</v>
      </c>
      <c r="P788" s="3">
        <f t="shared" si="62"/>
        <v>1523.02</v>
      </c>
      <c r="Q788" s="3">
        <f t="shared" si="63"/>
        <v>953.86</v>
      </c>
      <c r="R788" s="4">
        <f t="shared" si="64"/>
        <v>0.3851</v>
      </c>
      <c r="S788" s="2">
        <v>3</v>
      </c>
      <c r="T788" t="s">
        <v>46</v>
      </c>
      <c r="U788">
        <v>2</v>
      </c>
    </row>
    <row r="789" spans="1:22" x14ac:dyDescent="0.25">
      <c r="A789" s="1">
        <v>46207</v>
      </c>
      <c r="B789" t="s">
        <v>985</v>
      </c>
      <c r="C789" t="s">
        <v>214</v>
      </c>
      <c r="D789" t="s">
        <v>139</v>
      </c>
      <c r="E789" t="s">
        <v>72</v>
      </c>
      <c r="F789" t="s">
        <v>64</v>
      </c>
      <c r="G789" t="s">
        <v>51</v>
      </c>
      <c r="H789" t="s">
        <v>59</v>
      </c>
      <c r="I789" t="s">
        <v>77</v>
      </c>
      <c r="J789" s="2">
        <v>1</v>
      </c>
      <c r="K789" s="3">
        <v>2121.3000000000002</v>
      </c>
      <c r="L789" s="3">
        <v>1461.31</v>
      </c>
      <c r="M789" s="4">
        <v>0.10440000000000001</v>
      </c>
      <c r="N789" s="3">
        <f t="shared" si="60"/>
        <v>2121.3000000000002</v>
      </c>
      <c r="O789" s="3">
        <f t="shared" si="61"/>
        <v>1899.84</v>
      </c>
      <c r="P789" s="3">
        <f t="shared" si="62"/>
        <v>1461.31</v>
      </c>
      <c r="Q789" s="3">
        <f t="shared" si="63"/>
        <v>438.53</v>
      </c>
      <c r="R789" s="4">
        <f t="shared" si="64"/>
        <v>0.23080000000000001</v>
      </c>
      <c r="S789" s="2">
        <v>3</v>
      </c>
      <c r="T789" t="s">
        <v>46</v>
      </c>
      <c r="U789">
        <v>4</v>
      </c>
    </row>
    <row r="790" spans="1:22" x14ac:dyDescent="0.25">
      <c r="A790" s="1">
        <v>46147</v>
      </c>
      <c r="B790" t="s">
        <v>986</v>
      </c>
      <c r="C790" t="s">
        <v>243</v>
      </c>
      <c r="D790" t="s">
        <v>101</v>
      </c>
      <c r="E790" t="s">
        <v>35</v>
      </c>
      <c r="F790" t="s">
        <v>26</v>
      </c>
      <c r="G790" t="s">
        <v>37</v>
      </c>
      <c r="H790" t="s">
        <v>178</v>
      </c>
      <c r="I790" t="s">
        <v>74</v>
      </c>
      <c r="J790" s="2">
        <v>3</v>
      </c>
      <c r="K790" s="3">
        <v>528.79</v>
      </c>
      <c r="L790" s="3">
        <v>241.02</v>
      </c>
      <c r="M790" s="4">
        <v>0.39760000000000001</v>
      </c>
      <c r="N790" s="3">
        <f t="shared" si="60"/>
        <v>1586.37</v>
      </c>
      <c r="O790" s="3">
        <f t="shared" si="61"/>
        <v>955.63</v>
      </c>
      <c r="P790" s="3">
        <f t="shared" si="62"/>
        <v>723.06</v>
      </c>
      <c r="Q790" s="3">
        <f t="shared" si="63"/>
        <v>232.57</v>
      </c>
      <c r="R790" s="4">
        <f t="shared" si="64"/>
        <v>0.24340000000000001</v>
      </c>
      <c r="S790" s="2">
        <v>8</v>
      </c>
      <c r="T790" t="s">
        <v>46</v>
      </c>
      <c r="U790">
        <v>4</v>
      </c>
      <c r="V790" t="s">
        <v>31</v>
      </c>
    </row>
    <row r="791" spans="1:22" x14ac:dyDescent="0.25">
      <c r="A791" s="1">
        <v>46135</v>
      </c>
      <c r="B791" t="s">
        <v>987</v>
      </c>
      <c r="C791" t="s">
        <v>204</v>
      </c>
      <c r="D791" t="s">
        <v>85</v>
      </c>
      <c r="E791" t="s">
        <v>50</v>
      </c>
      <c r="F791" t="s">
        <v>26</v>
      </c>
      <c r="G791" t="s">
        <v>44</v>
      </c>
      <c r="H791" t="s">
        <v>73</v>
      </c>
      <c r="I791" t="s">
        <v>65</v>
      </c>
      <c r="J791" s="2">
        <v>1</v>
      </c>
      <c r="K791" s="3">
        <v>1610.86</v>
      </c>
      <c r="L791" s="3">
        <v>1130.6300000000001</v>
      </c>
      <c r="M791" s="4">
        <v>0</v>
      </c>
      <c r="N791" s="3">
        <f t="shared" si="60"/>
        <v>1610.86</v>
      </c>
      <c r="O791" s="3">
        <f t="shared" si="61"/>
        <v>1610.86</v>
      </c>
      <c r="P791" s="3">
        <f t="shared" si="62"/>
        <v>1130.6300000000001</v>
      </c>
      <c r="Q791" s="3">
        <f t="shared" si="63"/>
        <v>480.23</v>
      </c>
      <c r="R791" s="4">
        <f t="shared" si="64"/>
        <v>0.29809999999999998</v>
      </c>
      <c r="S791" s="2">
        <v>5</v>
      </c>
      <c r="T791" t="s">
        <v>46</v>
      </c>
      <c r="U791">
        <v>2</v>
      </c>
    </row>
    <row r="792" spans="1:22" x14ac:dyDescent="0.25">
      <c r="A792" s="1">
        <v>46220</v>
      </c>
      <c r="B792" t="s">
        <v>988</v>
      </c>
      <c r="C792" t="s">
        <v>243</v>
      </c>
      <c r="D792" t="s">
        <v>34</v>
      </c>
      <c r="E792" t="s">
        <v>35</v>
      </c>
      <c r="F792" t="s">
        <v>58</v>
      </c>
      <c r="G792" t="s">
        <v>51</v>
      </c>
      <c r="H792" t="s">
        <v>116</v>
      </c>
      <c r="I792" t="s">
        <v>74</v>
      </c>
      <c r="J792" s="2">
        <v>3</v>
      </c>
      <c r="K792" s="3">
        <v>2669.88</v>
      </c>
      <c r="L792" s="3">
        <v>1865.15</v>
      </c>
      <c r="M792" s="4">
        <v>0.15329999999999999</v>
      </c>
      <c r="N792" s="3">
        <f t="shared" si="60"/>
        <v>8009.64</v>
      </c>
      <c r="O792" s="3">
        <f t="shared" si="61"/>
        <v>6781.76</v>
      </c>
      <c r="P792" s="3">
        <f t="shared" si="62"/>
        <v>5595.45</v>
      </c>
      <c r="Q792" s="3">
        <f t="shared" si="63"/>
        <v>1186.31</v>
      </c>
      <c r="R792" s="4">
        <f t="shared" si="64"/>
        <v>0.1749</v>
      </c>
      <c r="S792" s="2">
        <v>2</v>
      </c>
      <c r="T792" t="s">
        <v>46</v>
      </c>
      <c r="U792">
        <v>4</v>
      </c>
    </row>
    <row r="793" spans="1:22" x14ac:dyDescent="0.25">
      <c r="A793" s="1">
        <v>46104</v>
      </c>
      <c r="B793" t="s">
        <v>989</v>
      </c>
      <c r="C793" t="s">
        <v>370</v>
      </c>
      <c r="D793" t="s">
        <v>101</v>
      </c>
      <c r="E793" t="s">
        <v>35</v>
      </c>
      <c r="F793" t="s">
        <v>64</v>
      </c>
      <c r="G793" t="s">
        <v>37</v>
      </c>
      <c r="H793" t="s">
        <v>178</v>
      </c>
      <c r="I793" t="s">
        <v>77</v>
      </c>
      <c r="J793" s="2">
        <v>1</v>
      </c>
      <c r="K793" s="3">
        <v>504.17</v>
      </c>
      <c r="L793" s="3">
        <v>234.66</v>
      </c>
      <c r="M793" s="4">
        <v>6.3500000000000001E-2</v>
      </c>
      <c r="N793" s="3">
        <f t="shared" si="60"/>
        <v>504.17</v>
      </c>
      <c r="O793" s="3">
        <f t="shared" si="61"/>
        <v>472.16</v>
      </c>
      <c r="P793" s="3">
        <f t="shared" si="62"/>
        <v>234.66</v>
      </c>
      <c r="Q793" s="3">
        <f t="shared" si="63"/>
        <v>237.5</v>
      </c>
      <c r="R793" s="4">
        <f t="shared" si="64"/>
        <v>0.503</v>
      </c>
      <c r="S793" s="2">
        <v>11</v>
      </c>
      <c r="T793" t="s">
        <v>40</v>
      </c>
    </row>
    <row r="794" spans="1:22" x14ac:dyDescent="0.25">
      <c r="A794" s="1">
        <v>46184</v>
      </c>
      <c r="B794" t="s">
        <v>990</v>
      </c>
      <c r="C794" t="s">
        <v>433</v>
      </c>
      <c r="D794" t="s">
        <v>126</v>
      </c>
      <c r="E794" t="s">
        <v>57</v>
      </c>
      <c r="F794" t="s">
        <v>64</v>
      </c>
      <c r="G794" t="s">
        <v>44</v>
      </c>
      <c r="H794" t="s">
        <v>73</v>
      </c>
      <c r="I794" t="s">
        <v>77</v>
      </c>
      <c r="J794" s="2">
        <v>5</v>
      </c>
      <c r="K794" s="3">
        <v>1711.2</v>
      </c>
      <c r="L794" s="3">
        <v>1063.04</v>
      </c>
      <c r="M794" s="4">
        <v>5.9900000000000002E-2</v>
      </c>
      <c r="N794" s="3">
        <f t="shared" si="60"/>
        <v>8556</v>
      </c>
      <c r="O794" s="3">
        <f t="shared" si="61"/>
        <v>8043.5</v>
      </c>
      <c r="P794" s="3">
        <f t="shared" si="62"/>
        <v>5315.2</v>
      </c>
      <c r="Q794" s="3">
        <f t="shared" si="63"/>
        <v>2728.3</v>
      </c>
      <c r="R794" s="4">
        <f t="shared" si="64"/>
        <v>0.3392</v>
      </c>
      <c r="S794" s="2">
        <v>9</v>
      </c>
      <c r="T794" t="s">
        <v>46</v>
      </c>
      <c r="U794">
        <v>2</v>
      </c>
    </row>
    <row r="795" spans="1:22" x14ac:dyDescent="0.25">
      <c r="A795" s="1">
        <v>46188</v>
      </c>
      <c r="B795" t="s">
        <v>991</v>
      </c>
      <c r="C795" t="s">
        <v>170</v>
      </c>
      <c r="D795" t="s">
        <v>63</v>
      </c>
      <c r="E795" t="s">
        <v>35</v>
      </c>
      <c r="F795" t="s">
        <v>26</v>
      </c>
      <c r="G795" t="s">
        <v>37</v>
      </c>
      <c r="H795" t="s">
        <v>104</v>
      </c>
      <c r="I795" t="s">
        <v>53</v>
      </c>
      <c r="J795" s="2">
        <v>3</v>
      </c>
      <c r="K795" s="3">
        <v>310.93</v>
      </c>
      <c r="L795" s="3">
        <v>132.19</v>
      </c>
      <c r="M795" s="4">
        <v>0.12039999999999999</v>
      </c>
      <c r="N795" s="3">
        <f t="shared" si="60"/>
        <v>932.79</v>
      </c>
      <c r="O795" s="3">
        <f t="shared" si="61"/>
        <v>820.48</v>
      </c>
      <c r="P795" s="3">
        <f t="shared" si="62"/>
        <v>396.57</v>
      </c>
      <c r="Q795" s="3">
        <f t="shared" si="63"/>
        <v>423.91</v>
      </c>
      <c r="R795" s="4">
        <f t="shared" si="64"/>
        <v>0.51670000000000005</v>
      </c>
      <c r="S795" s="2">
        <v>8</v>
      </c>
      <c r="T795" t="s">
        <v>40</v>
      </c>
    </row>
    <row r="796" spans="1:22" x14ac:dyDescent="0.25">
      <c r="A796" s="1">
        <v>46081</v>
      </c>
      <c r="B796" t="s">
        <v>992</v>
      </c>
      <c r="C796" t="s">
        <v>456</v>
      </c>
      <c r="D796" t="s">
        <v>63</v>
      </c>
      <c r="E796" t="s">
        <v>35</v>
      </c>
      <c r="F796" t="s">
        <v>58</v>
      </c>
      <c r="G796" t="s">
        <v>44</v>
      </c>
      <c r="H796" t="s">
        <v>73</v>
      </c>
      <c r="I796" t="s">
        <v>94</v>
      </c>
      <c r="J796" s="2">
        <v>6</v>
      </c>
      <c r="K796" s="3">
        <v>1675.55</v>
      </c>
      <c r="L796" s="3">
        <v>1075.6400000000001</v>
      </c>
      <c r="M796" s="4">
        <v>3.5000000000000003E-2</v>
      </c>
      <c r="N796" s="3">
        <f t="shared" si="60"/>
        <v>10053.299999999999</v>
      </c>
      <c r="O796" s="3">
        <f t="shared" si="61"/>
        <v>9701.43</v>
      </c>
      <c r="P796" s="3">
        <f t="shared" si="62"/>
        <v>6453.84</v>
      </c>
      <c r="Q796" s="3">
        <f t="shared" si="63"/>
        <v>3247.59</v>
      </c>
      <c r="R796" s="4">
        <f t="shared" si="64"/>
        <v>0.33479999999999999</v>
      </c>
      <c r="S796" s="2">
        <v>2</v>
      </c>
      <c r="T796" t="s">
        <v>40</v>
      </c>
    </row>
    <row r="797" spans="1:22" x14ac:dyDescent="0.25">
      <c r="A797" s="1">
        <v>46089</v>
      </c>
      <c r="B797" t="s">
        <v>993</v>
      </c>
      <c r="C797" t="s">
        <v>204</v>
      </c>
      <c r="D797" t="s">
        <v>34</v>
      </c>
      <c r="E797" t="s">
        <v>35</v>
      </c>
      <c r="F797" t="s">
        <v>26</v>
      </c>
      <c r="G797" t="s">
        <v>27</v>
      </c>
      <c r="H797" t="s">
        <v>86</v>
      </c>
      <c r="I797" t="s">
        <v>87</v>
      </c>
      <c r="J797" s="2">
        <v>4</v>
      </c>
      <c r="K797" s="3">
        <v>1942.71</v>
      </c>
      <c r="L797" s="3">
        <v>1154.5</v>
      </c>
      <c r="M797" s="4">
        <v>0</v>
      </c>
      <c r="N797" s="3">
        <f t="shared" si="60"/>
        <v>7770.84</v>
      </c>
      <c r="O797" s="3">
        <f t="shared" si="61"/>
        <v>7770.84</v>
      </c>
      <c r="P797" s="3">
        <f t="shared" si="62"/>
        <v>4618</v>
      </c>
      <c r="Q797" s="3">
        <f t="shared" si="63"/>
        <v>3152.84</v>
      </c>
      <c r="R797" s="4">
        <f t="shared" si="64"/>
        <v>0.40570000000000001</v>
      </c>
      <c r="S797" s="2">
        <v>8</v>
      </c>
      <c r="T797" t="s">
        <v>46</v>
      </c>
      <c r="U797">
        <v>3</v>
      </c>
    </row>
    <row r="798" spans="1:22" x14ac:dyDescent="0.25">
      <c r="A798" s="1">
        <v>46097</v>
      </c>
      <c r="B798" t="s">
        <v>994</v>
      </c>
      <c r="C798" t="s">
        <v>286</v>
      </c>
      <c r="D798" t="s">
        <v>113</v>
      </c>
      <c r="E798" t="s">
        <v>50</v>
      </c>
      <c r="F798" t="s">
        <v>36</v>
      </c>
      <c r="G798" t="s">
        <v>37</v>
      </c>
      <c r="H798" t="s">
        <v>38</v>
      </c>
      <c r="I798" t="s">
        <v>39</v>
      </c>
      <c r="J798" s="2">
        <v>1</v>
      </c>
      <c r="K798" s="3">
        <v>451.54</v>
      </c>
      <c r="L798" s="3">
        <v>190.15</v>
      </c>
      <c r="M798" s="4">
        <v>2.7900000000000001E-2</v>
      </c>
      <c r="N798" s="3">
        <f t="shared" si="60"/>
        <v>451.54</v>
      </c>
      <c r="O798" s="3">
        <f t="shared" si="61"/>
        <v>438.94</v>
      </c>
      <c r="P798" s="3">
        <f t="shared" si="62"/>
        <v>190.15</v>
      </c>
      <c r="Q798" s="3">
        <f t="shared" si="63"/>
        <v>248.79</v>
      </c>
      <c r="R798" s="4">
        <f t="shared" si="64"/>
        <v>0.56679999999999997</v>
      </c>
      <c r="S798" s="2">
        <v>9</v>
      </c>
      <c r="T798" t="s">
        <v>46</v>
      </c>
      <c r="U798">
        <v>3</v>
      </c>
    </row>
    <row r="799" spans="1:22" x14ac:dyDescent="0.25">
      <c r="A799" s="1">
        <v>46207</v>
      </c>
      <c r="B799" t="s">
        <v>995</v>
      </c>
      <c r="C799" t="s">
        <v>349</v>
      </c>
      <c r="D799" t="s">
        <v>121</v>
      </c>
      <c r="E799" t="s">
        <v>72</v>
      </c>
      <c r="F799" t="s">
        <v>58</v>
      </c>
      <c r="G799" t="s">
        <v>44</v>
      </c>
      <c r="H799" t="s">
        <v>124</v>
      </c>
      <c r="I799" t="s">
        <v>39</v>
      </c>
      <c r="J799" s="2">
        <v>7</v>
      </c>
      <c r="K799" s="3">
        <v>6156.52</v>
      </c>
      <c r="L799" s="3">
        <v>4672.57</v>
      </c>
      <c r="M799" s="4">
        <v>3.5000000000000003E-2</v>
      </c>
      <c r="N799" s="3">
        <f t="shared" si="60"/>
        <v>43095.64</v>
      </c>
      <c r="O799" s="3">
        <f t="shared" si="61"/>
        <v>41587.29</v>
      </c>
      <c r="P799" s="3">
        <f t="shared" si="62"/>
        <v>32707.99</v>
      </c>
      <c r="Q799" s="3">
        <f t="shared" si="63"/>
        <v>8879.2999999999993</v>
      </c>
      <c r="R799" s="4">
        <f t="shared" si="64"/>
        <v>0.2135</v>
      </c>
      <c r="S799" s="2">
        <v>5</v>
      </c>
      <c r="T799" t="s">
        <v>46</v>
      </c>
      <c r="U799">
        <v>3</v>
      </c>
    </row>
    <row r="800" spans="1:22" x14ac:dyDescent="0.25">
      <c r="A800" s="1">
        <v>46134</v>
      </c>
      <c r="B800" t="s">
        <v>996</v>
      </c>
      <c r="C800" t="s">
        <v>96</v>
      </c>
      <c r="D800" t="s">
        <v>126</v>
      </c>
      <c r="E800" t="s">
        <v>57</v>
      </c>
      <c r="F800" t="s">
        <v>36</v>
      </c>
      <c r="G800" t="s">
        <v>37</v>
      </c>
      <c r="H800" t="s">
        <v>104</v>
      </c>
      <c r="I800" t="s">
        <v>53</v>
      </c>
      <c r="J800" s="2">
        <v>5</v>
      </c>
      <c r="K800" s="3">
        <v>310.49</v>
      </c>
      <c r="L800" s="3">
        <v>131.56</v>
      </c>
      <c r="M800" s="4">
        <v>0</v>
      </c>
      <c r="N800" s="3">
        <f t="shared" si="60"/>
        <v>1552.45</v>
      </c>
      <c r="O800" s="3">
        <f t="shared" si="61"/>
        <v>1552.45</v>
      </c>
      <c r="P800" s="3">
        <f t="shared" si="62"/>
        <v>657.8</v>
      </c>
      <c r="Q800" s="3">
        <f t="shared" si="63"/>
        <v>894.65</v>
      </c>
      <c r="R800" s="4">
        <f t="shared" si="64"/>
        <v>0.57630000000000003</v>
      </c>
      <c r="S800" s="2">
        <v>4</v>
      </c>
      <c r="T800" t="s">
        <v>46</v>
      </c>
      <c r="U800">
        <v>3</v>
      </c>
    </row>
    <row r="801" spans="1:22" x14ac:dyDescent="0.25">
      <c r="A801" s="1">
        <v>46206</v>
      </c>
      <c r="B801" t="s">
        <v>997</v>
      </c>
      <c r="C801" t="s">
        <v>115</v>
      </c>
      <c r="D801" t="s">
        <v>71</v>
      </c>
      <c r="E801" t="s">
        <v>72</v>
      </c>
      <c r="F801" t="s">
        <v>64</v>
      </c>
      <c r="G801" t="s">
        <v>51</v>
      </c>
      <c r="H801" t="s">
        <v>116</v>
      </c>
      <c r="I801" t="s">
        <v>74</v>
      </c>
      <c r="J801" s="2">
        <v>8</v>
      </c>
      <c r="K801" s="3">
        <v>2914.5</v>
      </c>
      <c r="L801" s="3">
        <v>1805.27</v>
      </c>
      <c r="M801" s="4">
        <v>0</v>
      </c>
      <c r="N801" s="3">
        <f t="shared" si="60"/>
        <v>23316</v>
      </c>
      <c r="O801" s="3">
        <f t="shared" si="61"/>
        <v>23316</v>
      </c>
      <c r="P801" s="3">
        <f t="shared" si="62"/>
        <v>14442.16</v>
      </c>
      <c r="Q801" s="3">
        <f t="shared" si="63"/>
        <v>8873.84</v>
      </c>
      <c r="R801" s="4">
        <f t="shared" si="64"/>
        <v>0.38059999999999999</v>
      </c>
      <c r="S801" s="2">
        <v>14</v>
      </c>
      <c r="T801" t="s">
        <v>30</v>
      </c>
      <c r="U801">
        <v>3</v>
      </c>
    </row>
    <row r="802" spans="1:22" x14ac:dyDescent="0.25">
      <c r="A802" s="1">
        <v>46045</v>
      </c>
      <c r="B802" t="s">
        <v>998</v>
      </c>
      <c r="C802" t="s">
        <v>33</v>
      </c>
      <c r="D802" t="s">
        <v>43</v>
      </c>
      <c r="E802" t="s">
        <v>25</v>
      </c>
      <c r="F802" t="s">
        <v>26</v>
      </c>
      <c r="G802" t="s">
        <v>44</v>
      </c>
      <c r="H802" t="s">
        <v>124</v>
      </c>
      <c r="I802" t="s">
        <v>29</v>
      </c>
      <c r="J802" s="2">
        <v>1</v>
      </c>
      <c r="K802" s="3">
        <v>5987.18</v>
      </c>
      <c r="L802" s="3">
        <v>4660.97</v>
      </c>
      <c r="M802" s="4">
        <v>0</v>
      </c>
      <c r="N802" s="3">
        <f t="shared" si="60"/>
        <v>5987.18</v>
      </c>
      <c r="O802" s="3">
        <f t="shared" si="61"/>
        <v>5987.18</v>
      </c>
      <c r="P802" s="3">
        <f t="shared" si="62"/>
        <v>4660.97</v>
      </c>
      <c r="Q802" s="3">
        <f t="shared" si="63"/>
        <v>1326.21</v>
      </c>
      <c r="R802" s="4">
        <f t="shared" si="64"/>
        <v>0.2215</v>
      </c>
      <c r="S802" s="2">
        <v>8</v>
      </c>
      <c r="T802" t="s">
        <v>46</v>
      </c>
      <c r="U802">
        <v>2</v>
      </c>
    </row>
    <row r="803" spans="1:22" x14ac:dyDescent="0.25">
      <c r="A803" s="1">
        <v>46149</v>
      </c>
      <c r="B803" t="s">
        <v>999</v>
      </c>
      <c r="C803" t="s">
        <v>433</v>
      </c>
      <c r="D803" t="s">
        <v>49</v>
      </c>
      <c r="E803" t="s">
        <v>50</v>
      </c>
      <c r="F803" t="s">
        <v>58</v>
      </c>
      <c r="G803" t="s">
        <v>44</v>
      </c>
      <c r="H803" t="s">
        <v>45</v>
      </c>
      <c r="I803" t="s">
        <v>60</v>
      </c>
      <c r="J803" s="2">
        <v>3</v>
      </c>
      <c r="K803" s="3">
        <v>375.28</v>
      </c>
      <c r="L803" s="3">
        <v>205.86</v>
      </c>
      <c r="M803" s="4">
        <v>3.5000000000000003E-2</v>
      </c>
      <c r="N803" s="3">
        <f t="shared" si="60"/>
        <v>1125.8399999999999</v>
      </c>
      <c r="O803" s="3">
        <f t="shared" si="61"/>
        <v>1086.44</v>
      </c>
      <c r="P803" s="3">
        <f t="shared" si="62"/>
        <v>617.58000000000004</v>
      </c>
      <c r="Q803" s="3">
        <f t="shared" si="63"/>
        <v>468.86</v>
      </c>
      <c r="R803" s="4">
        <f t="shared" si="64"/>
        <v>0.43159999999999998</v>
      </c>
      <c r="S803" s="2">
        <v>5</v>
      </c>
      <c r="T803" t="s">
        <v>46</v>
      </c>
      <c r="U803">
        <v>2</v>
      </c>
    </row>
    <row r="804" spans="1:22" x14ac:dyDescent="0.25">
      <c r="A804" s="1">
        <v>46185</v>
      </c>
      <c r="B804" t="s">
        <v>1000</v>
      </c>
      <c r="C804" t="s">
        <v>401</v>
      </c>
      <c r="D804" t="s">
        <v>43</v>
      </c>
      <c r="E804" t="s">
        <v>25</v>
      </c>
      <c r="F804" t="s">
        <v>26</v>
      </c>
      <c r="G804" t="s">
        <v>44</v>
      </c>
      <c r="H804" t="s">
        <v>45</v>
      </c>
      <c r="I804" t="s">
        <v>87</v>
      </c>
      <c r="J804" s="2">
        <v>1</v>
      </c>
      <c r="K804" s="3">
        <v>371.81</v>
      </c>
      <c r="L804" s="3">
        <v>215.98</v>
      </c>
      <c r="M804" s="4">
        <v>0</v>
      </c>
      <c r="N804" s="3">
        <f t="shared" si="60"/>
        <v>371.81</v>
      </c>
      <c r="O804" s="3">
        <f t="shared" si="61"/>
        <v>371.81</v>
      </c>
      <c r="P804" s="3">
        <f t="shared" si="62"/>
        <v>215.98</v>
      </c>
      <c r="Q804" s="3">
        <f t="shared" si="63"/>
        <v>155.83000000000001</v>
      </c>
      <c r="R804" s="4">
        <f t="shared" si="64"/>
        <v>0.41909999999999997</v>
      </c>
      <c r="S804" s="2">
        <v>12</v>
      </c>
      <c r="T804" t="s">
        <v>30</v>
      </c>
      <c r="U804">
        <v>3</v>
      </c>
    </row>
    <row r="805" spans="1:22" x14ac:dyDescent="0.25">
      <c r="A805" s="1">
        <v>46138</v>
      </c>
      <c r="B805" t="s">
        <v>1001</v>
      </c>
      <c r="C805" t="s">
        <v>447</v>
      </c>
      <c r="D805" t="s">
        <v>101</v>
      </c>
      <c r="E805" t="s">
        <v>35</v>
      </c>
      <c r="F805" t="s">
        <v>64</v>
      </c>
      <c r="G805" t="s">
        <v>51</v>
      </c>
      <c r="H805" t="s">
        <v>116</v>
      </c>
      <c r="I805" t="s">
        <v>77</v>
      </c>
      <c r="J805" s="2">
        <v>1</v>
      </c>
      <c r="K805" s="3">
        <v>2691.71</v>
      </c>
      <c r="L805" s="3">
        <v>1819.13</v>
      </c>
      <c r="M805" s="4">
        <v>7.5700000000000003E-2</v>
      </c>
      <c r="N805" s="3">
        <f t="shared" si="60"/>
        <v>2691.71</v>
      </c>
      <c r="O805" s="3">
        <f t="shared" si="61"/>
        <v>2487.9499999999998</v>
      </c>
      <c r="P805" s="3">
        <f t="shared" si="62"/>
        <v>1819.13</v>
      </c>
      <c r="Q805" s="3">
        <f t="shared" si="63"/>
        <v>668.82</v>
      </c>
      <c r="R805" s="4">
        <f t="shared" si="64"/>
        <v>0.26879999999999998</v>
      </c>
      <c r="S805" s="2">
        <v>29</v>
      </c>
      <c r="T805" t="s">
        <v>30</v>
      </c>
      <c r="U805">
        <v>1</v>
      </c>
      <c r="V805" t="s">
        <v>208</v>
      </c>
    </row>
    <row r="806" spans="1:22" x14ac:dyDescent="0.25">
      <c r="A806" s="1">
        <v>46146</v>
      </c>
      <c r="B806" t="s">
        <v>1002</v>
      </c>
      <c r="C806" t="s">
        <v>386</v>
      </c>
      <c r="D806" t="s">
        <v>24</v>
      </c>
      <c r="E806" t="s">
        <v>25</v>
      </c>
      <c r="F806" t="s">
        <v>26</v>
      </c>
      <c r="G806" t="s">
        <v>27</v>
      </c>
      <c r="H806" t="s">
        <v>28</v>
      </c>
      <c r="I806" t="s">
        <v>74</v>
      </c>
      <c r="J806" s="2">
        <v>2</v>
      </c>
      <c r="K806" s="3">
        <v>761.24</v>
      </c>
      <c r="L806" s="3">
        <v>465.27</v>
      </c>
      <c r="M806" s="4">
        <v>8.5300000000000001E-2</v>
      </c>
      <c r="N806" s="3">
        <f t="shared" si="60"/>
        <v>1522.48</v>
      </c>
      <c r="O806" s="3">
        <f t="shared" si="61"/>
        <v>1392.61</v>
      </c>
      <c r="P806" s="3">
        <f t="shared" si="62"/>
        <v>930.54</v>
      </c>
      <c r="Q806" s="3">
        <f t="shared" si="63"/>
        <v>462.07</v>
      </c>
      <c r="R806" s="4">
        <f t="shared" si="64"/>
        <v>0.33179999999999998</v>
      </c>
      <c r="S806" s="2">
        <v>8</v>
      </c>
      <c r="T806" t="s">
        <v>46</v>
      </c>
      <c r="U806">
        <v>2</v>
      </c>
    </row>
    <row r="807" spans="1:22" x14ac:dyDescent="0.25">
      <c r="A807" s="1">
        <v>46075</v>
      </c>
      <c r="B807" t="s">
        <v>1003</v>
      </c>
      <c r="C807" t="s">
        <v>100</v>
      </c>
      <c r="D807" t="s">
        <v>207</v>
      </c>
      <c r="E807" t="s">
        <v>35</v>
      </c>
      <c r="F807" t="s">
        <v>58</v>
      </c>
      <c r="G807" t="s">
        <v>51</v>
      </c>
      <c r="H807" t="s">
        <v>52</v>
      </c>
      <c r="I807" t="s">
        <v>53</v>
      </c>
      <c r="J807" s="2">
        <v>8</v>
      </c>
      <c r="K807" s="3">
        <v>255.61</v>
      </c>
      <c r="L807" s="3">
        <v>118.03</v>
      </c>
      <c r="M807" s="4">
        <v>0.16389999999999999</v>
      </c>
      <c r="N807" s="3">
        <f t="shared" si="60"/>
        <v>2044.88</v>
      </c>
      <c r="O807" s="3">
        <f t="shared" si="61"/>
        <v>1709.72</v>
      </c>
      <c r="P807" s="3">
        <f t="shared" si="62"/>
        <v>944.24</v>
      </c>
      <c r="Q807" s="3">
        <f t="shared" si="63"/>
        <v>765.48</v>
      </c>
      <c r="R807" s="4">
        <f t="shared" si="64"/>
        <v>0.44769999999999999</v>
      </c>
      <c r="S807" s="2">
        <v>14</v>
      </c>
      <c r="T807" t="s">
        <v>30</v>
      </c>
      <c r="U807">
        <v>5</v>
      </c>
    </row>
    <row r="808" spans="1:22" x14ac:dyDescent="0.25">
      <c r="A808" s="1">
        <v>46106</v>
      </c>
      <c r="B808" t="s">
        <v>1004</v>
      </c>
      <c r="C808" t="s">
        <v>525</v>
      </c>
      <c r="D808" t="s">
        <v>101</v>
      </c>
      <c r="E808" t="s">
        <v>35</v>
      </c>
      <c r="F808" t="s">
        <v>58</v>
      </c>
      <c r="G808" t="s">
        <v>27</v>
      </c>
      <c r="H808" t="s">
        <v>68</v>
      </c>
      <c r="I808" t="s">
        <v>39</v>
      </c>
      <c r="J808" s="2">
        <v>3</v>
      </c>
      <c r="K808" s="3">
        <v>1268.95</v>
      </c>
      <c r="L808" s="3">
        <v>793.03</v>
      </c>
      <c r="M808" s="4">
        <v>3.5000000000000003E-2</v>
      </c>
      <c r="N808" s="3">
        <f t="shared" si="60"/>
        <v>3806.85</v>
      </c>
      <c r="O808" s="3">
        <f t="shared" si="61"/>
        <v>3673.61</v>
      </c>
      <c r="P808" s="3">
        <f t="shared" si="62"/>
        <v>2379.09</v>
      </c>
      <c r="Q808" s="3">
        <f t="shared" si="63"/>
        <v>1294.52</v>
      </c>
      <c r="R808" s="4">
        <f t="shared" si="64"/>
        <v>0.35239999999999999</v>
      </c>
      <c r="S808" s="2">
        <v>8</v>
      </c>
      <c r="T808" t="s">
        <v>46</v>
      </c>
      <c r="U808">
        <v>5</v>
      </c>
    </row>
    <row r="809" spans="1:22" x14ac:dyDescent="0.25">
      <c r="A809" s="1">
        <v>46129</v>
      </c>
      <c r="B809" t="s">
        <v>1005</v>
      </c>
      <c r="C809" t="s">
        <v>144</v>
      </c>
      <c r="D809" t="s">
        <v>24</v>
      </c>
      <c r="E809" t="s">
        <v>25</v>
      </c>
      <c r="F809" t="s">
        <v>58</v>
      </c>
      <c r="G809" t="s">
        <v>44</v>
      </c>
      <c r="H809" t="s">
        <v>73</v>
      </c>
      <c r="I809" t="s">
        <v>53</v>
      </c>
      <c r="J809" s="2">
        <v>7</v>
      </c>
      <c r="K809" s="3">
        <v>1722.25</v>
      </c>
      <c r="L809" s="3">
        <v>1169.81</v>
      </c>
      <c r="M809" s="4">
        <v>3.5000000000000003E-2</v>
      </c>
      <c r="N809" s="3">
        <f t="shared" si="60"/>
        <v>12055.75</v>
      </c>
      <c r="O809" s="3">
        <f t="shared" si="61"/>
        <v>11633.8</v>
      </c>
      <c r="P809" s="3">
        <f t="shared" si="62"/>
        <v>8188.67</v>
      </c>
      <c r="Q809" s="3">
        <f t="shared" si="63"/>
        <v>3445.13</v>
      </c>
      <c r="R809" s="4">
        <f t="shared" si="64"/>
        <v>0.29609999999999997</v>
      </c>
      <c r="S809" s="2">
        <v>5</v>
      </c>
      <c r="T809" t="s">
        <v>46</v>
      </c>
      <c r="U809">
        <v>4</v>
      </c>
    </row>
    <row r="810" spans="1:22" x14ac:dyDescent="0.25">
      <c r="A810" s="1">
        <v>46110</v>
      </c>
      <c r="B810" t="s">
        <v>1006</v>
      </c>
      <c r="C810" t="s">
        <v>386</v>
      </c>
      <c r="D810" t="s">
        <v>24</v>
      </c>
      <c r="E810" t="s">
        <v>25</v>
      </c>
      <c r="F810" t="s">
        <v>58</v>
      </c>
      <c r="G810" t="s">
        <v>44</v>
      </c>
      <c r="H810" t="s">
        <v>73</v>
      </c>
      <c r="I810" t="s">
        <v>74</v>
      </c>
      <c r="J810" s="2">
        <v>8</v>
      </c>
      <c r="K810" s="3">
        <v>1695.83</v>
      </c>
      <c r="L810" s="3">
        <v>1147.6400000000001</v>
      </c>
      <c r="M810" s="4">
        <v>7.4399999999999994E-2</v>
      </c>
      <c r="N810" s="3">
        <f t="shared" si="60"/>
        <v>13566.64</v>
      </c>
      <c r="O810" s="3">
        <f t="shared" si="61"/>
        <v>12557.28</v>
      </c>
      <c r="P810" s="3">
        <f t="shared" si="62"/>
        <v>9181.1200000000008</v>
      </c>
      <c r="Q810" s="3">
        <f t="shared" si="63"/>
        <v>3376.16</v>
      </c>
      <c r="R810" s="4">
        <f t="shared" si="64"/>
        <v>0.26889999999999997</v>
      </c>
      <c r="S810" s="2">
        <v>7</v>
      </c>
      <c r="T810" t="s">
        <v>46</v>
      </c>
      <c r="U810">
        <v>3</v>
      </c>
    </row>
    <row r="811" spans="1:22" x14ac:dyDescent="0.25">
      <c r="A811" s="1">
        <v>46225</v>
      </c>
      <c r="B811" t="s">
        <v>1007</v>
      </c>
      <c r="C811" t="s">
        <v>144</v>
      </c>
      <c r="D811" t="s">
        <v>113</v>
      </c>
      <c r="E811" t="s">
        <v>50</v>
      </c>
      <c r="F811" t="s">
        <v>26</v>
      </c>
      <c r="G811" t="s">
        <v>37</v>
      </c>
      <c r="H811" t="s">
        <v>104</v>
      </c>
      <c r="I811" t="s">
        <v>29</v>
      </c>
      <c r="J811" s="2">
        <v>2</v>
      </c>
      <c r="K811" s="3">
        <v>321.93</v>
      </c>
      <c r="L811" s="3">
        <v>129.71</v>
      </c>
      <c r="M811" s="4">
        <v>0.1169</v>
      </c>
      <c r="N811" s="3">
        <f t="shared" si="60"/>
        <v>643.86</v>
      </c>
      <c r="O811" s="3">
        <f t="shared" si="61"/>
        <v>568.59</v>
      </c>
      <c r="P811" s="3">
        <f t="shared" si="62"/>
        <v>259.42</v>
      </c>
      <c r="Q811" s="3">
        <f t="shared" si="63"/>
        <v>309.17</v>
      </c>
      <c r="R811" s="4">
        <f t="shared" si="64"/>
        <v>0.54369999999999996</v>
      </c>
      <c r="S811" s="2">
        <v>9</v>
      </c>
      <c r="T811" t="s">
        <v>46</v>
      </c>
      <c r="U811">
        <v>2</v>
      </c>
    </row>
    <row r="812" spans="1:22" x14ac:dyDescent="0.25">
      <c r="A812" s="1">
        <v>46185</v>
      </c>
      <c r="B812" t="s">
        <v>1008</v>
      </c>
      <c r="C812" t="s">
        <v>247</v>
      </c>
      <c r="D812" t="s">
        <v>63</v>
      </c>
      <c r="E812" t="s">
        <v>35</v>
      </c>
      <c r="F812" t="s">
        <v>36</v>
      </c>
      <c r="G812" t="s">
        <v>51</v>
      </c>
      <c r="H812" t="s">
        <v>59</v>
      </c>
      <c r="I812" t="s">
        <v>65</v>
      </c>
      <c r="J812" s="2">
        <v>5</v>
      </c>
      <c r="K812" s="3">
        <v>2158.2199999999998</v>
      </c>
      <c r="L812" s="3">
        <v>1453.16</v>
      </c>
      <c r="M812" s="4">
        <v>1.9199999999999998E-2</v>
      </c>
      <c r="N812" s="3">
        <f t="shared" si="60"/>
        <v>10791.1</v>
      </c>
      <c r="O812" s="3">
        <f t="shared" si="61"/>
        <v>10583.91</v>
      </c>
      <c r="P812" s="3">
        <f t="shared" si="62"/>
        <v>7265.8</v>
      </c>
      <c r="Q812" s="3">
        <f t="shared" si="63"/>
        <v>3318.11</v>
      </c>
      <c r="R812" s="4">
        <f t="shared" si="64"/>
        <v>0.3135</v>
      </c>
      <c r="S812" s="2">
        <v>11</v>
      </c>
      <c r="T812" t="s">
        <v>30</v>
      </c>
      <c r="U812">
        <v>3</v>
      </c>
    </row>
    <row r="813" spans="1:22" x14ac:dyDescent="0.25">
      <c r="A813" s="1">
        <v>46056</v>
      </c>
      <c r="B813" t="s">
        <v>1009</v>
      </c>
      <c r="C813" t="s">
        <v>253</v>
      </c>
      <c r="D813" t="s">
        <v>113</v>
      </c>
      <c r="E813" t="s">
        <v>50</v>
      </c>
      <c r="F813" t="s">
        <v>64</v>
      </c>
      <c r="G813" t="s">
        <v>37</v>
      </c>
      <c r="H813" t="s">
        <v>104</v>
      </c>
      <c r="I813" t="s">
        <v>65</v>
      </c>
      <c r="J813" s="2">
        <v>2</v>
      </c>
      <c r="K813" s="3">
        <v>325.04000000000002</v>
      </c>
      <c r="L813" s="3">
        <v>140.87</v>
      </c>
      <c r="M813" s="4">
        <v>0</v>
      </c>
      <c r="N813" s="3">
        <f t="shared" si="60"/>
        <v>650.08000000000004</v>
      </c>
      <c r="O813" s="3">
        <f t="shared" si="61"/>
        <v>650.08000000000004</v>
      </c>
      <c r="P813" s="3">
        <f t="shared" si="62"/>
        <v>281.74</v>
      </c>
      <c r="Q813" s="3">
        <f t="shared" si="63"/>
        <v>368.34</v>
      </c>
      <c r="R813" s="4">
        <f t="shared" si="64"/>
        <v>0.56659999999999999</v>
      </c>
      <c r="S813" s="2">
        <v>11</v>
      </c>
      <c r="T813" t="s">
        <v>30</v>
      </c>
      <c r="U813">
        <v>5</v>
      </c>
    </row>
    <row r="814" spans="1:22" x14ac:dyDescent="0.25">
      <c r="A814" s="1">
        <v>46112</v>
      </c>
      <c r="B814" t="s">
        <v>1010</v>
      </c>
      <c r="C814" t="s">
        <v>138</v>
      </c>
      <c r="D814" t="s">
        <v>24</v>
      </c>
      <c r="E814" t="s">
        <v>25</v>
      </c>
      <c r="F814" t="s">
        <v>26</v>
      </c>
      <c r="G814" t="s">
        <v>51</v>
      </c>
      <c r="H814" t="s">
        <v>52</v>
      </c>
      <c r="I814" t="s">
        <v>65</v>
      </c>
      <c r="J814" s="2">
        <v>7</v>
      </c>
      <c r="K814" s="3">
        <v>273.74</v>
      </c>
      <c r="L814" s="3">
        <v>125.49</v>
      </c>
      <c r="M814" s="4">
        <v>9.5999999999999992E-3</v>
      </c>
      <c r="N814" s="3">
        <f t="shared" si="60"/>
        <v>1916.18</v>
      </c>
      <c r="O814" s="3">
        <f t="shared" si="61"/>
        <v>1897.78</v>
      </c>
      <c r="P814" s="3">
        <f t="shared" si="62"/>
        <v>878.43</v>
      </c>
      <c r="Q814" s="3">
        <f t="shared" si="63"/>
        <v>1019.35</v>
      </c>
      <c r="R814" s="4">
        <f t="shared" si="64"/>
        <v>0.53710000000000002</v>
      </c>
      <c r="S814" s="2">
        <v>14</v>
      </c>
      <c r="T814" t="s">
        <v>30</v>
      </c>
      <c r="U814">
        <v>2</v>
      </c>
    </row>
    <row r="815" spans="1:22" x14ac:dyDescent="0.25">
      <c r="A815" s="1">
        <v>46143</v>
      </c>
      <c r="B815" t="s">
        <v>1011</v>
      </c>
      <c r="C815" t="s">
        <v>195</v>
      </c>
      <c r="D815" t="s">
        <v>207</v>
      </c>
      <c r="E815" t="s">
        <v>35</v>
      </c>
      <c r="F815" t="s">
        <v>64</v>
      </c>
      <c r="G815" t="s">
        <v>51</v>
      </c>
      <c r="H815" t="s">
        <v>59</v>
      </c>
      <c r="I815" t="s">
        <v>60</v>
      </c>
      <c r="J815" s="2">
        <v>6</v>
      </c>
      <c r="K815" s="3">
        <v>2257.9899999999998</v>
      </c>
      <c r="L815" s="3">
        <v>1383.86</v>
      </c>
      <c r="M815" s="4">
        <v>9.8299999999999998E-2</v>
      </c>
      <c r="N815" s="3">
        <f t="shared" si="60"/>
        <v>13547.94</v>
      </c>
      <c r="O815" s="3">
        <f t="shared" si="61"/>
        <v>12216.18</v>
      </c>
      <c r="P815" s="3">
        <f t="shared" si="62"/>
        <v>8303.16</v>
      </c>
      <c r="Q815" s="3">
        <f t="shared" si="63"/>
        <v>3913.02</v>
      </c>
      <c r="R815" s="4">
        <f t="shared" si="64"/>
        <v>0.32029999999999997</v>
      </c>
      <c r="S815" s="2">
        <v>12</v>
      </c>
      <c r="T815" t="s">
        <v>30</v>
      </c>
      <c r="U815">
        <v>3</v>
      </c>
    </row>
    <row r="816" spans="1:22" x14ac:dyDescent="0.25">
      <c r="A816" s="1">
        <v>46121</v>
      </c>
      <c r="B816" t="s">
        <v>1012</v>
      </c>
      <c r="C816" t="s">
        <v>401</v>
      </c>
      <c r="D816" t="s">
        <v>34</v>
      </c>
      <c r="E816" t="s">
        <v>35</v>
      </c>
      <c r="F816" t="s">
        <v>36</v>
      </c>
      <c r="G816" t="s">
        <v>51</v>
      </c>
      <c r="H816" t="s">
        <v>116</v>
      </c>
      <c r="I816" t="s">
        <v>65</v>
      </c>
      <c r="J816" s="2">
        <v>6</v>
      </c>
      <c r="K816" s="3">
        <v>2901.63</v>
      </c>
      <c r="L816" s="3">
        <v>1833.48</v>
      </c>
      <c r="M816" s="4">
        <v>0</v>
      </c>
      <c r="N816" s="3">
        <f t="shared" si="60"/>
        <v>17409.78</v>
      </c>
      <c r="O816" s="3">
        <f t="shared" si="61"/>
        <v>17409.78</v>
      </c>
      <c r="P816" s="3">
        <f t="shared" si="62"/>
        <v>11000.88</v>
      </c>
      <c r="Q816" s="3">
        <f t="shared" si="63"/>
        <v>6408.9</v>
      </c>
      <c r="R816" s="4">
        <f t="shared" si="64"/>
        <v>0.36809999999999998</v>
      </c>
      <c r="S816" s="2">
        <v>2</v>
      </c>
      <c r="T816" t="s">
        <v>46</v>
      </c>
      <c r="U816">
        <v>4</v>
      </c>
    </row>
    <row r="817" spans="1:21" x14ac:dyDescent="0.25">
      <c r="A817" s="1">
        <v>46226</v>
      </c>
      <c r="B817" t="s">
        <v>1013</v>
      </c>
      <c r="C817" t="s">
        <v>220</v>
      </c>
      <c r="D817" t="s">
        <v>56</v>
      </c>
      <c r="E817" t="s">
        <v>57</v>
      </c>
      <c r="F817" t="s">
        <v>58</v>
      </c>
      <c r="G817" t="s">
        <v>37</v>
      </c>
      <c r="H817" t="s">
        <v>178</v>
      </c>
      <c r="I817" t="s">
        <v>65</v>
      </c>
      <c r="J817" s="2">
        <v>6</v>
      </c>
      <c r="K817" s="3">
        <v>509.86</v>
      </c>
      <c r="L817" s="3">
        <v>248.67</v>
      </c>
      <c r="M817" s="4">
        <v>0.14849999999999999</v>
      </c>
      <c r="N817" s="3">
        <f t="shared" si="60"/>
        <v>3059.16</v>
      </c>
      <c r="O817" s="3">
        <f t="shared" si="61"/>
        <v>2604.87</v>
      </c>
      <c r="P817" s="3">
        <f t="shared" si="62"/>
        <v>1492.02</v>
      </c>
      <c r="Q817" s="3">
        <f t="shared" si="63"/>
        <v>1112.8499999999999</v>
      </c>
      <c r="R817" s="4">
        <f t="shared" si="64"/>
        <v>0.42720000000000002</v>
      </c>
      <c r="S817" s="2">
        <v>9</v>
      </c>
      <c r="T817" t="s">
        <v>46</v>
      </c>
      <c r="U817">
        <v>5</v>
      </c>
    </row>
    <row r="818" spans="1:21" x14ac:dyDescent="0.25">
      <c r="A818" s="1">
        <v>46101</v>
      </c>
      <c r="B818" t="s">
        <v>1014</v>
      </c>
      <c r="C818" t="s">
        <v>70</v>
      </c>
      <c r="D818" t="s">
        <v>49</v>
      </c>
      <c r="E818" t="s">
        <v>50</v>
      </c>
      <c r="F818" t="s">
        <v>26</v>
      </c>
      <c r="G818" t="s">
        <v>37</v>
      </c>
      <c r="H818" t="s">
        <v>104</v>
      </c>
      <c r="I818" t="s">
        <v>94</v>
      </c>
      <c r="J818" s="2">
        <v>2</v>
      </c>
      <c r="K818" s="3">
        <v>310.52999999999997</v>
      </c>
      <c r="L818" s="3">
        <v>131.11000000000001</v>
      </c>
      <c r="M818" s="4">
        <v>0</v>
      </c>
      <c r="N818" s="3">
        <f t="shared" si="60"/>
        <v>621.05999999999995</v>
      </c>
      <c r="O818" s="3">
        <f t="shared" si="61"/>
        <v>621.05999999999995</v>
      </c>
      <c r="P818" s="3">
        <f t="shared" si="62"/>
        <v>262.22000000000003</v>
      </c>
      <c r="Q818" s="3">
        <f t="shared" si="63"/>
        <v>358.84</v>
      </c>
      <c r="R818" s="4">
        <f t="shared" si="64"/>
        <v>0.57779999999999998</v>
      </c>
      <c r="S818" s="2">
        <v>3</v>
      </c>
      <c r="T818" t="s">
        <v>46</v>
      </c>
      <c r="U818">
        <v>5</v>
      </c>
    </row>
    <row r="819" spans="1:21" x14ac:dyDescent="0.25">
      <c r="A819" s="1">
        <v>46107</v>
      </c>
      <c r="B819" t="s">
        <v>1015</v>
      </c>
      <c r="C819" t="s">
        <v>144</v>
      </c>
      <c r="D819" t="s">
        <v>49</v>
      </c>
      <c r="E819" t="s">
        <v>50</v>
      </c>
      <c r="F819" t="s">
        <v>64</v>
      </c>
      <c r="G819" t="s">
        <v>44</v>
      </c>
      <c r="H819" t="s">
        <v>73</v>
      </c>
      <c r="I819" t="s">
        <v>29</v>
      </c>
      <c r="J819" s="2">
        <v>1</v>
      </c>
      <c r="K819" s="3">
        <v>1664.17</v>
      </c>
      <c r="L819" s="3">
        <v>1071.9100000000001</v>
      </c>
      <c r="M819" s="4">
        <v>0</v>
      </c>
      <c r="N819" s="3">
        <f t="shared" si="60"/>
        <v>1664.17</v>
      </c>
      <c r="O819" s="3">
        <f t="shared" si="61"/>
        <v>1664.17</v>
      </c>
      <c r="P819" s="3">
        <f t="shared" si="62"/>
        <v>1071.9100000000001</v>
      </c>
      <c r="Q819" s="3">
        <f t="shared" si="63"/>
        <v>592.26</v>
      </c>
      <c r="R819" s="4">
        <f t="shared" si="64"/>
        <v>0.35589999999999999</v>
      </c>
      <c r="S819" s="2">
        <v>8</v>
      </c>
      <c r="T819" t="s">
        <v>46</v>
      </c>
      <c r="U819">
        <v>4</v>
      </c>
    </row>
    <row r="820" spans="1:21" x14ac:dyDescent="0.25">
      <c r="A820" s="1">
        <v>46207</v>
      </c>
      <c r="B820" t="s">
        <v>1016</v>
      </c>
      <c r="C820" t="s">
        <v>142</v>
      </c>
      <c r="D820" t="s">
        <v>207</v>
      </c>
      <c r="E820" t="s">
        <v>35</v>
      </c>
      <c r="F820" t="s">
        <v>36</v>
      </c>
      <c r="G820" t="s">
        <v>44</v>
      </c>
      <c r="H820" t="s">
        <v>45</v>
      </c>
      <c r="I820" t="s">
        <v>87</v>
      </c>
      <c r="J820" s="2">
        <v>4</v>
      </c>
      <c r="K820" s="3">
        <v>385</v>
      </c>
      <c r="L820" s="3">
        <v>201.87</v>
      </c>
      <c r="M820" s="4">
        <v>9.9699999999999997E-2</v>
      </c>
      <c r="N820" s="3">
        <f t="shared" si="60"/>
        <v>1540</v>
      </c>
      <c r="O820" s="3">
        <f t="shared" si="61"/>
        <v>1386.46</v>
      </c>
      <c r="P820" s="3">
        <f t="shared" si="62"/>
        <v>807.48</v>
      </c>
      <c r="Q820" s="3">
        <f t="shared" si="63"/>
        <v>578.98</v>
      </c>
      <c r="R820" s="4">
        <f t="shared" si="64"/>
        <v>0.41760000000000003</v>
      </c>
      <c r="S820" s="2">
        <v>8</v>
      </c>
      <c r="T820" t="s">
        <v>46</v>
      </c>
      <c r="U820">
        <v>5</v>
      </c>
    </row>
    <row r="821" spans="1:21" x14ac:dyDescent="0.25">
      <c r="A821" s="1">
        <v>46050</v>
      </c>
      <c r="B821" t="s">
        <v>1017</v>
      </c>
      <c r="C821" t="s">
        <v>606</v>
      </c>
      <c r="D821" t="s">
        <v>24</v>
      </c>
      <c r="E821" t="s">
        <v>25</v>
      </c>
      <c r="F821" t="s">
        <v>36</v>
      </c>
      <c r="G821" t="s">
        <v>37</v>
      </c>
      <c r="H821" t="s">
        <v>104</v>
      </c>
      <c r="I821" t="s">
        <v>77</v>
      </c>
      <c r="J821" s="2">
        <v>8</v>
      </c>
      <c r="K821" s="3">
        <v>330.55</v>
      </c>
      <c r="L821" s="3">
        <v>143.94999999999999</v>
      </c>
      <c r="M821" s="4">
        <v>0</v>
      </c>
      <c r="N821" s="3">
        <f t="shared" si="60"/>
        <v>2644.4</v>
      </c>
      <c r="O821" s="3">
        <f t="shared" si="61"/>
        <v>2644.4</v>
      </c>
      <c r="P821" s="3">
        <f t="shared" si="62"/>
        <v>1151.5999999999999</v>
      </c>
      <c r="Q821" s="3">
        <f t="shared" si="63"/>
        <v>1492.8</v>
      </c>
      <c r="R821" s="4">
        <f t="shared" si="64"/>
        <v>0.5645</v>
      </c>
      <c r="S821" s="2">
        <v>6</v>
      </c>
      <c r="T821" t="s">
        <v>46</v>
      </c>
      <c r="U821">
        <v>4</v>
      </c>
    </row>
    <row r="822" spans="1:21" x14ac:dyDescent="0.25">
      <c r="A822" s="1">
        <v>46099</v>
      </c>
      <c r="B822" t="s">
        <v>1018</v>
      </c>
      <c r="C822" t="s">
        <v>176</v>
      </c>
      <c r="D822" t="s">
        <v>71</v>
      </c>
      <c r="E822" t="s">
        <v>72</v>
      </c>
      <c r="F822" t="s">
        <v>36</v>
      </c>
      <c r="G822" t="s">
        <v>27</v>
      </c>
      <c r="H822" t="s">
        <v>28</v>
      </c>
      <c r="I822" t="s">
        <v>65</v>
      </c>
      <c r="J822" s="2">
        <v>3</v>
      </c>
      <c r="K822" s="3">
        <v>755.79</v>
      </c>
      <c r="L822" s="3">
        <v>456.17</v>
      </c>
      <c r="M822" s="4">
        <v>1.7600000000000001E-2</v>
      </c>
      <c r="N822" s="3">
        <f t="shared" si="60"/>
        <v>2267.37</v>
      </c>
      <c r="O822" s="3">
        <f t="shared" si="61"/>
        <v>2227.46</v>
      </c>
      <c r="P822" s="3">
        <f t="shared" si="62"/>
        <v>1368.51</v>
      </c>
      <c r="Q822" s="3">
        <f t="shared" si="63"/>
        <v>858.95</v>
      </c>
      <c r="R822" s="4">
        <f t="shared" si="64"/>
        <v>0.3856</v>
      </c>
      <c r="S822" s="2">
        <v>7</v>
      </c>
      <c r="T822" t="s">
        <v>46</v>
      </c>
      <c r="U822">
        <v>4</v>
      </c>
    </row>
    <row r="823" spans="1:21" x14ac:dyDescent="0.25">
      <c r="A823" s="1">
        <v>46104</v>
      </c>
      <c r="B823" t="s">
        <v>1019</v>
      </c>
      <c r="C823" t="s">
        <v>294</v>
      </c>
      <c r="D823" t="s">
        <v>101</v>
      </c>
      <c r="E823" t="s">
        <v>35</v>
      </c>
      <c r="F823" t="s">
        <v>36</v>
      </c>
      <c r="G823" t="s">
        <v>37</v>
      </c>
      <c r="H823" t="s">
        <v>104</v>
      </c>
      <c r="I823" t="s">
        <v>65</v>
      </c>
      <c r="J823" s="2">
        <v>5</v>
      </c>
      <c r="K823" s="3">
        <v>304.49</v>
      </c>
      <c r="L823" s="3">
        <v>138.12</v>
      </c>
      <c r="M823" s="4">
        <v>0</v>
      </c>
      <c r="N823" s="3">
        <f t="shared" si="60"/>
        <v>1522.45</v>
      </c>
      <c r="O823" s="3">
        <f t="shared" si="61"/>
        <v>1522.45</v>
      </c>
      <c r="P823" s="3">
        <f t="shared" si="62"/>
        <v>690.6</v>
      </c>
      <c r="Q823" s="3">
        <f t="shared" si="63"/>
        <v>831.85</v>
      </c>
      <c r="R823" s="4">
        <f t="shared" si="64"/>
        <v>0.5464</v>
      </c>
      <c r="S823" s="2">
        <v>6</v>
      </c>
      <c r="T823" t="s">
        <v>46</v>
      </c>
      <c r="U823">
        <v>4</v>
      </c>
    </row>
    <row r="824" spans="1:21" x14ac:dyDescent="0.25">
      <c r="A824" s="1">
        <v>46051</v>
      </c>
      <c r="B824" t="s">
        <v>497</v>
      </c>
      <c r="C824" t="s">
        <v>100</v>
      </c>
      <c r="D824" t="s">
        <v>24</v>
      </c>
      <c r="E824" t="s">
        <v>25</v>
      </c>
      <c r="F824" t="s">
        <v>26</v>
      </c>
      <c r="G824" t="s">
        <v>37</v>
      </c>
      <c r="H824" t="s">
        <v>38</v>
      </c>
      <c r="I824" t="s">
        <v>87</v>
      </c>
      <c r="J824" s="2">
        <v>1</v>
      </c>
      <c r="K824" s="3">
        <v>419.49</v>
      </c>
      <c r="L824" s="3">
        <v>206.34</v>
      </c>
      <c r="M824" s="4">
        <v>0.1138</v>
      </c>
      <c r="N824" s="3">
        <f t="shared" si="60"/>
        <v>419.49</v>
      </c>
      <c r="O824" s="3">
        <f t="shared" si="61"/>
        <v>371.75</v>
      </c>
      <c r="P824" s="3">
        <f t="shared" si="62"/>
        <v>206.34</v>
      </c>
      <c r="Q824" s="3">
        <f t="shared" si="63"/>
        <v>165.41</v>
      </c>
      <c r="R824" s="4">
        <f t="shared" si="64"/>
        <v>0.44490000000000002</v>
      </c>
      <c r="S824" s="2">
        <v>4</v>
      </c>
      <c r="T824" t="s">
        <v>46</v>
      </c>
      <c r="U824">
        <v>4</v>
      </c>
    </row>
    <row r="825" spans="1:21" x14ac:dyDescent="0.25">
      <c r="A825" s="1">
        <v>46107</v>
      </c>
      <c r="B825" t="s">
        <v>1020</v>
      </c>
      <c r="C825" t="s">
        <v>386</v>
      </c>
      <c r="D825" t="s">
        <v>56</v>
      </c>
      <c r="E825" t="s">
        <v>57</v>
      </c>
      <c r="F825" t="s">
        <v>26</v>
      </c>
      <c r="G825" t="s">
        <v>51</v>
      </c>
      <c r="H825" t="s">
        <v>116</v>
      </c>
      <c r="I825" t="s">
        <v>29</v>
      </c>
      <c r="J825" s="2">
        <v>6</v>
      </c>
      <c r="K825" s="3">
        <v>2947.13</v>
      </c>
      <c r="L825" s="3">
        <v>1840.54</v>
      </c>
      <c r="M825" s="4">
        <v>0.126</v>
      </c>
      <c r="N825" s="3">
        <f t="shared" si="60"/>
        <v>17682.78</v>
      </c>
      <c r="O825" s="3">
        <f t="shared" si="61"/>
        <v>15454.75</v>
      </c>
      <c r="P825" s="3">
        <f t="shared" si="62"/>
        <v>11043.24</v>
      </c>
      <c r="Q825" s="3">
        <f t="shared" si="63"/>
        <v>4411.51</v>
      </c>
      <c r="R825" s="4">
        <f t="shared" si="64"/>
        <v>0.28539999999999999</v>
      </c>
      <c r="S825" s="2">
        <v>3</v>
      </c>
      <c r="T825" t="s">
        <v>46</v>
      </c>
      <c r="U825">
        <v>4</v>
      </c>
    </row>
    <row r="826" spans="1:21" x14ac:dyDescent="0.25">
      <c r="A826" s="1">
        <v>46165</v>
      </c>
      <c r="B826" t="s">
        <v>1021</v>
      </c>
      <c r="C826" t="s">
        <v>464</v>
      </c>
      <c r="D826" t="s">
        <v>207</v>
      </c>
      <c r="E826" t="s">
        <v>35</v>
      </c>
      <c r="F826" t="s">
        <v>64</v>
      </c>
      <c r="G826" t="s">
        <v>44</v>
      </c>
      <c r="H826" t="s">
        <v>73</v>
      </c>
      <c r="I826" t="s">
        <v>94</v>
      </c>
      <c r="J826" s="2">
        <v>2</v>
      </c>
      <c r="K826" s="3">
        <v>1756.59</v>
      </c>
      <c r="L826" s="3">
        <v>1132.7</v>
      </c>
      <c r="M826" s="4">
        <v>3.8100000000000002E-2</v>
      </c>
      <c r="N826" s="3">
        <f t="shared" si="60"/>
        <v>3513.18</v>
      </c>
      <c r="O826" s="3">
        <f t="shared" si="61"/>
        <v>3379.33</v>
      </c>
      <c r="P826" s="3">
        <f t="shared" si="62"/>
        <v>2265.4</v>
      </c>
      <c r="Q826" s="3">
        <f t="shared" si="63"/>
        <v>1113.93</v>
      </c>
      <c r="R826" s="4">
        <f t="shared" si="64"/>
        <v>0.3296</v>
      </c>
      <c r="S826" s="2">
        <v>9</v>
      </c>
      <c r="T826" t="s">
        <v>46</v>
      </c>
      <c r="U826">
        <v>4</v>
      </c>
    </row>
    <row r="827" spans="1:21" x14ac:dyDescent="0.25">
      <c r="A827" s="1">
        <v>46143</v>
      </c>
      <c r="B827" t="s">
        <v>1022</v>
      </c>
      <c r="C827" t="s">
        <v>520</v>
      </c>
      <c r="D827" t="s">
        <v>207</v>
      </c>
      <c r="E827" t="s">
        <v>35</v>
      </c>
      <c r="F827" t="s">
        <v>36</v>
      </c>
      <c r="G827" t="s">
        <v>37</v>
      </c>
      <c r="H827" t="s">
        <v>178</v>
      </c>
      <c r="I827" t="s">
        <v>29</v>
      </c>
      <c r="J827" s="2">
        <v>1</v>
      </c>
      <c r="K827" s="3">
        <v>494.65</v>
      </c>
      <c r="L827" s="3">
        <v>234.94</v>
      </c>
      <c r="M827" s="4">
        <v>0</v>
      </c>
      <c r="N827" s="3">
        <f t="shared" si="60"/>
        <v>494.65</v>
      </c>
      <c r="O827" s="3">
        <f t="shared" si="61"/>
        <v>494.65</v>
      </c>
      <c r="P827" s="3">
        <f t="shared" si="62"/>
        <v>234.94</v>
      </c>
      <c r="Q827" s="3">
        <f t="shared" si="63"/>
        <v>259.70999999999998</v>
      </c>
      <c r="R827" s="4">
        <f t="shared" si="64"/>
        <v>0.52500000000000002</v>
      </c>
      <c r="S827" s="2">
        <v>3</v>
      </c>
      <c r="T827" t="s">
        <v>46</v>
      </c>
      <c r="U827">
        <v>4</v>
      </c>
    </row>
    <row r="828" spans="1:21" x14ac:dyDescent="0.25">
      <c r="A828" s="1">
        <v>46052</v>
      </c>
      <c r="B828" t="s">
        <v>1023</v>
      </c>
      <c r="C828" t="s">
        <v>456</v>
      </c>
      <c r="D828" t="s">
        <v>34</v>
      </c>
      <c r="E828" t="s">
        <v>35</v>
      </c>
      <c r="F828" t="s">
        <v>36</v>
      </c>
      <c r="G828" t="s">
        <v>51</v>
      </c>
      <c r="H828" t="s">
        <v>59</v>
      </c>
      <c r="I828" t="s">
        <v>60</v>
      </c>
      <c r="J828" s="2">
        <v>5</v>
      </c>
      <c r="K828" s="3">
        <v>2157.81</v>
      </c>
      <c r="L828" s="3">
        <v>1371.14</v>
      </c>
      <c r="M828" s="4">
        <v>3.3999999999999998E-3</v>
      </c>
      <c r="N828" s="3">
        <f t="shared" si="60"/>
        <v>10789.05</v>
      </c>
      <c r="O828" s="3">
        <f t="shared" si="61"/>
        <v>10752.37</v>
      </c>
      <c r="P828" s="3">
        <f t="shared" si="62"/>
        <v>6855.7</v>
      </c>
      <c r="Q828" s="3">
        <f t="shared" si="63"/>
        <v>3896.67</v>
      </c>
      <c r="R828" s="4">
        <f t="shared" si="64"/>
        <v>0.3624</v>
      </c>
      <c r="S828" s="2">
        <v>4</v>
      </c>
      <c r="T828" t="s">
        <v>46</v>
      </c>
      <c r="U828">
        <v>5</v>
      </c>
    </row>
    <row r="829" spans="1:21" x14ac:dyDescent="0.25">
      <c r="A829" s="1">
        <v>46062</v>
      </c>
      <c r="B829" t="s">
        <v>1024</v>
      </c>
      <c r="C829" t="s">
        <v>112</v>
      </c>
      <c r="D829" t="s">
        <v>139</v>
      </c>
      <c r="E829" t="s">
        <v>72</v>
      </c>
      <c r="F829" t="s">
        <v>26</v>
      </c>
      <c r="G829" t="s">
        <v>27</v>
      </c>
      <c r="H829" t="s">
        <v>68</v>
      </c>
      <c r="I829" t="s">
        <v>77</v>
      </c>
      <c r="J829" s="2">
        <v>6</v>
      </c>
      <c r="K829" s="3">
        <v>1291.8900000000001</v>
      </c>
      <c r="L829" s="3">
        <v>783.62</v>
      </c>
      <c r="M829" s="4">
        <v>0.1053</v>
      </c>
      <c r="N829" s="3">
        <f t="shared" si="60"/>
        <v>7751.34</v>
      </c>
      <c r="O829" s="3">
        <f t="shared" si="61"/>
        <v>6935.12</v>
      </c>
      <c r="P829" s="3">
        <f t="shared" si="62"/>
        <v>4701.72</v>
      </c>
      <c r="Q829" s="3">
        <f t="shared" si="63"/>
        <v>2233.4</v>
      </c>
      <c r="R829" s="4">
        <f t="shared" si="64"/>
        <v>0.32200000000000001</v>
      </c>
      <c r="S829" s="2">
        <v>14</v>
      </c>
      <c r="T829" t="s">
        <v>30</v>
      </c>
      <c r="U829">
        <v>5</v>
      </c>
    </row>
    <row r="830" spans="1:21" x14ac:dyDescent="0.25">
      <c r="A830" s="1">
        <v>46229</v>
      </c>
      <c r="B830" t="s">
        <v>1025</v>
      </c>
      <c r="C830" t="s">
        <v>288</v>
      </c>
      <c r="D830" t="s">
        <v>101</v>
      </c>
      <c r="E830" t="s">
        <v>35</v>
      </c>
      <c r="F830" t="s">
        <v>58</v>
      </c>
      <c r="G830" t="s">
        <v>27</v>
      </c>
      <c r="H830" t="s">
        <v>86</v>
      </c>
      <c r="I830" t="s">
        <v>29</v>
      </c>
      <c r="J830" s="2">
        <v>5</v>
      </c>
      <c r="K830" s="3">
        <v>1815.85</v>
      </c>
      <c r="L830" s="3">
        <v>1247.4100000000001</v>
      </c>
      <c r="M830" s="4">
        <v>0.1071</v>
      </c>
      <c r="N830" s="3">
        <f t="shared" si="60"/>
        <v>9079.25</v>
      </c>
      <c r="O830" s="3">
        <f t="shared" si="61"/>
        <v>8106.86</v>
      </c>
      <c r="P830" s="3">
        <f t="shared" si="62"/>
        <v>6237.05</v>
      </c>
      <c r="Q830" s="3">
        <f t="shared" si="63"/>
        <v>1869.81</v>
      </c>
      <c r="R830" s="4">
        <f t="shared" si="64"/>
        <v>0.2306</v>
      </c>
      <c r="S830" s="2">
        <v>3</v>
      </c>
      <c r="T830" t="s">
        <v>46</v>
      </c>
      <c r="U830">
        <v>2</v>
      </c>
    </row>
    <row r="831" spans="1:21" x14ac:dyDescent="0.25">
      <c r="A831" s="1">
        <v>46149</v>
      </c>
      <c r="B831" t="s">
        <v>1026</v>
      </c>
      <c r="C831" t="s">
        <v>590</v>
      </c>
      <c r="D831" t="s">
        <v>113</v>
      </c>
      <c r="E831" t="s">
        <v>50</v>
      </c>
      <c r="F831" t="s">
        <v>58</v>
      </c>
      <c r="G831" t="s">
        <v>37</v>
      </c>
      <c r="H831" t="s">
        <v>38</v>
      </c>
      <c r="I831" t="s">
        <v>53</v>
      </c>
      <c r="J831" s="2">
        <v>1</v>
      </c>
      <c r="K831" s="3">
        <v>432.49</v>
      </c>
      <c r="L831" s="3">
        <v>184.08</v>
      </c>
      <c r="M831" s="4">
        <v>5.5500000000000001E-2</v>
      </c>
      <c r="N831" s="3">
        <f t="shared" si="60"/>
        <v>432.49</v>
      </c>
      <c r="O831" s="3">
        <f t="shared" si="61"/>
        <v>408.49</v>
      </c>
      <c r="P831" s="3">
        <f t="shared" si="62"/>
        <v>184.08</v>
      </c>
      <c r="Q831" s="3">
        <f t="shared" si="63"/>
        <v>224.41</v>
      </c>
      <c r="R831" s="4">
        <f t="shared" si="64"/>
        <v>0.5494</v>
      </c>
      <c r="S831" s="2">
        <v>12</v>
      </c>
      <c r="T831" t="s">
        <v>30</v>
      </c>
      <c r="U831">
        <v>5</v>
      </c>
    </row>
    <row r="832" spans="1:21" x14ac:dyDescent="0.25">
      <c r="A832" s="1">
        <v>46167</v>
      </c>
      <c r="B832" t="s">
        <v>1027</v>
      </c>
      <c r="C832" t="s">
        <v>148</v>
      </c>
      <c r="D832" t="s">
        <v>24</v>
      </c>
      <c r="E832" t="s">
        <v>25</v>
      </c>
      <c r="F832" t="s">
        <v>64</v>
      </c>
      <c r="G832" t="s">
        <v>44</v>
      </c>
      <c r="H832" t="s">
        <v>73</v>
      </c>
      <c r="I832" t="s">
        <v>74</v>
      </c>
      <c r="J832" s="2">
        <v>4</v>
      </c>
      <c r="K832" s="3">
        <v>1757.81</v>
      </c>
      <c r="L832" s="3">
        <v>1135.1099999999999</v>
      </c>
      <c r="M832" s="4">
        <v>8.9999999999999998E-4</v>
      </c>
      <c r="N832" s="3">
        <f t="shared" si="60"/>
        <v>7031.24</v>
      </c>
      <c r="O832" s="3">
        <f t="shared" si="61"/>
        <v>7024.91</v>
      </c>
      <c r="P832" s="3">
        <f t="shared" si="62"/>
        <v>4540.4399999999996</v>
      </c>
      <c r="Q832" s="3">
        <f t="shared" si="63"/>
        <v>2484.4699999999998</v>
      </c>
      <c r="R832" s="4">
        <f t="shared" si="64"/>
        <v>0.35370000000000001</v>
      </c>
      <c r="S832" s="2">
        <v>13</v>
      </c>
      <c r="T832" t="s">
        <v>30</v>
      </c>
      <c r="U832">
        <v>4</v>
      </c>
    </row>
    <row r="833" spans="1:22" x14ac:dyDescent="0.25">
      <c r="A833" s="1">
        <v>46081</v>
      </c>
      <c r="B833" t="s">
        <v>1028</v>
      </c>
      <c r="C833" t="s">
        <v>480</v>
      </c>
      <c r="D833" t="s">
        <v>24</v>
      </c>
      <c r="E833" t="s">
        <v>25</v>
      </c>
      <c r="F833" t="s">
        <v>58</v>
      </c>
      <c r="G833" t="s">
        <v>27</v>
      </c>
      <c r="H833" t="s">
        <v>86</v>
      </c>
      <c r="I833" t="s">
        <v>94</v>
      </c>
      <c r="J833" s="2">
        <v>1</v>
      </c>
      <c r="K833" s="3">
        <v>1987.97</v>
      </c>
      <c r="L833" s="3">
        <v>1280.72</v>
      </c>
      <c r="M833" s="4">
        <v>4.4999999999999998E-2</v>
      </c>
      <c r="N833" s="3">
        <f t="shared" si="60"/>
        <v>1987.97</v>
      </c>
      <c r="O833" s="3">
        <f t="shared" si="61"/>
        <v>1898.51</v>
      </c>
      <c r="P833" s="3">
        <f t="shared" si="62"/>
        <v>1280.72</v>
      </c>
      <c r="Q833" s="3">
        <f t="shared" si="63"/>
        <v>617.79</v>
      </c>
      <c r="R833" s="4">
        <f t="shared" si="64"/>
        <v>0.32540000000000002</v>
      </c>
      <c r="S833" s="2">
        <v>2</v>
      </c>
      <c r="T833" t="s">
        <v>46</v>
      </c>
      <c r="U833">
        <v>3</v>
      </c>
    </row>
    <row r="834" spans="1:22" x14ac:dyDescent="0.25">
      <c r="A834" s="1">
        <v>46134</v>
      </c>
      <c r="B834" t="s">
        <v>1029</v>
      </c>
      <c r="C834" t="s">
        <v>198</v>
      </c>
      <c r="D834" t="s">
        <v>113</v>
      </c>
      <c r="E834" t="s">
        <v>50</v>
      </c>
      <c r="F834" t="s">
        <v>64</v>
      </c>
      <c r="G834" t="s">
        <v>51</v>
      </c>
      <c r="H834" t="s">
        <v>59</v>
      </c>
      <c r="I834" t="s">
        <v>39</v>
      </c>
      <c r="J834" s="2">
        <v>5</v>
      </c>
      <c r="K834" s="3">
        <v>2245.42</v>
      </c>
      <c r="L834" s="3">
        <v>1433.46</v>
      </c>
      <c r="M834" s="4">
        <v>0</v>
      </c>
      <c r="N834" s="3">
        <f t="shared" ref="N834:N897" si="65">ROUND(J834*K834,2)</f>
        <v>11227.1</v>
      </c>
      <c r="O834" s="3">
        <f t="shared" ref="O834:O897" si="66">ROUND(N834*(1-M834),2)</f>
        <v>11227.1</v>
      </c>
      <c r="P834" s="3">
        <f t="shared" ref="P834:P897" si="67">ROUND(J834*L834,2)</f>
        <v>7167.3</v>
      </c>
      <c r="Q834" s="3">
        <f t="shared" ref="Q834:Q897" si="68">ROUND(O834-P834,2)</f>
        <v>4059.8</v>
      </c>
      <c r="R834" s="4">
        <f t="shared" ref="R834:R897" si="69">IF(O834=0,0,ROUND(Q834/O834,4))</f>
        <v>0.36159999999999998</v>
      </c>
      <c r="S834" s="2">
        <v>6</v>
      </c>
      <c r="T834" t="s">
        <v>46</v>
      </c>
      <c r="U834">
        <v>3</v>
      </c>
    </row>
    <row r="835" spans="1:22" x14ac:dyDescent="0.25">
      <c r="A835" s="1">
        <v>46028</v>
      </c>
      <c r="B835" t="s">
        <v>1030</v>
      </c>
      <c r="C835" t="s">
        <v>206</v>
      </c>
      <c r="D835" t="s">
        <v>121</v>
      </c>
      <c r="E835" t="s">
        <v>72</v>
      </c>
      <c r="F835" t="s">
        <v>58</v>
      </c>
      <c r="G835" t="s">
        <v>27</v>
      </c>
      <c r="H835" t="s">
        <v>68</v>
      </c>
      <c r="I835" t="s">
        <v>39</v>
      </c>
      <c r="J835" s="2">
        <v>5</v>
      </c>
      <c r="K835" s="3">
        <v>1263.24</v>
      </c>
      <c r="L835" s="3">
        <v>820.28</v>
      </c>
      <c r="M835" s="4">
        <v>0.1132</v>
      </c>
      <c r="N835" s="3">
        <f t="shared" si="65"/>
        <v>6316.2</v>
      </c>
      <c r="O835" s="3">
        <f t="shared" si="66"/>
        <v>5601.21</v>
      </c>
      <c r="P835" s="3">
        <f t="shared" si="67"/>
        <v>4101.3999999999996</v>
      </c>
      <c r="Q835" s="3">
        <f t="shared" si="68"/>
        <v>1499.81</v>
      </c>
      <c r="R835" s="4">
        <f t="shared" si="69"/>
        <v>0.26779999999999998</v>
      </c>
      <c r="S835" s="2">
        <v>7</v>
      </c>
      <c r="T835" t="s">
        <v>46</v>
      </c>
      <c r="U835">
        <v>3</v>
      </c>
    </row>
    <row r="836" spans="1:22" x14ac:dyDescent="0.25">
      <c r="A836" s="1">
        <v>46098</v>
      </c>
      <c r="B836" t="s">
        <v>1031</v>
      </c>
      <c r="C836" t="s">
        <v>164</v>
      </c>
      <c r="D836" t="s">
        <v>49</v>
      </c>
      <c r="E836" t="s">
        <v>50</v>
      </c>
      <c r="F836" t="s">
        <v>64</v>
      </c>
      <c r="G836" t="s">
        <v>27</v>
      </c>
      <c r="H836" t="s">
        <v>86</v>
      </c>
      <c r="I836" t="s">
        <v>74</v>
      </c>
      <c r="J836" s="2">
        <v>4</v>
      </c>
      <c r="K836" s="3">
        <v>1850.52</v>
      </c>
      <c r="L836" s="3">
        <v>1219.3800000000001</v>
      </c>
      <c r="M836" s="4">
        <v>0</v>
      </c>
      <c r="N836" s="3">
        <f t="shared" si="65"/>
        <v>7402.08</v>
      </c>
      <c r="O836" s="3">
        <f t="shared" si="66"/>
        <v>7402.08</v>
      </c>
      <c r="P836" s="3">
        <f t="shared" si="67"/>
        <v>4877.5200000000004</v>
      </c>
      <c r="Q836" s="3">
        <f t="shared" si="68"/>
        <v>2524.56</v>
      </c>
      <c r="R836" s="4">
        <f t="shared" si="69"/>
        <v>0.34110000000000001</v>
      </c>
      <c r="S836" s="2">
        <v>12</v>
      </c>
      <c r="T836" t="s">
        <v>30</v>
      </c>
      <c r="U836">
        <v>4</v>
      </c>
    </row>
    <row r="837" spans="1:22" x14ac:dyDescent="0.25">
      <c r="A837" s="1">
        <v>46204</v>
      </c>
      <c r="B837" t="s">
        <v>1032</v>
      </c>
      <c r="C837" t="s">
        <v>168</v>
      </c>
      <c r="D837" t="s">
        <v>97</v>
      </c>
      <c r="E837" t="s">
        <v>57</v>
      </c>
      <c r="F837" t="s">
        <v>26</v>
      </c>
      <c r="G837" t="s">
        <v>44</v>
      </c>
      <c r="H837" t="s">
        <v>124</v>
      </c>
      <c r="I837" t="s">
        <v>94</v>
      </c>
      <c r="J837" s="2">
        <v>2</v>
      </c>
      <c r="K837" s="3">
        <v>5678.94</v>
      </c>
      <c r="L837" s="3">
        <v>4177.49</v>
      </c>
      <c r="M837" s="4">
        <v>0</v>
      </c>
      <c r="N837" s="3">
        <f t="shared" si="65"/>
        <v>11357.88</v>
      </c>
      <c r="O837" s="3">
        <f t="shared" si="66"/>
        <v>11357.88</v>
      </c>
      <c r="P837" s="3">
        <f t="shared" si="67"/>
        <v>8354.98</v>
      </c>
      <c r="Q837" s="3">
        <f t="shared" si="68"/>
        <v>3002.9</v>
      </c>
      <c r="R837" s="4">
        <f t="shared" si="69"/>
        <v>0.26440000000000002</v>
      </c>
      <c r="S837" s="2">
        <v>2</v>
      </c>
      <c r="T837" t="s">
        <v>46</v>
      </c>
      <c r="U837">
        <v>3</v>
      </c>
    </row>
    <row r="838" spans="1:22" x14ac:dyDescent="0.25">
      <c r="A838" s="1">
        <v>46219</v>
      </c>
      <c r="B838" t="s">
        <v>1033</v>
      </c>
      <c r="C838" t="s">
        <v>220</v>
      </c>
      <c r="D838" t="s">
        <v>113</v>
      </c>
      <c r="E838" t="s">
        <v>50</v>
      </c>
      <c r="F838" t="s">
        <v>64</v>
      </c>
      <c r="G838" t="s">
        <v>37</v>
      </c>
      <c r="H838" t="s">
        <v>104</v>
      </c>
      <c r="I838" t="s">
        <v>60</v>
      </c>
      <c r="J838" s="2">
        <v>7</v>
      </c>
      <c r="K838" s="3">
        <v>335.98</v>
      </c>
      <c r="L838" s="3">
        <v>135.49</v>
      </c>
      <c r="M838" s="4">
        <v>0</v>
      </c>
      <c r="N838" s="3">
        <f t="shared" si="65"/>
        <v>2351.86</v>
      </c>
      <c r="O838" s="3">
        <f t="shared" si="66"/>
        <v>2351.86</v>
      </c>
      <c r="P838" s="3">
        <f t="shared" si="67"/>
        <v>948.43</v>
      </c>
      <c r="Q838" s="3">
        <f t="shared" si="68"/>
        <v>1403.43</v>
      </c>
      <c r="R838" s="4">
        <f t="shared" si="69"/>
        <v>0.59670000000000001</v>
      </c>
      <c r="S838" s="2">
        <v>14</v>
      </c>
      <c r="T838" t="s">
        <v>30</v>
      </c>
      <c r="U838">
        <v>3</v>
      </c>
    </row>
    <row r="839" spans="1:22" x14ac:dyDescent="0.25">
      <c r="A839" s="1">
        <v>46234</v>
      </c>
      <c r="B839" t="s">
        <v>1034</v>
      </c>
      <c r="C839" t="s">
        <v>260</v>
      </c>
      <c r="D839" t="s">
        <v>24</v>
      </c>
      <c r="E839" t="s">
        <v>25</v>
      </c>
      <c r="F839" t="s">
        <v>64</v>
      </c>
      <c r="G839" t="s">
        <v>37</v>
      </c>
      <c r="H839" t="s">
        <v>178</v>
      </c>
      <c r="I839" t="s">
        <v>60</v>
      </c>
      <c r="J839" s="2">
        <v>8</v>
      </c>
      <c r="K839" s="3">
        <v>518.94000000000005</v>
      </c>
      <c r="L839" s="3">
        <v>246.39</v>
      </c>
      <c r="M839" s="4">
        <v>5.67E-2</v>
      </c>
      <c r="N839" s="3">
        <f t="shared" si="65"/>
        <v>4151.5200000000004</v>
      </c>
      <c r="O839" s="3">
        <f t="shared" si="66"/>
        <v>3916.13</v>
      </c>
      <c r="P839" s="3">
        <f t="shared" si="67"/>
        <v>1971.12</v>
      </c>
      <c r="Q839" s="3">
        <f t="shared" si="68"/>
        <v>1945.01</v>
      </c>
      <c r="R839" s="4">
        <f t="shared" si="69"/>
        <v>0.49669999999999997</v>
      </c>
      <c r="S839" s="2">
        <v>2</v>
      </c>
      <c r="T839" t="s">
        <v>46</v>
      </c>
      <c r="U839">
        <v>2</v>
      </c>
    </row>
    <row r="840" spans="1:22" x14ac:dyDescent="0.25">
      <c r="A840" s="1">
        <v>46028</v>
      </c>
      <c r="B840" t="s">
        <v>1035</v>
      </c>
      <c r="C840" t="s">
        <v>23</v>
      </c>
      <c r="D840" t="s">
        <v>113</v>
      </c>
      <c r="E840" t="s">
        <v>50</v>
      </c>
      <c r="F840" t="s">
        <v>26</v>
      </c>
      <c r="G840" t="s">
        <v>37</v>
      </c>
      <c r="H840" t="s">
        <v>38</v>
      </c>
      <c r="I840" t="s">
        <v>77</v>
      </c>
      <c r="J840" s="2">
        <v>2</v>
      </c>
      <c r="K840" s="3">
        <v>450.62</v>
      </c>
      <c r="L840" s="3">
        <v>190.54</v>
      </c>
      <c r="M840" s="4">
        <v>0.1142</v>
      </c>
      <c r="N840" s="3">
        <f t="shared" si="65"/>
        <v>901.24</v>
      </c>
      <c r="O840" s="3">
        <f t="shared" si="66"/>
        <v>798.32</v>
      </c>
      <c r="P840" s="3">
        <f t="shared" si="67"/>
        <v>381.08</v>
      </c>
      <c r="Q840" s="3">
        <f t="shared" si="68"/>
        <v>417.24</v>
      </c>
      <c r="R840" s="4">
        <f t="shared" si="69"/>
        <v>0.52259999999999995</v>
      </c>
      <c r="S840" s="2">
        <v>14</v>
      </c>
      <c r="T840" t="s">
        <v>30</v>
      </c>
      <c r="U840">
        <v>3</v>
      </c>
    </row>
    <row r="841" spans="1:22" x14ac:dyDescent="0.25">
      <c r="A841" s="1">
        <v>46166</v>
      </c>
      <c r="B841" t="s">
        <v>1036</v>
      </c>
      <c r="C841" t="s">
        <v>224</v>
      </c>
      <c r="D841" t="s">
        <v>43</v>
      </c>
      <c r="E841" t="s">
        <v>25</v>
      </c>
      <c r="F841" t="s">
        <v>58</v>
      </c>
      <c r="G841" t="s">
        <v>27</v>
      </c>
      <c r="H841" t="s">
        <v>86</v>
      </c>
      <c r="I841" t="s">
        <v>77</v>
      </c>
      <c r="J841" s="2">
        <v>8</v>
      </c>
      <c r="K841" s="3">
        <v>1818.04</v>
      </c>
      <c r="L841" s="3">
        <v>1247.54</v>
      </c>
      <c r="M841" s="4">
        <v>3.5000000000000003E-2</v>
      </c>
      <c r="N841" s="3">
        <f t="shared" si="65"/>
        <v>14544.32</v>
      </c>
      <c r="O841" s="3">
        <f t="shared" si="66"/>
        <v>14035.27</v>
      </c>
      <c r="P841" s="3">
        <f t="shared" si="67"/>
        <v>9980.32</v>
      </c>
      <c r="Q841" s="3">
        <f t="shared" si="68"/>
        <v>4054.95</v>
      </c>
      <c r="R841" s="4">
        <f t="shared" si="69"/>
        <v>0.28889999999999999</v>
      </c>
      <c r="S841" s="2">
        <v>13</v>
      </c>
      <c r="T841" t="s">
        <v>30</v>
      </c>
      <c r="U841">
        <v>3</v>
      </c>
    </row>
    <row r="842" spans="1:22" x14ac:dyDescent="0.25">
      <c r="A842" s="1">
        <v>46191</v>
      </c>
      <c r="B842" t="s">
        <v>1037</v>
      </c>
      <c r="C842" t="s">
        <v>321</v>
      </c>
      <c r="D842" t="s">
        <v>49</v>
      </c>
      <c r="E842" t="s">
        <v>50</v>
      </c>
      <c r="F842" t="s">
        <v>36</v>
      </c>
      <c r="G842" t="s">
        <v>44</v>
      </c>
      <c r="H842" t="s">
        <v>45</v>
      </c>
      <c r="I842" t="s">
        <v>60</v>
      </c>
      <c r="J842" s="2">
        <v>8</v>
      </c>
      <c r="K842" s="3">
        <v>390.9</v>
      </c>
      <c r="L842" s="3">
        <v>210.57</v>
      </c>
      <c r="M842" s="4">
        <v>0</v>
      </c>
      <c r="N842" s="3">
        <f t="shared" si="65"/>
        <v>3127.2</v>
      </c>
      <c r="O842" s="3">
        <f t="shared" si="66"/>
        <v>3127.2</v>
      </c>
      <c r="P842" s="3">
        <f t="shared" si="67"/>
        <v>1684.56</v>
      </c>
      <c r="Q842" s="3">
        <f t="shared" si="68"/>
        <v>1442.64</v>
      </c>
      <c r="R842" s="4">
        <f t="shared" si="69"/>
        <v>0.46129999999999999</v>
      </c>
      <c r="S842" s="2">
        <v>4</v>
      </c>
      <c r="T842" t="s">
        <v>40</v>
      </c>
    </row>
    <row r="843" spans="1:22" x14ac:dyDescent="0.25">
      <c r="A843" s="1">
        <v>46199</v>
      </c>
      <c r="B843" t="s">
        <v>1038</v>
      </c>
      <c r="C843" t="s">
        <v>176</v>
      </c>
      <c r="D843" t="s">
        <v>49</v>
      </c>
      <c r="E843" t="s">
        <v>50</v>
      </c>
      <c r="F843" t="s">
        <v>58</v>
      </c>
      <c r="G843" t="s">
        <v>37</v>
      </c>
      <c r="H843" t="s">
        <v>104</v>
      </c>
      <c r="I843" t="s">
        <v>60</v>
      </c>
      <c r="J843" s="2">
        <v>7</v>
      </c>
      <c r="K843" s="3">
        <v>309.86</v>
      </c>
      <c r="L843" s="3">
        <v>140.41999999999999</v>
      </c>
      <c r="M843" s="4">
        <v>3.5000000000000003E-2</v>
      </c>
      <c r="N843" s="3">
        <f t="shared" si="65"/>
        <v>2169.02</v>
      </c>
      <c r="O843" s="3">
        <f t="shared" si="66"/>
        <v>2093.1</v>
      </c>
      <c r="P843" s="3">
        <f t="shared" si="67"/>
        <v>982.94</v>
      </c>
      <c r="Q843" s="3">
        <f t="shared" si="68"/>
        <v>1110.1600000000001</v>
      </c>
      <c r="R843" s="4">
        <f t="shared" si="69"/>
        <v>0.53039999999999998</v>
      </c>
      <c r="S843" s="2">
        <v>7</v>
      </c>
      <c r="T843" t="s">
        <v>46</v>
      </c>
      <c r="U843">
        <v>2</v>
      </c>
    </row>
    <row r="844" spans="1:22" x14ac:dyDescent="0.25">
      <c r="A844" s="1">
        <v>46070</v>
      </c>
      <c r="B844" t="s">
        <v>1039</v>
      </c>
      <c r="C844" t="s">
        <v>271</v>
      </c>
      <c r="D844" t="s">
        <v>121</v>
      </c>
      <c r="E844" t="s">
        <v>72</v>
      </c>
      <c r="F844" t="s">
        <v>64</v>
      </c>
      <c r="G844" t="s">
        <v>44</v>
      </c>
      <c r="H844" t="s">
        <v>124</v>
      </c>
      <c r="I844" t="s">
        <v>39</v>
      </c>
      <c r="J844" s="2">
        <v>1</v>
      </c>
      <c r="K844" s="3">
        <v>6058.23</v>
      </c>
      <c r="L844" s="3">
        <v>4594.22</v>
      </c>
      <c r="M844" s="4">
        <v>4.1300000000000003E-2</v>
      </c>
      <c r="N844" s="3">
        <f t="shared" si="65"/>
        <v>6058.23</v>
      </c>
      <c r="O844" s="3">
        <f t="shared" si="66"/>
        <v>5808.03</v>
      </c>
      <c r="P844" s="3">
        <f t="shared" si="67"/>
        <v>4594.22</v>
      </c>
      <c r="Q844" s="3">
        <f t="shared" si="68"/>
        <v>1213.81</v>
      </c>
      <c r="R844" s="4">
        <f t="shared" si="69"/>
        <v>0.20899999999999999</v>
      </c>
      <c r="S844" s="2">
        <v>7</v>
      </c>
      <c r="T844" t="s">
        <v>46</v>
      </c>
      <c r="U844">
        <v>5</v>
      </c>
    </row>
    <row r="845" spans="1:22" x14ac:dyDescent="0.25">
      <c r="A845" s="1">
        <v>46191</v>
      </c>
      <c r="B845" t="s">
        <v>1040</v>
      </c>
      <c r="C845" t="s">
        <v>79</v>
      </c>
      <c r="D845" t="s">
        <v>85</v>
      </c>
      <c r="E845" t="s">
        <v>50</v>
      </c>
      <c r="F845" t="s">
        <v>64</v>
      </c>
      <c r="G845" t="s">
        <v>27</v>
      </c>
      <c r="H845" t="s">
        <v>86</v>
      </c>
      <c r="I845" t="s">
        <v>87</v>
      </c>
      <c r="J845" s="2">
        <v>5</v>
      </c>
      <c r="K845" s="3">
        <v>1886.46</v>
      </c>
      <c r="L845" s="3">
        <v>1206.8</v>
      </c>
      <c r="M845" s="4">
        <v>9.5500000000000002E-2</v>
      </c>
      <c r="N845" s="3">
        <f t="shared" si="65"/>
        <v>9432.2999999999993</v>
      </c>
      <c r="O845" s="3">
        <f t="shared" si="66"/>
        <v>8531.52</v>
      </c>
      <c r="P845" s="3">
        <f t="shared" si="67"/>
        <v>6034</v>
      </c>
      <c r="Q845" s="3">
        <f t="shared" si="68"/>
        <v>2497.52</v>
      </c>
      <c r="R845" s="4">
        <f t="shared" si="69"/>
        <v>0.29270000000000002</v>
      </c>
      <c r="S845" s="2">
        <v>7</v>
      </c>
      <c r="T845" t="s">
        <v>46</v>
      </c>
      <c r="U845">
        <v>3</v>
      </c>
    </row>
    <row r="846" spans="1:22" x14ac:dyDescent="0.25">
      <c r="A846" s="1">
        <v>46083</v>
      </c>
      <c r="B846" t="s">
        <v>1041</v>
      </c>
      <c r="C846" t="s">
        <v>297</v>
      </c>
      <c r="D846" t="s">
        <v>24</v>
      </c>
      <c r="E846" t="s">
        <v>25</v>
      </c>
      <c r="F846" t="s">
        <v>64</v>
      </c>
      <c r="G846" t="s">
        <v>51</v>
      </c>
      <c r="H846" t="s">
        <v>59</v>
      </c>
      <c r="I846" t="s">
        <v>74</v>
      </c>
      <c r="J846" s="2">
        <v>6</v>
      </c>
      <c r="K846" s="3">
        <v>2252.48</v>
      </c>
      <c r="L846" s="3">
        <v>2469.2800000000002</v>
      </c>
      <c r="M846" s="4">
        <v>0</v>
      </c>
      <c r="N846" s="3">
        <f t="shared" si="65"/>
        <v>13514.88</v>
      </c>
      <c r="O846" s="3">
        <f t="shared" si="66"/>
        <v>13514.88</v>
      </c>
      <c r="P846" s="3">
        <f t="shared" si="67"/>
        <v>14815.68</v>
      </c>
      <c r="Q846" s="3">
        <f t="shared" si="68"/>
        <v>-1300.8</v>
      </c>
      <c r="R846" s="4">
        <f t="shared" si="69"/>
        <v>-9.6199999999999994E-2</v>
      </c>
      <c r="S846" s="2">
        <v>2</v>
      </c>
      <c r="T846" t="s">
        <v>46</v>
      </c>
      <c r="U846">
        <v>4</v>
      </c>
      <c r="V846" t="s">
        <v>388</v>
      </c>
    </row>
    <row r="847" spans="1:22" x14ac:dyDescent="0.25">
      <c r="A847" s="1">
        <v>46197</v>
      </c>
      <c r="B847" t="s">
        <v>1042</v>
      </c>
      <c r="C847" t="s">
        <v>33</v>
      </c>
      <c r="D847" t="s">
        <v>113</v>
      </c>
      <c r="E847" t="s">
        <v>50</v>
      </c>
      <c r="F847" t="s">
        <v>26</v>
      </c>
      <c r="G847" t="s">
        <v>27</v>
      </c>
      <c r="H847" t="s">
        <v>86</v>
      </c>
      <c r="I847" t="s">
        <v>74</v>
      </c>
      <c r="J847" s="2">
        <v>4</v>
      </c>
      <c r="K847" s="3">
        <v>1837.64</v>
      </c>
      <c r="L847" s="3">
        <v>1147.42</v>
      </c>
      <c r="M847" s="4">
        <v>0</v>
      </c>
      <c r="N847" s="3">
        <f t="shared" si="65"/>
        <v>7350.56</v>
      </c>
      <c r="O847" s="3">
        <f t="shared" si="66"/>
        <v>7350.56</v>
      </c>
      <c r="P847" s="3">
        <f t="shared" si="67"/>
        <v>4589.68</v>
      </c>
      <c r="Q847" s="3">
        <f t="shared" si="68"/>
        <v>2760.88</v>
      </c>
      <c r="R847" s="4">
        <f t="shared" si="69"/>
        <v>0.37559999999999999</v>
      </c>
      <c r="S847" s="2">
        <v>3</v>
      </c>
      <c r="T847" t="s">
        <v>46</v>
      </c>
      <c r="U847">
        <v>2</v>
      </c>
    </row>
    <row r="848" spans="1:22" x14ac:dyDescent="0.25">
      <c r="A848" s="1">
        <v>46114</v>
      </c>
      <c r="B848" t="s">
        <v>1043</v>
      </c>
      <c r="C848" t="s">
        <v>370</v>
      </c>
      <c r="D848" t="s">
        <v>56</v>
      </c>
      <c r="E848" t="s">
        <v>57</v>
      </c>
      <c r="F848" t="s">
        <v>36</v>
      </c>
      <c r="G848" t="s">
        <v>37</v>
      </c>
      <c r="H848" t="s">
        <v>178</v>
      </c>
      <c r="I848" t="s">
        <v>29</v>
      </c>
      <c r="J848" s="2">
        <v>7</v>
      </c>
      <c r="K848" s="3">
        <v>539.97</v>
      </c>
      <c r="L848" s="3">
        <v>246.21</v>
      </c>
      <c r="M848" s="4">
        <v>9.7900000000000001E-2</v>
      </c>
      <c r="N848" s="3">
        <f t="shared" si="65"/>
        <v>3779.79</v>
      </c>
      <c r="O848" s="3">
        <f t="shared" si="66"/>
        <v>3409.75</v>
      </c>
      <c r="P848" s="3">
        <f t="shared" si="67"/>
        <v>1723.47</v>
      </c>
      <c r="Q848" s="3">
        <f t="shared" si="68"/>
        <v>1686.28</v>
      </c>
      <c r="R848" s="4">
        <f t="shared" si="69"/>
        <v>0.4945</v>
      </c>
      <c r="S848" s="2">
        <v>5</v>
      </c>
      <c r="T848" t="s">
        <v>46</v>
      </c>
      <c r="U848">
        <v>3</v>
      </c>
    </row>
    <row r="849" spans="1:21" x14ac:dyDescent="0.25">
      <c r="A849" s="1">
        <v>46058</v>
      </c>
      <c r="B849" t="s">
        <v>1044</v>
      </c>
      <c r="C849" t="s">
        <v>168</v>
      </c>
      <c r="D849" t="s">
        <v>126</v>
      </c>
      <c r="E849" t="s">
        <v>57</v>
      </c>
      <c r="F849" t="s">
        <v>36</v>
      </c>
      <c r="G849" t="s">
        <v>51</v>
      </c>
      <c r="H849" t="s">
        <v>116</v>
      </c>
      <c r="I849" t="s">
        <v>53</v>
      </c>
      <c r="J849" s="2">
        <v>4</v>
      </c>
      <c r="K849" s="3">
        <v>2770.67</v>
      </c>
      <c r="L849" s="3">
        <v>1808.81</v>
      </c>
      <c r="M849" s="4">
        <v>0</v>
      </c>
      <c r="N849" s="3">
        <f t="shared" si="65"/>
        <v>11082.68</v>
      </c>
      <c r="O849" s="3">
        <f t="shared" si="66"/>
        <v>11082.68</v>
      </c>
      <c r="P849" s="3">
        <f t="shared" si="67"/>
        <v>7235.24</v>
      </c>
      <c r="Q849" s="3">
        <f t="shared" si="68"/>
        <v>3847.44</v>
      </c>
      <c r="R849" s="4">
        <f t="shared" si="69"/>
        <v>0.34720000000000001</v>
      </c>
      <c r="S849" s="2">
        <v>2</v>
      </c>
      <c r="T849" t="s">
        <v>46</v>
      </c>
      <c r="U849">
        <v>3</v>
      </c>
    </row>
    <row r="850" spans="1:21" x14ac:dyDescent="0.25">
      <c r="A850" s="1">
        <v>46043</v>
      </c>
      <c r="B850" t="s">
        <v>1045</v>
      </c>
      <c r="C850" t="s">
        <v>70</v>
      </c>
      <c r="D850" t="s">
        <v>49</v>
      </c>
      <c r="E850" t="s">
        <v>50</v>
      </c>
      <c r="F850" t="s">
        <v>58</v>
      </c>
      <c r="G850" t="s">
        <v>27</v>
      </c>
      <c r="H850" t="s">
        <v>68</v>
      </c>
      <c r="I850" t="s">
        <v>94</v>
      </c>
      <c r="J850" s="2">
        <v>4</v>
      </c>
      <c r="K850" s="3">
        <v>1302.56</v>
      </c>
      <c r="L850" s="3">
        <v>747.32</v>
      </c>
      <c r="M850" s="4">
        <v>5.0099999999999999E-2</v>
      </c>
      <c r="N850" s="3">
        <f t="shared" si="65"/>
        <v>5210.24</v>
      </c>
      <c r="O850" s="3">
        <f t="shared" si="66"/>
        <v>4949.21</v>
      </c>
      <c r="P850" s="3">
        <f t="shared" si="67"/>
        <v>2989.28</v>
      </c>
      <c r="Q850" s="3">
        <f t="shared" si="68"/>
        <v>1959.93</v>
      </c>
      <c r="R850" s="4">
        <f t="shared" si="69"/>
        <v>0.39600000000000002</v>
      </c>
      <c r="S850" s="2">
        <v>11</v>
      </c>
      <c r="T850" t="s">
        <v>30</v>
      </c>
      <c r="U850">
        <v>3</v>
      </c>
    </row>
    <row r="851" spans="1:21" x14ac:dyDescent="0.25">
      <c r="A851" s="1">
        <v>46129</v>
      </c>
      <c r="B851" t="s">
        <v>1046</v>
      </c>
      <c r="C851" t="s">
        <v>157</v>
      </c>
      <c r="D851" t="s">
        <v>56</v>
      </c>
      <c r="E851" t="s">
        <v>57</v>
      </c>
      <c r="F851" t="s">
        <v>64</v>
      </c>
      <c r="G851" t="s">
        <v>37</v>
      </c>
      <c r="H851" t="s">
        <v>178</v>
      </c>
      <c r="I851" t="s">
        <v>29</v>
      </c>
      <c r="J851" s="2">
        <v>8</v>
      </c>
      <c r="K851" s="3">
        <v>531.23</v>
      </c>
      <c r="L851" s="3">
        <v>235.15</v>
      </c>
      <c r="M851" s="4">
        <v>0</v>
      </c>
      <c r="N851" s="3">
        <f t="shared" si="65"/>
        <v>4249.84</v>
      </c>
      <c r="O851" s="3">
        <f t="shared" si="66"/>
        <v>4249.84</v>
      </c>
      <c r="P851" s="3">
        <f t="shared" si="67"/>
        <v>1881.2</v>
      </c>
      <c r="Q851" s="3">
        <f t="shared" si="68"/>
        <v>2368.64</v>
      </c>
      <c r="R851" s="4">
        <f t="shared" si="69"/>
        <v>0.55730000000000002</v>
      </c>
      <c r="S851" s="2">
        <v>14</v>
      </c>
      <c r="T851" t="s">
        <v>30</v>
      </c>
      <c r="U851">
        <v>4</v>
      </c>
    </row>
    <row r="852" spans="1:21" x14ac:dyDescent="0.25">
      <c r="A852" s="1">
        <v>46195</v>
      </c>
      <c r="B852" t="s">
        <v>1047</v>
      </c>
      <c r="C852" t="s">
        <v>321</v>
      </c>
      <c r="D852" t="s">
        <v>24</v>
      </c>
      <c r="E852" t="s">
        <v>25</v>
      </c>
      <c r="F852" t="s">
        <v>64</v>
      </c>
      <c r="G852" t="s">
        <v>37</v>
      </c>
      <c r="H852" t="s">
        <v>38</v>
      </c>
      <c r="I852" t="s">
        <v>39</v>
      </c>
      <c r="J852" s="2">
        <v>6</v>
      </c>
      <c r="K852" s="3">
        <v>416.53</v>
      </c>
      <c r="L852" s="3">
        <v>191.63</v>
      </c>
      <c r="M852" s="4">
        <v>0</v>
      </c>
      <c r="N852" s="3">
        <f t="shared" si="65"/>
        <v>2499.1799999999998</v>
      </c>
      <c r="O852" s="3">
        <f t="shared" si="66"/>
        <v>2499.1799999999998</v>
      </c>
      <c r="P852" s="3">
        <f t="shared" si="67"/>
        <v>1149.78</v>
      </c>
      <c r="Q852" s="3">
        <f t="shared" si="68"/>
        <v>1349.4</v>
      </c>
      <c r="R852" s="4">
        <f t="shared" si="69"/>
        <v>0.53990000000000005</v>
      </c>
      <c r="S852" s="2">
        <v>12</v>
      </c>
      <c r="T852" t="s">
        <v>30</v>
      </c>
      <c r="U852">
        <v>2</v>
      </c>
    </row>
    <row r="853" spans="1:21" x14ac:dyDescent="0.25">
      <c r="A853" s="1">
        <v>46136</v>
      </c>
      <c r="B853" t="s">
        <v>1048</v>
      </c>
      <c r="C853" t="s">
        <v>144</v>
      </c>
      <c r="D853" t="s">
        <v>71</v>
      </c>
      <c r="E853" t="s">
        <v>72</v>
      </c>
      <c r="F853" t="s">
        <v>36</v>
      </c>
      <c r="G853" t="s">
        <v>44</v>
      </c>
      <c r="H853" t="s">
        <v>73</v>
      </c>
      <c r="I853" t="s">
        <v>94</v>
      </c>
      <c r="J853" s="2">
        <v>7</v>
      </c>
      <c r="K853" s="3">
        <v>1647.58</v>
      </c>
      <c r="L853" s="3">
        <v>1147.54</v>
      </c>
      <c r="M853" s="4">
        <v>0</v>
      </c>
      <c r="N853" s="3">
        <f t="shared" si="65"/>
        <v>11533.06</v>
      </c>
      <c r="O853" s="3">
        <f t="shared" si="66"/>
        <v>11533.06</v>
      </c>
      <c r="P853" s="3">
        <f t="shared" si="67"/>
        <v>8032.78</v>
      </c>
      <c r="Q853" s="3">
        <f t="shared" si="68"/>
        <v>3500.28</v>
      </c>
      <c r="R853" s="4">
        <f t="shared" si="69"/>
        <v>0.30349999999999999</v>
      </c>
      <c r="S853" s="2">
        <v>3</v>
      </c>
      <c r="T853" t="s">
        <v>46</v>
      </c>
      <c r="U853">
        <v>4</v>
      </c>
    </row>
    <row r="854" spans="1:21" x14ac:dyDescent="0.25">
      <c r="A854" s="1">
        <v>46117</v>
      </c>
      <c r="B854" t="s">
        <v>1049</v>
      </c>
      <c r="C854" t="s">
        <v>331</v>
      </c>
      <c r="D854" t="s">
        <v>43</v>
      </c>
      <c r="E854" t="s">
        <v>25</v>
      </c>
      <c r="F854" t="s">
        <v>64</v>
      </c>
      <c r="G854" t="s">
        <v>44</v>
      </c>
      <c r="H854" t="s">
        <v>73</v>
      </c>
      <c r="I854" t="s">
        <v>29</v>
      </c>
      <c r="J854" s="2">
        <v>8</v>
      </c>
      <c r="K854" s="3">
        <v>1732.04</v>
      </c>
      <c r="L854" s="3">
        <v>1096.44</v>
      </c>
      <c r="M854" s="4">
        <v>3.0300000000000001E-2</v>
      </c>
      <c r="N854" s="3">
        <f t="shared" si="65"/>
        <v>13856.32</v>
      </c>
      <c r="O854" s="3">
        <f t="shared" si="66"/>
        <v>13436.47</v>
      </c>
      <c r="P854" s="3">
        <f t="shared" si="67"/>
        <v>8771.52</v>
      </c>
      <c r="Q854" s="3">
        <f t="shared" si="68"/>
        <v>4664.95</v>
      </c>
      <c r="R854" s="4">
        <f t="shared" si="69"/>
        <v>0.34720000000000001</v>
      </c>
      <c r="S854" s="2">
        <v>4</v>
      </c>
      <c r="T854" t="s">
        <v>46</v>
      </c>
      <c r="U854">
        <v>5</v>
      </c>
    </row>
    <row r="855" spans="1:21" x14ac:dyDescent="0.25">
      <c r="A855" s="1">
        <v>46039</v>
      </c>
      <c r="B855" t="s">
        <v>1050</v>
      </c>
      <c r="C855" t="s">
        <v>251</v>
      </c>
      <c r="D855" t="s">
        <v>49</v>
      </c>
      <c r="E855" t="s">
        <v>50</v>
      </c>
      <c r="F855" t="s">
        <v>64</v>
      </c>
      <c r="G855" t="s">
        <v>37</v>
      </c>
      <c r="H855" t="s">
        <v>178</v>
      </c>
      <c r="I855" t="s">
        <v>65</v>
      </c>
      <c r="J855" s="2">
        <v>1</v>
      </c>
      <c r="K855" s="3">
        <v>505.61</v>
      </c>
      <c r="L855" s="3">
        <v>248.63</v>
      </c>
      <c r="M855" s="4">
        <v>1.8E-3</v>
      </c>
      <c r="N855" s="3">
        <f t="shared" si="65"/>
        <v>505.61</v>
      </c>
      <c r="O855" s="3">
        <f t="shared" si="66"/>
        <v>504.7</v>
      </c>
      <c r="P855" s="3">
        <f t="shared" si="67"/>
        <v>248.63</v>
      </c>
      <c r="Q855" s="3">
        <f t="shared" si="68"/>
        <v>256.07</v>
      </c>
      <c r="R855" s="4">
        <f t="shared" si="69"/>
        <v>0.50739999999999996</v>
      </c>
      <c r="S855" s="2">
        <v>6</v>
      </c>
      <c r="T855" t="s">
        <v>46</v>
      </c>
      <c r="U855">
        <v>3</v>
      </c>
    </row>
    <row r="856" spans="1:21" x14ac:dyDescent="0.25">
      <c r="A856" s="1">
        <v>46161</v>
      </c>
      <c r="B856" t="s">
        <v>1051</v>
      </c>
      <c r="C856" t="s">
        <v>447</v>
      </c>
      <c r="D856" t="s">
        <v>101</v>
      </c>
      <c r="E856" t="s">
        <v>35</v>
      </c>
      <c r="F856" t="s">
        <v>26</v>
      </c>
      <c r="G856" t="s">
        <v>27</v>
      </c>
      <c r="H856" t="s">
        <v>86</v>
      </c>
      <c r="I856" t="s">
        <v>60</v>
      </c>
      <c r="J856" s="2">
        <v>1</v>
      </c>
      <c r="K856" s="3">
        <v>1961.94</v>
      </c>
      <c r="L856" s="3">
        <v>1197.23</v>
      </c>
      <c r="M856" s="4">
        <v>6.8000000000000005E-2</v>
      </c>
      <c r="N856" s="3">
        <f t="shared" si="65"/>
        <v>1961.94</v>
      </c>
      <c r="O856" s="3">
        <f t="shared" si="66"/>
        <v>1828.53</v>
      </c>
      <c r="P856" s="3">
        <f t="shared" si="67"/>
        <v>1197.23</v>
      </c>
      <c r="Q856" s="3">
        <f t="shared" si="68"/>
        <v>631.29999999999995</v>
      </c>
      <c r="R856" s="4">
        <f t="shared" si="69"/>
        <v>0.3453</v>
      </c>
      <c r="S856" s="2">
        <v>5</v>
      </c>
      <c r="T856" t="s">
        <v>46</v>
      </c>
      <c r="U856">
        <v>2</v>
      </c>
    </row>
    <row r="857" spans="1:21" x14ac:dyDescent="0.25">
      <c r="A857" s="1">
        <v>46160</v>
      </c>
      <c r="B857" t="s">
        <v>1052</v>
      </c>
      <c r="C857" t="s">
        <v>447</v>
      </c>
      <c r="D857" t="s">
        <v>56</v>
      </c>
      <c r="E857" t="s">
        <v>57</v>
      </c>
      <c r="F857" t="s">
        <v>58</v>
      </c>
      <c r="G857" t="s">
        <v>37</v>
      </c>
      <c r="H857" t="s">
        <v>38</v>
      </c>
      <c r="I857" t="s">
        <v>29</v>
      </c>
      <c r="J857" s="2">
        <v>6</v>
      </c>
      <c r="K857" s="3">
        <v>405.01</v>
      </c>
      <c r="L857" s="3">
        <v>195.25</v>
      </c>
      <c r="M857" s="4">
        <v>3.6700000000000003E-2</v>
      </c>
      <c r="N857" s="3">
        <f t="shared" si="65"/>
        <v>2430.06</v>
      </c>
      <c r="O857" s="3">
        <f t="shared" si="66"/>
        <v>2340.88</v>
      </c>
      <c r="P857" s="3">
        <f t="shared" si="67"/>
        <v>1171.5</v>
      </c>
      <c r="Q857" s="3">
        <f t="shared" si="68"/>
        <v>1169.3800000000001</v>
      </c>
      <c r="R857" s="4">
        <f t="shared" si="69"/>
        <v>0.4995</v>
      </c>
      <c r="S857" s="2">
        <v>8</v>
      </c>
      <c r="T857" t="s">
        <v>46</v>
      </c>
      <c r="U857">
        <v>4</v>
      </c>
    </row>
    <row r="858" spans="1:21" x14ac:dyDescent="0.25">
      <c r="A858" s="1">
        <v>46207</v>
      </c>
      <c r="B858" t="s">
        <v>1053</v>
      </c>
      <c r="C858" t="s">
        <v>401</v>
      </c>
      <c r="D858" t="s">
        <v>24</v>
      </c>
      <c r="E858" t="s">
        <v>25</v>
      </c>
      <c r="F858" t="s">
        <v>64</v>
      </c>
      <c r="G858" t="s">
        <v>44</v>
      </c>
      <c r="H858" t="s">
        <v>73</v>
      </c>
      <c r="I858" t="s">
        <v>94</v>
      </c>
      <c r="J858" s="2">
        <v>4</v>
      </c>
      <c r="K858" s="3">
        <v>1668.67</v>
      </c>
      <c r="L858" s="3">
        <v>1148.28</v>
      </c>
      <c r="M858" s="4">
        <v>0</v>
      </c>
      <c r="N858" s="3">
        <f t="shared" si="65"/>
        <v>6674.68</v>
      </c>
      <c r="O858" s="3">
        <f t="shared" si="66"/>
        <v>6674.68</v>
      </c>
      <c r="P858" s="3">
        <f t="shared" si="67"/>
        <v>4593.12</v>
      </c>
      <c r="Q858" s="3">
        <f t="shared" si="68"/>
        <v>2081.56</v>
      </c>
      <c r="R858" s="4">
        <f t="shared" si="69"/>
        <v>0.31190000000000001</v>
      </c>
      <c r="S858" s="2">
        <v>9</v>
      </c>
      <c r="T858" t="s">
        <v>46</v>
      </c>
      <c r="U858">
        <v>5</v>
      </c>
    </row>
    <row r="859" spans="1:21" x14ac:dyDescent="0.25">
      <c r="A859" s="1">
        <v>46104</v>
      </c>
      <c r="B859" t="s">
        <v>1054</v>
      </c>
      <c r="C859" t="s">
        <v>110</v>
      </c>
      <c r="D859" t="s">
        <v>34</v>
      </c>
      <c r="E859" t="s">
        <v>35</v>
      </c>
      <c r="F859" t="s">
        <v>26</v>
      </c>
      <c r="G859" t="s">
        <v>44</v>
      </c>
      <c r="H859" t="s">
        <v>124</v>
      </c>
      <c r="I859" t="s">
        <v>39</v>
      </c>
      <c r="J859" s="2">
        <v>1</v>
      </c>
      <c r="K859" s="3">
        <v>5847.76</v>
      </c>
      <c r="L859" s="3">
        <v>4198.13</v>
      </c>
      <c r="M859" s="4">
        <v>9.4299999999999995E-2</v>
      </c>
      <c r="N859" s="3">
        <f t="shared" si="65"/>
        <v>5847.76</v>
      </c>
      <c r="O859" s="3">
        <f t="shared" si="66"/>
        <v>5296.32</v>
      </c>
      <c r="P859" s="3">
        <f t="shared" si="67"/>
        <v>4198.13</v>
      </c>
      <c r="Q859" s="3">
        <f t="shared" si="68"/>
        <v>1098.19</v>
      </c>
      <c r="R859" s="4">
        <f t="shared" si="69"/>
        <v>0.20730000000000001</v>
      </c>
      <c r="S859" s="2">
        <v>3</v>
      </c>
      <c r="T859" t="s">
        <v>46</v>
      </c>
      <c r="U859">
        <v>5</v>
      </c>
    </row>
    <row r="860" spans="1:21" x14ac:dyDescent="0.25">
      <c r="A860" s="1">
        <v>46195</v>
      </c>
      <c r="B860" t="s">
        <v>1055</v>
      </c>
      <c r="C860" t="s">
        <v>609</v>
      </c>
      <c r="D860" t="s">
        <v>56</v>
      </c>
      <c r="E860" t="s">
        <v>57</v>
      </c>
      <c r="F860" t="s">
        <v>58</v>
      </c>
      <c r="G860" t="s">
        <v>51</v>
      </c>
      <c r="H860" t="s">
        <v>52</v>
      </c>
      <c r="I860" t="s">
        <v>92</v>
      </c>
      <c r="J860" s="2">
        <v>4</v>
      </c>
      <c r="K860" s="3">
        <v>266.10000000000002</v>
      </c>
      <c r="L860" s="3">
        <v>118.4</v>
      </c>
      <c r="M860" s="4">
        <v>0.11940000000000001</v>
      </c>
      <c r="N860" s="3">
        <f t="shared" si="65"/>
        <v>1064.4000000000001</v>
      </c>
      <c r="O860" s="3">
        <f t="shared" si="66"/>
        <v>937.31</v>
      </c>
      <c r="P860" s="3">
        <f t="shared" si="67"/>
        <v>473.6</v>
      </c>
      <c r="Q860" s="3">
        <f t="shared" si="68"/>
        <v>463.71</v>
      </c>
      <c r="R860" s="4">
        <f t="shared" si="69"/>
        <v>0.49469999999999997</v>
      </c>
      <c r="S860" s="2">
        <v>13</v>
      </c>
      <c r="T860" t="s">
        <v>30</v>
      </c>
      <c r="U860">
        <v>3</v>
      </c>
    </row>
    <row r="861" spans="1:21" x14ac:dyDescent="0.25">
      <c r="A861" s="1">
        <v>46226</v>
      </c>
      <c r="B861" t="s">
        <v>1056</v>
      </c>
      <c r="C861" t="s">
        <v>159</v>
      </c>
      <c r="D861" t="s">
        <v>101</v>
      </c>
      <c r="E861" t="s">
        <v>35</v>
      </c>
      <c r="F861" t="s">
        <v>36</v>
      </c>
      <c r="G861" t="s">
        <v>37</v>
      </c>
      <c r="H861" t="s">
        <v>178</v>
      </c>
      <c r="I861" t="s">
        <v>53</v>
      </c>
      <c r="J861" s="2">
        <v>3</v>
      </c>
      <c r="K861" s="3">
        <v>531.24</v>
      </c>
      <c r="L861" s="3">
        <v>250.91</v>
      </c>
      <c r="M861" s="4">
        <v>6.8599999999999994E-2</v>
      </c>
      <c r="N861" s="3">
        <f t="shared" si="65"/>
        <v>1593.72</v>
      </c>
      <c r="O861" s="3">
        <f t="shared" si="66"/>
        <v>1484.39</v>
      </c>
      <c r="P861" s="3">
        <f t="shared" si="67"/>
        <v>752.73</v>
      </c>
      <c r="Q861" s="3">
        <f t="shared" si="68"/>
        <v>731.66</v>
      </c>
      <c r="R861" s="4">
        <f t="shared" si="69"/>
        <v>0.4929</v>
      </c>
      <c r="S861" s="2">
        <v>3</v>
      </c>
      <c r="T861" t="s">
        <v>46</v>
      </c>
      <c r="U861">
        <v>4</v>
      </c>
    </row>
    <row r="862" spans="1:21" x14ac:dyDescent="0.25">
      <c r="A862" s="1">
        <v>46079</v>
      </c>
      <c r="B862" t="s">
        <v>1057</v>
      </c>
      <c r="C862" t="s">
        <v>23</v>
      </c>
      <c r="D862" t="s">
        <v>121</v>
      </c>
      <c r="E862" t="s">
        <v>72</v>
      </c>
      <c r="F862" t="s">
        <v>64</v>
      </c>
      <c r="G862" t="s">
        <v>27</v>
      </c>
      <c r="H862" t="s">
        <v>28</v>
      </c>
      <c r="I862" t="s">
        <v>39</v>
      </c>
      <c r="J862" s="2">
        <v>4</v>
      </c>
      <c r="K862" s="3">
        <v>812.69</v>
      </c>
      <c r="L862" s="3">
        <v>477.81</v>
      </c>
      <c r="M862" s="4">
        <v>0</v>
      </c>
      <c r="N862" s="3">
        <f t="shared" si="65"/>
        <v>3250.76</v>
      </c>
      <c r="O862" s="3">
        <f t="shared" si="66"/>
        <v>3250.76</v>
      </c>
      <c r="P862" s="3">
        <f t="shared" si="67"/>
        <v>1911.24</v>
      </c>
      <c r="Q862" s="3">
        <f t="shared" si="68"/>
        <v>1339.52</v>
      </c>
      <c r="R862" s="4">
        <f t="shared" si="69"/>
        <v>0.41210000000000002</v>
      </c>
      <c r="S862" s="2">
        <v>14</v>
      </c>
      <c r="T862" t="s">
        <v>30</v>
      </c>
      <c r="U862">
        <v>4</v>
      </c>
    </row>
    <row r="863" spans="1:21" x14ac:dyDescent="0.25">
      <c r="A863" s="1">
        <v>46155</v>
      </c>
      <c r="B863" t="s">
        <v>1058</v>
      </c>
      <c r="C863" t="s">
        <v>190</v>
      </c>
      <c r="D863" t="s">
        <v>71</v>
      </c>
      <c r="E863" t="s">
        <v>72</v>
      </c>
      <c r="F863" t="s">
        <v>36</v>
      </c>
      <c r="G863" t="s">
        <v>51</v>
      </c>
      <c r="H863" t="s">
        <v>52</v>
      </c>
      <c r="I863" t="s">
        <v>77</v>
      </c>
      <c r="J863" s="2">
        <v>4</v>
      </c>
      <c r="K863" s="3">
        <v>275.01</v>
      </c>
      <c r="L863" s="3">
        <v>120.7</v>
      </c>
      <c r="M863" s="4">
        <v>9.0700000000000003E-2</v>
      </c>
      <c r="N863" s="3">
        <f t="shared" si="65"/>
        <v>1100.04</v>
      </c>
      <c r="O863" s="3">
        <f t="shared" si="66"/>
        <v>1000.27</v>
      </c>
      <c r="P863" s="3">
        <f t="shared" si="67"/>
        <v>482.8</v>
      </c>
      <c r="Q863" s="3">
        <f t="shared" si="68"/>
        <v>517.47</v>
      </c>
      <c r="R863" s="4">
        <f t="shared" si="69"/>
        <v>0.51729999999999998</v>
      </c>
      <c r="S863" s="2">
        <v>6</v>
      </c>
      <c r="T863" t="s">
        <v>46</v>
      </c>
      <c r="U863">
        <v>4</v>
      </c>
    </row>
    <row r="864" spans="1:21" x14ac:dyDescent="0.25">
      <c r="A864" s="1">
        <v>46136</v>
      </c>
      <c r="B864" t="s">
        <v>1059</v>
      </c>
      <c r="C864" t="s">
        <v>297</v>
      </c>
      <c r="D864" t="s">
        <v>49</v>
      </c>
      <c r="E864" t="s">
        <v>50</v>
      </c>
      <c r="F864" t="s">
        <v>64</v>
      </c>
      <c r="G864" t="s">
        <v>44</v>
      </c>
      <c r="H864" t="s">
        <v>124</v>
      </c>
      <c r="I864" t="s">
        <v>53</v>
      </c>
      <c r="J864" s="2">
        <v>2</v>
      </c>
      <c r="K864" s="3">
        <v>6165.04</v>
      </c>
      <c r="L864" s="3">
        <v>4390.6000000000004</v>
      </c>
      <c r="M864" s="4">
        <v>0</v>
      </c>
      <c r="N864" s="3">
        <f t="shared" si="65"/>
        <v>12330.08</v>
      </c>
      <c r="O864" s="3">
        <f t="shared" si="66"/>
        <v>12330.08</v>
      </c>
      <c r="P864" s="3">
        <f t="shared" si="67"/>
        <v>8781.2000000000007</v>
      </c>
      <c r="Q864" s="3">
        <f t="shared" si="68"/>
        <v>3548.88</v>
      </c>
      <c r="R864" s="4">
        <f t="shared" si="69"/>
        <v>0.2878</v>
      </c>
      <c r="S864" s="2">
        <v>12</v>
      </c>
      <c r="T864" t="s">
        <v>30</v>
      </c>
      <c r="U864">
        <v>4</v>
      </c>
    </row>
    <row r="865" spans="1:22" x14ac:dyDescent="0.25">
      <c r="A865" s="1">
        <v>46039</v>
      </c>
      <c r="B865" t="s">
        <v>1060</v>
      </c>
      <c r="C865" t="s">
        <v>286</v>
      </c>
      <c r="D865" t="s">
        <v>85</v>
      </c>
      <c r="E865" t="s">
        <v>50</v>
      </c>
      <c r="F865" t="s">
        <v>58</v>
      </c>
      <c r="G865" t="s">
        <v>51</v>
      </c>
      <c r="H865" t="s">
        <v>59</v>
      </c>
      <c r="I865" t="s">
        <v>87</v>
      </c>
      <c r="J865" s="2">
        <v>4</v>
      </c>
      <c r="K865" s="3">
        <v>2313.2199999999998</v>
      </c>
      <c r="L865" s="3">
        <v>1385.01</v>
      </c>
      <c r="M865" s="4">
        <v>0.11070000000000001</v>
      </c>
      <c r="N865" s="3">
        <f t="shared" si="65"/>
        <v>9252.8799999999992</v>
      </c>
      <c r="O865" s="3">
        <f t="shared" si="66"/>
        <v>8228.59</v>
      </c>
      <c r="P865" s="3">
        <f t="shared" si="67"/>
        <v>5540.04</v>
      </c>
      <c r="Q865" s="3">
        <f t="shared" si="68"/>
        <v>2688.55</v>
      </c>
      <c r="R865" s="4">
        <f t="shared" si="69"/>
        <v>0.32669999999999999</v>
      </c>
      <c r="S865" s="2">
        <v>5</v>
      </c>
      <c r="T865" t="s">
        <v>46</v>
      </c>
      <c r="U865">
        <v>2</v>
      </c>
    </row>
    <row r="866" spans="1:22" x14ac:dyDescent="0.25">
      <c r="A866" s="1">
        <v>46152</v>
      </c>
      <c r="B866" t="s">
        <v>1061</v>
      </c>
      <c r="C866" t="s">
        <v>115</v>
      </c>
      <c r="D866" t="s">
        <v>139</v>
      </c>
      <c r="E866" t="s">
        <v>72</v>
      </c>
      <c r="F866" t="s">
        <v>64</v>
      </c>
      <c r="G866" t="s">
        <v>51</v>
      </c>
      <c r="H866" t="s">
        <v>59</v>
      </c>
      <c r="I866" t="s">
        <v>77</v>
      </c>
      <c r="J866" s="2">
        <v>8</v>
      </c>
      <c r="K866" s="3">
        <v>2247.08</v>
      </c>
      <c r="L866" s="3">
        <v>1412.42</v>
      </c>
      <c r="M866" s="4">
        <v>0</v>
      </c>
      <c r="N866" s="3">
        <f t="shared" si="65"/>
        <v>17976.64</v>
      </c>
      <c r="O866" s="3">
        <f t="shared" si="66"/>
        <v>17976.64</v>
      </c>
      <c r="P866" s="3">
        <f t="shared" si="67"/>
        <v>11299.36</v>
      </c>
      <c r="Q866" s="3">
        <f t="shared" si="68"/>
        <v>6677.28</v>
      </c>
      <c r="R866" s="4">
        <f t="shared" si="69"/>
        <v>0.37140000000000001</v>
      </c>
      <c r="S866" s="2">
        <v>5</v>
      </c>
      <c r="T866" t="s">
        <v>46</v>
      </c>
      <c r="U866">
        <v>3</v>
      </c>
    </row>
    <row r="867" spans="1:22" x14ac:dyDescent="0.25">
      <c r="A867" s="1">
        <v>46088</v>
      </c>
      <c r="B867" t="s">
        <v>1062</v>
      </c>
      <c r="C867" t="s">
        <v>33</v>
      </c>
      <c r="D867" t="s">
        <v>71</v>
      </c>
      <c r="E867" t="s">
        <v>72</v>
      </c>
      <c r="F867" t="s">
        <v>36</v>
      </c>
      <c r="G867" t="s">
        <v>51</v>
      </c>
      <c r="H867" t="s">
        <v>59</v>
      </c>
      <c r="I867" t="s">
        <v>87</v>
      </c>
      <c r="J867" s="2">
        <v>4</v>
      </c>
      <c r="K867" s="3">
        <v>2183.38</v>
      </c>
      <c r="L867" s="3">
        <v>1512.66</v>
      </c>
      <c r="M867" s="4">
        <v>0.1196</v>
      </c>
      <c r="N867" s="3">
        <f t="shared" si="65"/>
        <v>8733.52</v>
      </c>
      <c r="O867" s="3">
        <f t="shared" si="66"/>
        <v>7688.99</v>
      </c>
      <c r="P867" s="3">
        <f t="shared" si="67"/>
        <v>6050.64</v>
      </c>
      <c r="Q867" s="3">
        <f t="shared" si="68"/>
        <v>1638.35</v>
      </c>
      <c r="R867" s="4">
        <f t="shared" si="69"/>
        <v>0.21310000000000001</v>
      </c>
      <c r="S867" s="2">
        <v>7</v>
      </c>
      <c r="T867" t="s">
        <v>46</v>
      </c>
      <c r="U867">
        <v>5</v>
      </c>
    </row>
    <row r="868" spans="1:22" x14ac:dyDescent="0.25">
      <c r="A868" s="1">
        <v>46053</v>
      </c>
      <c r="B868" t="s">
        <v>1063</v>
      </c>
      <c r="C868" t="s">
        <v>211</v>
      </c>
      <c r="D868" t="s">
        <v>139</v>
      </c>
      <c r="E868" t="s">
        <v>72</v>
      </c>
      <c r="F868" t="s">
        <v>58</v>
      </c>
      <c r="G868" t="s">
        <v>51</v>
      </c>
      <c r="H868" t="s">
        <v>59</v>
      </c>
      <c r="I868" t="s">
        <v>94</v>
      </c>
      <c r="J868" s="2">
        <v>7</v>
      </c>
      <c r="K868" s="3">
        <v>2067.73</v>
      </c>
      <c r="L868" s="3">
        <v>1506.48</v>
      </c>
      <c r="M868" s="4">
        <v>0.14349999999999999</v>
      </c>
      <c r="N868" s="3">
        <f t="shared" si="65"/>
        <v>14474.11</v>
      </c>
      <c r="O868" s="3">
        <f t="shared" si="66"/>
        <v>12397.08</v>
      </c>
      <c r="P868" s="3">
        <f t="shared" si="67"/>
        <v>10545.36</v>
      </c>
      <c r="Q868" s="3">
        <f t="shared" si="68"/>
        <v>1851.72</v>
      </c>
      <c r="R868" s="4">
        <f t="shared" si="69"/>
        <v>0.14940000000000001</v>
      </c>
      <c r="S868" s="2">
        <v>13</v>
      </c>
      <c r="T868" t="s">
        <v>30</v>
      </c>
      <c r="U868">
        <v>3</v>
      </c>
    </row>
    <row r="869" spans="1:22" x14ac:dyDescent="0.25">
      <c r="A869" s="1">
        <v>46198</v>
      </c>
      <c r="B869" t="s">
        <v>1064</v>
      </c>
      <c r="C869" t="s">
        <v>168</v>
      </c>
      <c r="D869" t="s">
        <v>97</v>
      </c>
      <c r="E869" t="s">
        <v>57</v>
      </c>
      <c r="F869" t="s">
        <v>26</v>
      </c>
      <c r="G869" t="s">
        <v>44</v>
      </c>
      <c r="H869" t="s">
        <v>124</v>
      </c>
      <c r="I869" t="s">
        <v>65</v>
      </c>
      <c r="J869" s="2">
        <v>2</v>
      </c>
      <c r="K869" s="3">
        <v>5542.45</v>
      </c>
      <c r="L869" s="3">
        <v>4514.82</v>
      </c>
      <c r="M869" s="4">
        <v>9.7299999999999998E-2</v>
      </c>
      <c r="N869" s="3">
        <f t="shared" si="65"/>
        <v>11084.9</v>
      </c>
      <c r="O869" s="3">
        <f t="shared" si="66"/>
        <v>10006.34</v>
      </c>
      <c r="P869" s="3">
        <f t="shared" si="67"/>
        <v>9029.64</v>
      </c>
      <c r="Q869" s="3">
        <f t="shared" si="68"/>
        <v>976.7</v>
      </c>
      <c r="R869" s="4">
        <f t="shared" si="69"/>
        <v>9.7600000000000006E-2</v>
      </c>
      <c r="S869" s="2">
        <v>13</v>
      </c>
      <c r="T869" t="s">
        <v>30</v>
      </c>
      <c r="U869">
        <v>2</v>
      </c>
    </row>
    <row r="870" spans="1:22" x14ac:dyDescent="0.25">
      <c r="A870" s="1">
        <v>46060</v>
      </c>
      <c r="B870" t="s">
        <v>1065</v>
      </c>
      <c r="C870" t="s">
        <v>146</v>
      </c>
      <c r="D870" t="s">
        <v>139</v>
      </c>
      <c r="E870" t="s">
        <v>72</v>
      </c>
      <c r="F870" t="s">
        <v>26</v>
      </c>
      <c r="G870" t="s">
        <v>51</v>
      </c>
      <c r="H870" t="s">
        <v>116</v>
      </c>
      <c r="I870" t="s">
        <v>39</v>
      </c>
      <c r="J870" s="2">
        <v>2</v>
      </c>
      <c r="K870" s="3">
        <v>2935.58</v>
      </c>
      <c r="L870" s="3">
        <v>1859.46</v>
      </c>
      <c r="M870" s="4">
        <v>7.1099999999999997E-2</v>
      </c>
      <c r="N870" s="3">
        <f t="shared" si="65"/>
        <v>5871.16</v>
      </c>
      <c r="O870" s="3">
        <f t="shared" si="66"/>
        <v>5453.72</v>
      </c>
      <c r="P870" s="3">
        <f t="shared" si="67"/>
        <v>3718.92</v>
      </c>
      <c r="Q870" s="3">
        <f t="shared" si="68"/>
        <v>1734.8</v>
      </c>
      <c r="R870" s="4">
        <f t="shared" si="69"/>
        <v>0.31809999999999999</v>
      </c>
      <c r="S870" s="2">
        <v>5</v>
      </c>
      <c r="T870" t="s">
        <v>46</v>
      </c>
      <c r="U870">
        <v>2</v>
      </c>
    </row>
    <row r="871" spans="1:22" x14ac:dyDescent="0.25">
      <c r="A871" s="1">
        <v>46108</v>
      </c>
      <c r="B871" t="s">
        <v>1066</v>
      </c>
      <c r="C871" t="s">
        <v>386</v>
      </c>
      <c r="D871" t="s">
        <v>97</v>
      </c>
      <c r="E871" t="s">
        <v>57</v>
      </c>
      <c r="F871" t="s">
        <v>58</v>
      </c>
      <c r="G871" t="s">
        <v>37</v>
      </c>
      <c r="H871" t="s">
        <v>178</v>
      </c>
      <c r="I871" t="s">
        <v>94</v>
      </c>
      <c r="J871" s="2">
        <v>8</v>
      </c>
      <c r="K871" s="3">
        <v>489.8</v>
      </c>
      <c r="L871" s="3">
        <v>240.14</v>
      </c>
      <c r="M871" s="4">
        <v>3.5000000000000003E-2</v>
      </c>
      <c r="N871" s="3">
        <f t="shared" si="65"/>
        <v>3918.4</v>
      </c>
      <c r="O871" s="3">
        <f t="shared" si="66"/>
        <v>3781.26</v>
      </c>
      <c r="P871" s="3">
        <f t="shared" si="67"/>
        <v>1921.12</v>
      </c>
      <c r="Q871" s="3">
        <f t="shared" si="68"/>
        <v>1860.14</v>
      </c>
      <c r="R871" s="4">
        <f t="shared" si="69"/>
        <v>0.4919</v>
      </c>
      <c r="S871" s="2">
        <v>3</v>
      </c>
      <c r="T871" t="s">
        <v>46</v>
      </c>
      <c r="U871">
        <v>4</v>
      </c>
    </row>
    <row r="872" spans="1:22" x14ac:dyDescent="0.25">
      <c r="A872" s="1">
        <v>46102</v>
      </c>
      <c r="B872" t="s">
        <v>1067</v>
      </c>
      <c r="C872" t="s">
        <v>132</v>
      </c>
      <c r="D872" t="s">
        <v>56</v>
      </c>
      <c r="E872" t="s">
        <v>57</v>
      </c>
      <c r="F872" t="s">
        <v>64</v>
      </c>
      <c r="G872" t="s">
        <v>44</v>
      </c>
      <c r="H872" t="s">
        <v>45</v>
      </c>
      <c r="I872" t="s">
        <v>65</v>
      </c>
      <c r="J872" s="2">
        <v>3</v>
      </c>
      <c r="K872" s="3">
        <v>383.18</v>
      </c>
      <c r="L872" s="3">
        <v>204.13</v>
      </c>
      <c r="M872" s="4">
        <v>0</v>
      </c>
      <c r="N872" s="3">
        <f t="shared" si="65"/>
        <v>1149.54</v>
      </c>
      <c r="O872" s="3">
        <f t="shared" si="66"/>
        <v>1149.54</v>
      </c>
      <c r="P872" s="3">
        <f t="shared" si="67"/>
        <v>612.39</v>
      </c>
      <c r="Q872" s="3">
        <f t="shared" si="68"/>
        <v>537.15</v>
      </c>
      <c r="R872" s="4">
        <f t="shared" si="69"/>
        <v>0.46729999999999999</v>
      </c>
      <c r="S872" s="2">
        <v>8</v>
      </c>
      <c r="T872" t="s">
        <v>46</v>
      </c>
      <c r="U872">
        <v>2</v>
      </c>
    </row>
    <row r="873" spans="1:22" x14ac:dyDescent="0.25">
      <c r="A873" s="1">
        <v>46031</v>
      </c>
      <c r="B873" t="s">
        <v>1068</v>
      </c>
      <c r="C873" t="s">
        <v>134</v>
      </c>
      <c r="D873" t="s">
        <v>43</v>
      </c>
      <c r="E873" t="s">
        <v>25</v>
      </c>
      <c r="F873" t="s">
        <v>26</v>
      </c>
      <c r="G873" t="s">
        <v>37</v>
      </c>
      <c r="H873" t="s">
        <v>178</v>
      </c>
      <c r="I873" t="s">
        <v>29</v>
      </c>
      <c r="J873" s="2">
        <v>3</v>
      </c>
      <c r="K873" s="3">
        <v>480.45</v>
      </c>
      <c r="L873" s="3">
        <v>245.52</v>
      </c>
      <c r="M873" s="4">
        <v>8.9099999999999999E-2</v>
      </c>
      <c r="N873" s="3">
        <f t="shared" si="65"/>
        <v>1441.35</v>
      </c>
      <c r="O873" s="3">
        <f t="shared" si="66"/>
        <v>1312.93</v>
      </c>
      <c r="P873" s="3">
        <f t="shared" si="67"/>
        <v>736.56</v>
      </c>
      <c r="Q873" s="3">
        <f t="shared" si="68"/>
        <v>576.37</v>
      </c>
      <c r="R873" s="4">
        <f t="shared" si="69"/>
        <v>0.439</v>
      </c>
      <c r="S873" s="2">
        <v>13</v>
      </c>
      <c r="T873" t="s">
        <v>30</v>
      </c>
      <c r="U873">
        <v>4</v>
      </c>
    </row>
    <row r="874" spans="1:22" x14ac:dyDescent="0.25">
      <c r="A874" s="1">
        <v>46144</v>
      </c>
      <c r="B874" t="s">
        <v>1069</v>
      </c>
      <c r="C874" t="s">
        <v>201</v>
      </c>
      <c r="D874" t="s">
        <v>97</v>
      </c>
      <c r="E874" t="s">
        <v>57</v>
      </c>
      <c r="F874" t="s">
        <v>64</v>
      </c>
      <c r="G874" t="s">
        <v>27</v>
      </c>
      <c r="H874" t="s">
        <v>86</v>
      </c>
      <c r="I874" t="s">
        <v>29</v>
      </c>
      <c r="J874" s="2">
        <v>6</v>
      </c>
      <c r="K874" s="3">
        <v>1809.58</v>
      </c>
      <c r="L874" s="3">
        <v>1243.8399999999999</v>
      </c>
      <c r="M874" s="4">
        <v>8.8400000000000006E-2</v>
      </c>
      <c r="N874" s="3">
        <f t="shared" si="65"/>
        <v>10857.48</v>
      </c>
      <c r="O874" s="3">
        <f t="shared" si="66"/>
        <v>9897.68</v>
      </c>
      <c r="P874" s="3">
        <f t="shared" si="67"/>
        <v>7463.04</v>
      </c>
      <c r="Q874" s="3">
        <f t="shared" si="68"/>
        <v>2434.64</v>
      </c>
      <c r="R874" s="4">
        <f t="shared" si="69"/>
        <v>0.246</v>
      </c>
      <c r="S874" s="2">
        <v>6</v>
      </c>
      <c r="T874" t="s">
        <v>46</v>
      </c>
      <c r="U874">
        <v>4</v>
      </c>
    </row>
    <row r="875" spans="1:22" x14ac:dyDescent="0.25">
      <c r="A875" s="1">
        <v>46221</v>
      </c>
      <c r="B875" t="s">
        <v>1070</v>
      </c>
      <c r="C875" t="s">
        <v>286</v>
      </c>
      <c r="D875" t="s">
        <v>49</v>
      </c>
      <c r="E875" t="s">
        <v>50</v>
      </c>
      <c r="F875" t="s">
        <v>64</v>
      </c>
      <c r="G875" t="s">
        <v>37</v>
      </c>
      <c r="H875" t="s">
        <v>104</v>
      </c>
      <c r="I875" t="s">
        <v>94</v>
      </c>
      <c r="J875" s="2">
        <v>3</v>
      </c>
      <c r="K875" s="3">
        <v>334.93</v>
      </c>
      <c r="L875" s="3">
        <v>139.86000000000001</v>
      </c>
      <c r="M875" s="4">
        <v>0.1232</v>
      </c>
      <c r="N875" s="3">
        <f t="shared" si="65"/>
        <v>1004.79</v>
      </c>
      <c r="O875" s="3">
        <f t="shared" si="66"/>
        <v>881</v>
      </c>
      <c r="P875" s="3">
        <f t="shared" si="67"/>
        <v>419.58</v>
      </c>
      <c r="Q875" s="3">
        <f t="shared" si="68"/>
        <v>461.42</v>
      </c>
      <c r="R875" s="4">
        <f t="shared" si="69"/>
        <v>0.52370000000000005</v>
      </c>
      <c r="S875" s="2">
        <v>12</v>
      </c>
      <c r="T875" t="s">
        <v>30</v>
      </c>
      <c r="U875">
        <v>2</v>
      </c>
    </row>
    <row r="876" spans="1:22" x14ac:dyDescent="0.25">
      <c r="A876" s="1">
        <v>46084</v>
      </c>
      <c r="B876" t="s">
        <v>1071</v>
      </c>
      <c r="C876" t="s">
        <v>456</v>
      </c>
      <c r="D876" t="s">
        <v>130</v>
      </c>
      <c r="E876" t="s">
        <v>72</v>
      </c>
      <c r="F876" t="s">
        <v>26</v>
      </c>
      <c r="G876" t="s">
        <v>44</v>
      </c>
      <c r="H876" t="s">
        <v>124</v>
      </c>
      <c r="I876" t="s">
        <v>74</v>
      </c>
      <c r="J876" s="2">
        <v>1</v>
      </c>
      <c r="K876" s="3">
        <v>5953.93</v>
      </c>
      <c r="L876" s="3">
        <v>4633.0200000000004</v>
      </c>
      <c r="M876" s="4">
        <v>4.2700000000000002E-2</v>
      </c>
      <c r="N876" s="3">
        <f t="shared" si="65"/>
        <v>5953.93</v>
      </c>
      <c r="O876" s="3">
        <f t="shared" si="66"/>
        <v>5699.7</v>
      </c>
      <c r="P876" s="3">
        <f t="shared" si="67"/>
        <v>4633.0200000000004</v>
      </c>
      <c r="Q876" s="3">
        <f t="shared" si="68"/>
        <v>1066.68</v>
      </c>
      <c r="R876" s="4">
        <f t="shared" si="69"/>
        <v>0.18709999999999999</v>
      </c>
      <c r="S876" s="2">
        <v>12</v>
      </c>
      <c r="T876" t="s">
        <v>30</v>
      </c>
      <c r="U876">
        <v>2</v>
      </c>
    </row>
    <row r="877" spans="1:22" x14ac:dyDescent="0.25">
      <c r="A877" s="1">
        <v>46132</v>
      </c>
      <c r="B877" t="s">
        <v>1072</v>
      </c>
      <c r="C877" t="s">
        <v>375</v>
      </c>
      <c r="D877" t="s">
        <v>56</v>
      </c>
      <c r="E877" t="s">
        <v>57</v>
      </c>
      <c r="F877" t="s">
        <v>64</v>
      </c>
      <c r="G877" t="s">
        <v>27</v>
      </c>
      <c r="H877" t="s">
        <v>68</v>
      </c>
      <c r="I877" t="s">
        <v>74</v>
      </c>
      <c r="J877" s="2">
        <v>6</v>
      </c>
      <c r="K877" s="3">
        <v>1296.5899999999999</v>
      </c>
      <c r="L877" s="3">
        <v>741.51</v>
      </c>
      <c r="M877" s="4">
        <v>2.4799999999999999E-2</v>
      </c>
      <c r="N877" s="3">
        <f t="shared" si="65"/>
        <v>7779.54</v>
      </c>
      <c r="O877" s="3">
        <f t="shared" si="66"/>
        <v>7586.61</v>
      </c>
      <c r="P877" s="3">
        <f t="shared" si="67"/>
        <v>4449.0600000000004</v>
      </c>
      <c r="Q877" s="3">
        <f t="shared" si="68"/>
        <v>3137.55</v>
      </c>
      <c r="R877" s="4">
        <f t="shared" si="69"/>
        <v>0.41360000000000002</v>
      </c>
      <c r="S877" s="2">
        <v>6</v>
      </c>
      <c r="T877" t="s">
        <v>46</v>
      </c>
      <c r="U877">
        <v>2</v>
      </c>
    </row>
    <row r="878" spans="1:22" x14ac:dyDescent="0.25">
      <c r="A878" s="1">
        <v>46137</v>
      </c>
      <c r="B878" t="s">
        <v>1073</v>
      </c>
      <c r="C878" t="s">
        <v>214</v>
      </c>
      <c r="D878" t="s">
        <v>43</v>
      </c>
      <c r="E878" t="s">
        <v>25</v>
      </c>
      <c r="F878" t="s">
        <v>36</v>
      </c>
      <c r="G878" t="s">
        <v>27</v>
      </c>
      <c r="H878" t="s">
        <v>28</v>
      </c>
      <c r="I878" t="s">
        <v>53</v>
      </c>
      <c r="J878" s="2">
        <v>2</v>
      </c>
      <c r="K878" s="3">
        <v>822.93</v>
      </c>
      <c r="L878" s="3">
        <v>489.06</v>
      </c>
      <c r="M878" s="4">
        <v>6.6900000000000001E-2</v>
      </c>
      <c r="N878" s="3">
        <f t="shared" si="65"/>
        <v>1645.86</v>
      </c>
      <c r="O878" s="3">
        <f t="shared" si="66"/>
        <v>1535.75</v>
      </c>
      <c r="P878" s="3">
        <f t="shared" si="67"/>
        <v>978.12</v>
      </c>
      <c r="Q878" s="3">
        <f t="shared" si="68"/>
        <v>557.63</v>
      </c>
      <c r="R878" s="4">
        <f t="shared" si="69"/>
        <v>0.36309999999999998</v>
      </c>
      <c r="S878" s="2">
        <v>27</v>
      </c>
      <c r="T878" t="s">
        <v>30</v>
      </c>
      <c r="U878">
        <v>1</v>
      </c>
      <c r="V878" t="s">
        <v>208</v>
      </c>
    </row>
    <row r="879" spans="1:22" x14ac:dyDescent="0.25">
      <c r="A879" s="1">
        <v>46214</v>
      </c>
      <c r="B879" t="s">
        <v>1074</v>
      </c>
      <c r="C879" t="s">
        <v>687</v>
      </c>
      <c r="D879" t="s">
        <v>49</v>
      </c>
      <c r="E879" t="s">
        <v>50</v>
      </c>
      <c r="F879" t="s">
        <v>58</v>
      </c>
      <c r="G879" t="s">
        <v>27</v>
      </c>
      <c r="H879" t="s">
        <v>86</v>
      </c>
      <c r="I879" t="s">
        <v>60</v>
      </c>
      <c r="J879" s="2">
        <v>3</v>
      </c>
      <c r="K879" s="3">
        <v>1912.85</v>
      </c>
      <c r="L879" s="3">
        <v>1191.02</v>
      </c>
      <c r="M879" s="4">
        <v>8.7599999999999997E-2</v>
      </c>
      <c r="N879" s="3">
        <f t="shared" si="65"/>
        <v>5738.55</v>
      </c>
      <c r="O879" s="3">
        <f t="shared" si="66"/>
        <v>5235.8500000000004</v>
      </c>
      <c r="P879" s="3">
        <f t="shared" si="67"/>
        <v>3573.06</v>
      </c>
      <c r="Q879" s="3">
        <f t="shared" si="68"/>
        <v>1662.79</v>
      </c>
      <c r="R879" s="4">
        <f t="shared" si="69"/>
        <v>0.31759999999999999</v>
      </c>
      <c r="S879" s="2">
        <v>4</v>
      </c>
      <c r="T879" t="s">
        <v>46</v>
      </c>
      <c r="U879">
        <v>4</v>
      </c>
    </row>
    <row r="880" spans="1:22" x14ac:dyDescent="0.25">
      <c r="A880" s="1">
        <v>46113</v>
      </c>
      <c r="B880" t="s">
        <v>1075</v>
      </c>
      <c r="C880" t="s">
        <v>240</v>
      </c>
      <c r="D880" t="s">
        <v>130</v>
      </c>
      <c r="E880" t="s">
        <v>72</v>
      </c>
      <c r="F880" t="s">
        <v>36</v>
      </c>
      <c r="G880" t="s">
        <v>44</v>
      </c>
      <c r="H880" t="s">
        <v>73</v>
      </c>
      <c r="I880" t="s">
        <v>60</v>
      </c>
      <c r="J880" s="2">
        <v>3</v>
      </c>
      <c r="K880" s="3">
        <v>1785.46</v>
      </c>
      <c r="L880" s="3">
        <v>1125.22</v>
      </c>
      <c r="M880" s="4">
        <v>2.9700000000000001E-2</v>
      </c>
      <c r="N880" s="3">
        <f t="shared" si="65"/>
        <v>5356.38</v>
      </c>
      <c r="O880" s="3">
        <f t="shared" si="66"/>
        <v>5197.3</v>
      </c>
      <c r="P880" s="3">
        <f t="shared" si="67"/>
        <v>3375.66</v>
      </c>
      <c r="Q880" s="3">
        <f t="shared" si="68"/>
        <v>1821.64</v>
      </c>
      <c r="R880" s="4">
        <f t="shared" si="69"/>
        <v>0.35049999999999998</v>
      </c>
      <c r="S880" s="2">
        <v>13</v>
      </c>
      <c r="T880" t="s">
        <v>30</v>
      </c>
      <c r="U880">
        <v>5</v>
      </c>
    </row>
    <row r="881" spans="1:21" x14ac:dyDescent="0.25">
      <c r="A881" s="1">
        <v>46056</v>
      </c>
      <c r="B881" t="s">
        <v>1076</v>
      </c>
      <c r="C881" t="s">
        <v>67</v>
      </c>
      <c r="D881" t="s">
        <v>85</v>
      </c>
      <c r="E881" t="s">
        <v>50</v>
      </c>
      <c r="F881" t="s">
        <v>26</v>
      </c>
      <c r="G881" t="s">
        <v>44</v>
      </c>
      <c r="H881" t="s">
        <v>124</v>
      </c>
      <c r="I881" t="s">
        <v>92</v>
      </c>
      <c r="J881" s="2">
        <v>1</v>
      </c>
      <c r="K881" s="3">
        <v>5645.18</v>
      </c>
      <c r="L881" s="3">
        <v>4217.8500000000004</v>
      </c>
      <c r="M881" s="4">
        <v>0</v>
      </c>
      <c r="N881" s="3">
        <f t="shared" si="65"/>
        <v>5645.18</v>
      </c>
      <c r="O881" s="3">
        <f t="shared" si="66"/>
        <v>5645.18</v>
      </c>
      <c r="P881" s="3">
        <f t="shared" si="67"/>
        <v>4217.8500000000004</v>
      </c>
      <c r="Q881" s="3">
        <f t="shared" si="68"/>
        <v>1427.33</v>
      </c>
      <c r="R881" s="4">
        <f t="shared" si="69"/>
        <v>0.25280000000000002</v>
      </c>
      <c r="S881" s="2">
        <v>3</v>
      </c>
      <c r="T881" t="s">
        <v>46</v>
      </c>
      <c r="U881">
        <v>2</v>
      </c>
    </row>
    <row r="882" spans="1:21" x14ac:dyDescent="0.25">
      <c r="A882" s="1">
        <v>46153</v>
      </c>
      <c r="B882" t="s">
        <v>1077</v>
      </c>
      <c r="C882" t="s">
        <v>288</v>
      </c>
      <c r="D882" t="s">
        <v>56</v>
      </c>
      <c r="E882" t="s">
        <v>57</v>
      </c>
      <c r="F882" t="s">
        <v>58</v>
      </c>
      <c r="G882" t="s">
        <v>37</v>
      </c>
      <c r="H882" t="s">
        <v>104</v>
      </c>
      <c r="I882" t="s">
        <v>92</v>
      </c>
      <c r="J882" s="2">
        <v>1</v>
      </c>
      <c r="K882" s="3">
        <v>311.52999999999997</v>
      </c>
      <c r="L882" s="3">
        <v>141.59</v>
      </c>
      <c r="M882" s="4">
        <v>0.1201</v>
      </c>
      <c r="N882" s="3">
        <f t="shared" si="65"/>
        <v>311.52999999999997</v>
      </c>
      <c r="O882" s="3">
        <f t="shared" si="66"/>
        <v>274.12</v>
      </c>
      <c r="P882" s="3">
        <f t="shared" si="67"/>
        <v>141.59</v>
      </c>
      <c r="Q882" s="3">
        <f t="shared" si="68"/>
        <v>132.53</v>
      </c>
      <c r="R882" s="4">
        <f t="shared" si="69"/>
        <v>0.48349999999999999</v>
      </c>
      <c r="S882" s="2">
        <v>3</v>
      </c>
      <c r="T882" t="s">
        <v>46</v>
      </c>
      <c r="U882">
        <v>5</v>
      </c>
    </row>
    <row r="883" spans="1:21" x14ac:dyDescent="0.25">
      <c r="A883" s="1">
        <v>46217</v>
      </c>
      <c r="B883" t="s">
        <v>1078</v>
      </c>
      <c r="C883" t="s">
        <v>480</v>
      </c>
      <c r="D883" t="s">
        <v>97</v>
      </c>
      <c r="E883" t="s">
        <v>57</v>
      </c>
      <c r="F883" t="s">
        <v>36</v>
      </c>
      <c r="G883" t="s">
        <v>44</v>
      </c>
      <c r="H883" t="s">
        <v>73</v>
      </c>
      <c r="I883" t="s">
        <v>65</v>
      </c>
      <c r="J883" s="2">
        <v>6</v>
      </c>
      <c r="K883" s="3">
        <v>1655.74</v>
      </c>
      <c r="L883" s="3">
        <v>1127.8599999999999</v>
      </c>
      <c r="M883" s="4">
        <v>0</v>
      </c>
      <c r="N883" s="3">
        <f t="shared" si="65"/>
        <v>9934.44</v>
      </c>
      <c r="O883" s="3">
        <f t="shared" si="66"/>
        <v>9934.44</v>
      </c>
      <c r="P883" s="3">
        <f t="shared" si="67"/>
        <v>6767.16</v>
      </c>
      <c r="Q883" s="3">
        <f t="shared" si="68"/>
        <v>3167.28</v>
      </c>
      <c r="R883" s="4">
        <f t="shared" si="69"/>
        <v>0.31879999999999997</v>
      </c>
      <c r="S883" s="2">
        <v>8</v>
      </c>
      <c r="T883" t="s">
        <v>46</v>
      </c>
      <c r="U883">
        <v>5</v>
      </c>
    </row>
    <row r="884" spans="1:21" x14ac:dyDescent="0.25">
      <c r="A884" s="1">
        <v>46118</v>
      </c>
      <c r="B884" t="s">
        <v>1079</v>
      </c>
      <c r="C884" t="s">
        <v>418</v>
      </c>
      <c r="D884" t="s">
        <v>24</v>
      </c>
      <c r="E884" t="s">
        <v>25</v>
      </c>
      <c r="F884" t="s">
        <v>26</v>
      </c>
      <c r="G884" t="s">
        <v>51</v>
      </c>
      <c r="H884" t="s">
        <v>52</v>
      </c>
      <c r="I884" t="s">
        <v>87</v>
      </c>
      <c r="J884" s="2">
        <v>2</v>
      </c>
      <c r="K884" s="3">
        <v>256.73</v>
      </c>
      <c r="L884" s="3">
        <v>125.82</v>
      </c>
      <c r="M884" s="4">
        <v>5.7000000000000002E-2</v>
      </c>
      <c r="N884" s="3">
        <f t="shared" si="65"/>
        <v>513.46</v>
      </c>
      <c r="O884" s="3">
        <f t="shared" si="66"/>
        <v>484.19</v>
      </c>
      <c r="P884" s="3">
        <f t="shared" si="67"/>
        <v>251.64</v>
      </c>
      <c r="Q884" s="3">
        <f t="shared" si="68"/>
        <v>232.55</v>
      </c>
      <c r="R884" s="4">
        <f t="shared" si="69"/>
        <v>0.4803</v>
      </c>
      <c r="S884" s="2">
        <v>6</v>
      </c>
      <c r="T884" t="s">
        <v>46</v>
      </c>
      <c r="U884">
        <v>3</v>
      </c>
    </row>
    <row r="885" spans="1:21" x14ac:dyDescent="0.25">
      <c r="A885" s="1">
        <v>46180</v>
      </c>
      <c r="B885" t="s">
        <v>1080</v>
      </c>
      <c r="C885" t="s">
        <v>164</v>
      </c>
      <c r="D885" t="s">
        <v>139</v>
      </c>
      <c r="E885" t="s">
        <v>72</v>
      </c>
      <c r="F885" t="s">
        <v>64</v>
      </c>
      <c r="G885" t="s">
        <v>27</v>
      </c>
      <c r="H885" t="s">
        <v>86</v>
      </c>
      <c r="I885" t="s">
        <v>39</v>
      </c>
      <c r="J885" s="2">
        <v>2</v>
      </c>
      <c r="K885" s="3">
        <v>1942.93</v>
      </c>
      <c r="L885" s="3">
        <v>1227.57</v>
      </c>
      <c r="M885" s="4">
        <v>2.76E-2</v>
      </c>
      <c r="N885" s="3">
        <f t="shared" si="65"/>
        <v>3885.86</v>
      </c>
      <c r="O885" s="3">
        <f t="shared" si="66"/>
        <v>3778.61</v>
      </c>
      <c r="P885" s="3">
        <f t="shared" si="67"/>
        <v>2455.14</v>
      </c>
      <c r="Q885" s="3">
        <f t="shared" si="68"/>
        <v>1323.47</v>
      </c>
      <c r="R885" s="4">
        <f t="shared" si="69"/>
        <v>0.3503</v>
      </c>
      <c r="S885" s="2">
        <v>4</v>
      </c>
      <c r="T885" t="s">
        <v>46</v>
      </c>
      <c r="U885">
        <v>2</v>
      </c>
    </row>
    <row r="886" spans="1:21" x14ac:dyDescent="0.25">
      <c r="A886" s="1">
        <v>46031</v>
      </c>
      <c r="B886" t="s">
        <v>1081</v>
      </c>
      <c r="C886" t="s">
        <v>153</v>
      </c>
      <c r="D886" t="s">
        <v>56</v>
      </c>
      <c r="E886" t="s">
        <v>57</v>
      </c>
      <c r="F886" t="s">
        <v>58</v>
      </c>
      <c r="G886" t="s">
        <v>37</v>
      </c>
      <c r="H886" t="s">
        <v>178</v>
      </c>
      <c r="I886" t="s">
        <v>29</v>
      </c>
      <c r="J886" s="2">
        <v>3</v>
      </c>
      <c r="K886" s="3">
        <v>519.38</v>
      </c>
      <c r="L886" s="3">
        <v>245.12</v>
      </c>
      <c r="M886" s="4">
        <v>0.1193</v>
      </c>
      <c r="N886" s="3">
        <f t="shared" si="65"/>
        <v>1558.14</v>
      </c>
      <c r="O886" s="3">
        <f t="shared" si="66"/>
        <v>1372.25</v>
      </c>
      <c r="P886" s="3">
        <f t="shared" si="67"/>
        <v>735.36</v>
      </c>
      <c r="Q886" s="3">
        <f t="shared" si="68"/>
        <v>636.89</v>
      </c>
      <c r="R886" s="4">
        <f t="shared" si="69"/>
        <v>0.46410000000000001</v>
      </c>
      <c r="S886" s="2">
        <v>9</v>
      </c>
      <c r="T886" t="s">
        <v>46</v>
      </c>
      <c r="U886">
        <v>3</v>
      </c>
    </row>
    <row r="887" spans="1:21" x14ac:dyDescent="0.25">
      <c r="A887" s="1">
        <v>46056</v>
      </c>
      <c r="B887" t="s">
        <v>1082</v>
      </c>
      <c r="C887" t="s">
        <v>284</v>
      </c>
      <c r="D887" t="s">
        <v>24</v>
      </c>
      <c r="E887" t="s">
        <v>25</v>
      </c>
      <c r="F887" t="s">
        <v>36</v>
      </c>
      <c r="G887" t="s">
        <v>44</v>
      </c>
      <c r="H887" t="s">
        <v>124</v>
      </c>
      <c r="I887" t="s">
        <v>87</v>
      </c>
      <c r="J887" s="2">
        <v>7</v>
      </c>
      <c r="K887" s="3">
        <v>6020.3</v>
      </c>
      <c r="L887" s="3">
        <v>4566.2</v>
      </c>
      <c r="M887" s="4">
        <v>0.1013</v>
      </c>
      <c r="N887" s="3">
        <f t="shared" si="65"/>
        <v>42142.1</v>
      </c>
      <c r="O887" s="3">
        <f t="shared" si="66"/>
        <v>37873.11</v>
      </c>
      <c r="P887" s="3">
        <f t="shared" si="67"/>
        <v>31963.4</v>
      </c>
      <c r="Q887" s="3">
        <f t="shared" si="68"/>
        <v>5909.71</v>
      </c>
      <c r="R887" s="4">
        <f t="shared" si="69"/>
        <v>0.156</v>
      </c>
      <c r="S887" s="2">
        <v>4</v>
      </c>
      <c r="T887" t="s">
        <v>46</v>
      </c>
      <c r="U887">
        <v>2</v>
      </c>
    </row>
    <row r="888" spans="1:21" x14ac:dyDescent="0.25">
      <c r="A888" s="1">
        <v>46084</v>
      </c>
      <c r="B888" t="s">
        <v>1083</v>
      </c>
      <c r="C888" t="s">
        <v>164</v>
      </c>
      <c r="D888" t="s">
        <v>126</v>
      </c>
      <c r="E888" t="s">
        <v>57</v>
      </c>
      <c r="F888" t="s">
        <v>64</v>
      </c>
      <c r="G888" t="s">
        <v>51</v>
      </c>
      <c r="H888" t="s">
        <v>52</v>
      </c>
      <c r="I888" t="s">
        <v>65</v>
      </c>
      <c r="J888" s="2">
        <v>8</v>
      </c>
      <c r="K888" s="3">
        <v>269.22000000000003</v>
      </c>
      <c r="L888" s="3">
        <v>120.73</v>
      </c>
      <c r="M888" s="4">
        <v>0</v>
      </c>
      <c r="N888" s="3">
        <f t="shared" si="65"/>
        <v>2153.7600000000002</v>
      </c>
      <c r="O888" s="3">
        <f t="shared" si="66"/>
        <v>2153.7600000000002</v>
      </c>
      <c r="P888" s="3">
        <f t="shared" si="67"/>
        <v>965.84</v>
      </c>
      <c r="Q888" s="3">
        <f t="shared" si="68"/>
        <v>1187.92</v>
      </c>
      <c r="R888" s="4">
        <f t="shared" si="69"/>
        <v>0.55159999999999998</v>
      </c>
      <c r="S888" s="2">
        <v>13</v>
      </c>
      <c r="T888" t="s">
        <v>30</v>
      </c>
      <c r="U888">
        <v>4</v>
      </c>
    </row>
    <row r="889" spans="1:21" x14ac:dyDescent="0.25">
      <c r="A889" s="1">
        <v>46074</v>
      </c>
      <c r="B889" t="s">
        <v>1084</v>
      </c>
      <c r="C889" t="s">
        <v>23</v>
      </c>
      <c r="D889" t="s">
        <v>139</v>
      </c>
      <c r="E889" t="s">
        <v>72</v>
      </c>
      <c r="F889" t="s">
        <v>58</v>
      </c>
      <c r="G889" t="s">
        <v>51</v>
      </c>
      <c r="H889" t="s">
        <v>52</v>
      </c>
      <c r="I889" t="s">
        <v>87</v>
      </c>
      <c r="J889" s="2">
        <v>4</v>
      </c>
      <c r="K889" s="3">
        <v>262.47000000000003</v>
      </c>
      <c r="L889" s="3">
        <v>121.9</v>
      </c>
      <c r="M889" s="4">
        <v>0.10050000000000001</v>
      </c>
      <c r="N889" s="3">
        <f t="shared" si="65"/>
        <v>1049.8800000000001</v>
      </c>
      <c r="O889" s="3">
        <f t="shared" si="66"/>
        <v>944.37</v>
      </c>
      <c r="P889" s="3">
        <f t="shared" si="67"/>
        <v>487.6</v>
      </c>
      <c r="Q889" s="3">
        <f t="shared" si="68"/>
        <v>456.77</v>
      </c>
      <c r="R889" s="4">
        <f t="shared" si="69"/>
        <v>0.48370000000000002</v>
      </c>
      <c r="S889" s="2">
        <v>12</v>
      </c>
      <c r="T889" t="s">
        <v>30</v>
      </c>
      <c r="U889">
        <v>3</v>
      </c>
    </row>
    <row r="890" spans="1:21" x14ac:dyDescent="0.25">
      <c r="A890" s="1">
        <v>46219</v>
      </c>
      <c r="B890" t="s">
        <v>1085</v>
      </c>
      <c r="C890" t="s">
        <v>153</v>
      </c>
      <c r="D890" t="s">
        <v>85</v>
      </c>
      <c r="E890" t="s">
        <v>50</v>
      </c>
      <c r="F890" t="s">
        <v>26</v>
      </c>
      <c r="G890" t="s">
        <v>27</v>
      </c>
      <c r="H890" t="s">
        <v>68</v>
      </c>
      <c r="I890" t="s">
        <v>87</v>
      </c>
      <c r="J890" s="2">
        <v>7</v>
      </c>
      <c r="K890" s="3">
        <v>1327.08</v>
      </c>
      <c r="L890" s="3">
        <v>766.58</v>
      </c>
      <c r="M890" s="4">
        <v>5.7999999999999996E-3</v>
      </c>
      <c r="N890" s="3">
        <f t="shared" si="65"/>
        <v>9289.56</v>
      </c>
      <c r="O890" s="3">
        <f t="shared" si="66"/>
        <v>9235.68</v>
      </c>
      <c r="P890" s="3">
        <f t="shared" si="67"/>
        <v>5366.06</v>
      </c>
      <c r="Q890" s="3">
        <f t="shared" si="68"/>
        <v>3869.62</v>
      </c>
      <c r="R890" s="4">
        <f t="shared" si="69"/>
        <v>0.41899999999999998</v>
      </c>
      <c r="S890" s="2">
        <v>3</v>
      </c>
      <c r="T890" t="s">
        <v>46</v>
      </c>
      <c r="U890">
        <v>2</v>
      </c>
    </row>
    <row r="891" spans="1:21" x14ac:dyDescent="0.25">
      <c r="A891" s="1">
        <v>46156</v>
      </c>
      <c r="B891" t="s">
        <v>1086</v>
      </c>
      <c r="C891" t="s">
        <v>386</v>
      </c>
      <c r="D891" t="s">
        <v>24</v>
      </c>
      <c r="E891" t="s">
        <v>25</v>
      </c>
      <c r="F891" t="s">
        <v>64</v>
      </c>
      <c r="G891" t="s">
        <v>27</v>
      </c>
      <c r="H891" t="s">
        <v>68</v>
      </c>
      <c r="I891" t="s">
        <v>29</v>
      </c>
      <c r="J891" s="2">
        <v>1</v>
      </c>
      <c r="K891" s="3">
        <v>1344.34</v>
      </c>
      <c r="L891" s="3">
        <v>806.38</v>
      </c>
      <c r="M891" s="4">
        <v>2.7099999999999999E-2</v>
      </c>
      <c r="N891" s="3">
        <f t="shared" si="65"/>
        <v>1344.34</v>
      </c>
      <c r="O891" s="3">
        <f t="shared" si="66"/>
        <v>1307.9100000000001</v>
      </c>
      <c r="P891" s="3">
        <f t="shared" si="67"/>
        <v>806.38</v>
      </c>
      <c r="Q891" s="3">
        <f t="shared" si="68"/>
        <v>501.53</v>
      </c>
      <c r="R891" s="4">
        <f t="shared" si="69"/>
        <v>0.38350000000000001</v>
      </c>
      <c r="S891" s="2">
        <v>5</v>
      </c>
      <c r="T891" t="s">
        <v>46</v>
      </c>
      <c r="U891">
        <v>3</v>
      </c>
    </row>
    <row r="892" spans="1:21" x14ac:dyDescent="0.25">
      <c r="A892" s="1">
        <v>46137</v>
      </c>
      <c r="B892" t="s">
        <v>1087</v>
      </c>
      <c r="C892" t="s">
        <v>184</v>
      </c>
      <c r="D892" t="s">
        <v>101</v>
      </c>
      <c r="E892" t="s">
        <v>35</v>
      </c>
      <c r="F892" t="s">
        <v>26</v>
      </c>
      <c r="G892" t="s">
        <v>51</v>
      </c>
      <c r="H892" t="s">
        <v>52</v>
      </c>
      <c r="I892" t="s">
        <v>53</v>
      </c>
      <c r="J892" s="2">
        <v>4</v>
      </c>
      <c r="K892" s="3">
        <v>263.74</v>
      </c>
      <c r="L892" s="3">
        <v>115.43</v>
      </c>
      <c r="M892" s="4">
        <v>0</v>
      </c>
      <c r="N892" s="3">
        <f t="shared" si="65"/>
        <v>1054.96</v>
      </c>
      <c r="O892" s="3">
        <f t="shared" si="66"/>
        <v>1054.96</v>
      </c>
      <c r="P892" s="3">
        <f t="shared" si="67"/>
        <v>461.72</v>
      </c>
      <c r="Q892" s="3">
        <f t="shared" si="68"/>
        <v>593.24</v>
      </c>
      <c r="R892" s="4">
        <f t="shared" si="69"/>
        <v>0.56230000000000002</v>
      </c>
      <c r="S892" s="2">
        <v>13</v>
      </c>
      <c r="T892" t="s">
        <v>30</v>
      </c>
      <c r="U892">
        <v>3</v>
      </c>
    </row>
    <row r="893" spans="1:21" x14ac:dyDescent="0.25">
      <c r="A893" s="1">
        <v>46077</v>
      </c>
      <c r="B893" t="s">
        <v>1088</v>
      </c>
      <c r="C893" t="s">
        <v>91</v>
      </c>
      <c r="D893" t="s">
        <v>121</v>
      </c>
      <c r="E893" t="s">
        <v>72</v>
      </c>
      <c r="F893" t="s">
        <v>36</v>
      </c>
      <c r="G893" t="s">
        <v>51</v>
      </c>
      <c r="H893" t="s">
        <v>52</v>
      </c>
      <c r="I893" t="s">
        <v>65</v>
      </c>
      <c r="J893" s="2">
        <v>8</v>
      </c>
      <c r="K893" s="3">
        <v>251.69</v>
      </c>
      <c r="L893" s="3">
        <v>122.32</v>
      </c>
      <c r="M893" s="4">
        <v>7.4099999999999999E-2</v>
      </c>
      <c r="N893" s="3">
        <f t="shared" si="65"/>
        <v>2013.52</v>
      </c>
      <c r="O893" s="3">
        <f t="shared" si="66"/>
        <v>1864.32</v>
      </c>
      <c r="P893" s="3">
        <f t="shared" si="67"/>
        <v>978.56</v>
      </c>
      <c r="Q893" s="3">
        <f t="shared" si="68"/>
        <v>885.76</v>
      </c>
      <c r="R893" s="4">
        <f t="shared" si="69"/>
        <v>0.47510000000000002</v>
      </c>
      <c r="S893" s="2">
        <v>2</v>
      </c>
      <c r="T893" t="s">
        <v>46</v>
      </c>
      <c r="U893">
        <v>3</v>
      </c>
    </row>
    <row r="894" spans="1:21" x14ac:dyDescent="0.25">
      <c r="A894" s="1">
        <v>46143</v>
      </c>
      <c r="B894" t="s">
        <v>1089</v>
      </c>
      <c r="C894" t="s">
        <v>329</v>
      </c>
      <c r="D894" t="s">
        <v>49</v>
      </c>
      <c r="E894" t="s">
        <v>50</v>
      </c>
      <c r="F894" t="s">
        <v>26</v>
      </c>
      <c r="G894" t="s">
        <v>51</v>
      </c>
      <c r="H894" t="s">
        <v>116</v>
      </c>
      <c r="I894" t="s">
        <v>53</v>
      </c>
      <c r="J894" s="2">
        <v>6</v>
      </c>
      <c r="K894" s="3">
        <v>2859.01</v>
      </c>
      <c r="L894" s="3">
        <v>1829.53</v>
      </c>
      <c r="M894" s="4">
        <v>0</v>
      </c>
      <c r="N894" s="3">
        <f t="shared" si="65"/>
        <v>17154.060000000001</v>
      </c>
      <c r="O894" s="3">
        <f t="shared" si="66"/>
        <v>17154.060000000001</v>
      </c>
      <c r="P894" s="3">
        <f t="shared" si="67"/>
        <v>10977.18</v>
      </c>
      <c r="Q894" s="3">
        <f t="shared" si="68"/>
        <v>6176.88</v>
      </c>
      <c r="R894" s="4">
        <f t="shared" si="69"/>
        <v>0.36009999999999998</v>
      </c>
      <c r="S894" s="2">
        <v>3</v>
      </c>
      <c r="T894" t="s">
        <v>40</v>
      </c>
    </row>
    <row r="895" spans="1:21" x14ac:dyDescent="0.25">
      <c r="A895" s="1">
        <v>46095</v>
      </c>
      <c r="B895" t="s">
        <v>1090</v>
      </c>
      <c r="C895" t="s">
        <v>286</v>
      </c>
      <c r="D895" t="s">
        <v>71</v>
      </c>
      <c r="E895" t="s">
        <v>72</v>
      </c>
      <c r="F895" t="s">
        <v>36</v>
      </c>
      <c r="G895" t="s">
        <v>44</v>
      </c>
      <c r="H895" t="s">
        <v>124</v>
      </c>
      <c r="I895" t="s">
        <v>94</v>
      </c>
      <c r="J895" s="2">
        <v>7</v>
      </c>
      <c r="K895" s="3">
        <v>5807.59</v>
      </c>
      <c r="L895" s="3">
        <v>4520.87</v>
      </c>
      <c r="M895" s="4">
        <v>5.6300000000000003E-2</v>
      </c>
      <c r="N895" s="3">
        <f t="shared" si="65"/>
        <v>40653.129999999997</v>
      </c>
      <c r="O895" s="3">
        <f t="shared" si="66"/>
        <v>38364.36</v>
      </c>
      <c r="P895" s="3">
        <f t="shared" si="67"/>
        <v>31646.09</v>
      </c>
      <c r="Q895" s="3">
        <f t="shared" si="68"/>
        <v>6718.27</v>
      </c>
      <c r="R895" s="4">
        <f t="shared" si="69"/>
        <v>0.17510000000000001</v>
      </c>
      <c r="S895" s="2">
        <v>8</v>
      </c>
      <c r="T895" t="s">
        <v>46</v>
      </c>
      <c r="U895">
        <v>2</v>
      </c>
    </row>
    <row r="896" spans="1:21" x14ac:dyDescent="0.25">
      <c r="A896" s="1">
        <v>46092</v>
      </c>
      <c r="B896" t="s">
        <v>1091</v>
      </c>
      <c r="C896" t="s">
        <v>144</v>
      </c>
      <c r="D896" t="s">
        <v>71</v>
      </c>
      <c r="E896" t="s">
        <v>72</v>
      </c>
      <c r="F896" t="s">
        <v>64</v>
      </c>
      <c r="G896" t="s">
        <v>37</v>
      </c>
      <c r="H896" t="s">
        <v>178</v>
      </c>
      <c r="I896" t="s">
        <v>29</v>
      </c>
      <c r="J896" s="2">
        <v>6</v>
      </c>
      <c r="K896" s="3">
        <v>506.81</v>
      </c>
      <c r="L896" s="3">
        <v>245.87</v>
      </c>
      <c r="M896" s="4">
        <v>0</v>
      </c>
      <c r="N896" s="3">
        <f t="shared" si="65"/>
        <v>3040.86</v>
      </c>
      <c r="O896" s="3">
        <f t="shared" si="66"/>
        <v>3040.86</v>
      </c>
      <c r="P896" s="3">
        <f t="shared" si="67"/>
        <v>1475.22</v>
      </c>
      <c r="Q896" s="3">
        <f t="shared" si="68"/>
        <v>1565.64</v>
      </c>
      <c r="R896" s="4">
        <f t="shared" si="69"/>
        <v>0.51490000000000002</v>
      </c>
      <c r="S896" s="2">
        <v>8</v>
      </c>
      <c r="T896" t="s">
        <v>46</v>
      </c>
      <c r="U896">
        <v>5</v>
      </c>
    </row>
    <row r="897" spans="1:21" x14ac:dyDescent="0.25">
      <c r="A897" s="1">
        <v>46065</v>
      </c>
      <c r="B897" t="s">
        <v>1092</v>
      </c>
      <c r="C897" t="s">
        <v>480</v>
      </c>
      <c r="D897" t="s">
        <v>97</v>
      </c>
      <c r="E897" t="s">
        <v>57</v>
      </c>
      <c r="F897" t="s">
        <v>36</v>
      </c>
      <c r="G897" t="s">
        <v>44</v>
      </c>
      <c r="H897" t="s">
        <v>73</v>
      </c>
      <c r="I897" t="s">
        <v>92</v>
      </c>
      <c r="J897" s="2">
        <v>7</v>
      </c>
      <c r="K897" s="3">
        <v>1642.58</v>
      </c>
      <c r="L897" s="3">
        <v>1054.8599999999999</v>
      </c>
      <c r="M897" s="4">
        <v>8.9999999999999998E-4</v>
      </c>
      <c r="N897" s="3">
        <f t="shared" si="65"/>
        <v>11498.06</v>
      </c>
      <c r="O897" s="3">
        <f t="shared" si="66"/>
        <v>11487.71</v>
      </c>
      <c r="P897" s="3">
        <f t="shared" si="67"/>
        <v>7384.02</v>
      </c>
      <c r="Q897" s="3">
        <f t="shared" si="68"/>
        <v>4103.6899999999996</v>
      </c>
      <c r="R897" s="4">
        <f t="shared" si="69"/>
        <v>0.35720000000000002</v>
      </c>
      <c r="S897" s="2">
        <v>7</v>
      </c>
      <c r="T897" t="s">
        <v>40</v>
      </c>
    </row>
    <row r="898" spans="1:21" x14ac:dyDescent="0.25">
      <c r="A898" s="1">
        <v>46134</v>
      </c>
      <c r="B898" t="s">
        <v>1093</v>
      </c>
      <c r="C898" t="s">
        <v>211</v>
      </c>
      <c r="D898" t="s">
        <v>139</v>
      </c>
      <c r="E898" t="s">
        <v>72</v>
      </c>
      <c r="F898" t="s">
        <v>26</v>
      </c>
      <c r="G898" t="s">
        <v>27</v>
      </c>
      <c r="H898" t="s">
        <v>68</v>
      </c>
      <c r="I898" t="s">
        <v>65</v>
      </c>
      <c r="J898" s="2">
        <v>4</v>
      </c>
      <c r="K898" s="3">
        <v>1300.3</v>
      </c>
      <c r="L898" s="3">
        <v>777.78</v>
      </c>
      <c r="M898" s="4">
        <v>3.8699999999999998E-2</v>
      </c>
      <c r="N898" s="3">
        <f t="shared" ref="N898:N961" si="70">ROUND(J898*K898,2)</f>
        <v>5201.2</v>
      </c>
      <c r="O898" s="3">
        <f t="shared" ref="O898:O961" si="71">ROUND(N898*(1-M898),2)</f>
        <v>4999.91</v>
      </c>
      <c r="P898" s="3">
        <f t="shared" ref="P898:P961" si="72">ROUND(J898*L898,2)</f>
        <v>3111.12</v>
      </c>
      <c r="Q898" s="3">
        <f t="shared" ref="Q898:Q961" si="73">ROUND(O898-P898,2)</f>
        <v>1888.79</v>
      </c>
      <c r="R898" s="4">
        <f t="shared" ref="R898:R961" si="74">IF(O898=0,0,ROUND(Q898/O898,4))</f>
        <v>0.37780000000000002</v>
      </c>
      <c r="S898" s="2">
        <v>14</v>
      </c>
      <c r="T898" t="s">
        <v>30</v>
      </c>
      <c r="U898">
        <v>3</v>
      </c>
    </row>
    <row r="899" spans="1:21" x14ac:dyDescent="0.25">
      <c r="A899" s="1">
        <v>46101</v>
      </c>
      <c r="B899" t="s">
        <v>1094</v>
      </c>
      <c r="C899" t="s">
        <v>266</v>
      </c>
      <c r="D899" t="s">
        <v>121</v>
      </c>
      <c r="E899" t="s">
        <v>72</v>
      </c>
      <c r="F899" t="s">
        <v>64</v>
      </c>
      <c r="G899" t="s">
        <v>37</v>
      </c>
      <c r="H899" t="s">
        <v>104</v>
      </c>
      <c r="I899" t="s">
        <v>53</v>
      </c>
      <c r="J899" s="2">
        <v>4</v>
      </c>
      <c r="K899" s="3">
        <v>300.88</v>
      </c>
      <c r="L899" s="3">
        <v>144.82</v>
      </c>
      <c r="M899" s="4">
        <v>0.12690000000000001</v>
      </c>
      <c r="N899" s="3">
        <f t="shared" si="70"/>
        <v>1203.52</v>
      </c>
      <c r="O899" s="3">
        <f t="shared" si="71"/>
        <v>1050.79</v>
      </c>
      <c r="P899" s="3">
        <f t="shared" si="72"/>
        <v>579.28</v>
      </c>
      <c r="Q899" s="3">
        <f t="shared" si="73"/>
        <v>471.51</v>
      </c>
      <c r="R899" s="4">
        <f t="shared" si="74"/>
        <v>0.44869999999999999</v>
      </c>
      <c r="S899" s="2">
        <v>3</v>
      </c>
      <c r="T899" t="s">
        <v>46</v>
      </c>
      <c r="U899">
        <v>4</v>
      </c>
    </row>
    <row r="900" spans="1:21" x14ac:dyDescent="0.25">
      <c r="A900" s="1">
        <v>46211</v>
      </c>
      <c r="B900" t="s">
        <v>1095</v>
      </c>
      <c r="C900" t="s">
        <v>148</v>
      </c>
      <c r="D900" t="s">
        <v>121</v>
      </c>
      <c r="E900" t="s">
        <v>72</v>
      </c>
      <c r="F900" t="s">
        <v>26</v>
      </c>
      <c r="G900" t="s">
        <v>37</v>
      </c>
      <c r="H900" t="s">
        <v>178</v>
      </c>
      <c r="I900" t="s">
        <v>29</v>
      </c>
      <c r="J900" s="2">
        <v>5</v>
      </c>
      <c r="K900" s="3">
        <v>519.16999999999996</v>
      </c>
      <c r="L900" s="3">
        <v>257.64999999999998</v>
      </c>
      <c r="M900" s="4">
        <v>1.5299999999999999E-2</v>
      </c>
      <c r="N900" s="3">
        <f t="shared" si="70"/>
        <v>2595.85</v>
      </c>
      <c r="O900" s="3">
        <f t="shared" si="71"/>
        <v>2556.13</v>
      </c>
      <c r="P900" s="3">
        <f t="shared" si="72"/>
        <v>1288.25</v>
      </c>
      <c r="Q900" s="3">
        <f t="shared" si="73"/>
        <v>1267.8800000000001</v>
      </c>
      <c r="R900" s="4">
        <f t="shared" si="74"/>
        <v>0.496</v>
      </c>
      <c r="S900" s="2">
        <v>8</v>
      </c>
      <c r="T900" t="s">
        <v>46</v>
      </c>
      <c r="U900">
        <v>3</v>
      </c>
    </row>
    <row r="901" spans="1:21" x14ac:dyDescent="0.25">
      <c r="A901" s="1">
        <v>46220</v>
      </c>
      <c r="B901" t="s">
        <v>1096</v>
      </c>
      <c r="C901" t="s">
        <v>590</v>
      </c>
      <c r="D901" t="s">
        <v>56</v>
      </c>
      <c r="E901" t="s">
        <v>57</v>
      </c>
      <c r="F901" t="s">
        <v>64</v>
      </c>
      <c r="G901" t="s">
        <v>44</v>
      </c>
      <c r="H901" t="s">
        <v>45</v>
      </c>
      <c r="I901" t="s">
        <v>39</v>
      </c>
      <c r="J901" s="2">
        <v>8</v>
      </c>
      <c r="K901" s="3">
        <v>404.71</v>
      </c>
      <c r="L901" s="3">
        <v>201.86</v>
      </c>
      <c r="M901" s="4">
        <v>9.5999999999999992E-3</v>
      </c>
      <c r="N901" s="3">
        <f t="shared" si="70"/>
        <v>3237.68</v>
      </c>
      <c r="O901" s="3">
        <f t="shared" si="71"/>
        <v>3206.6</v>
      </c>
      <c r="P901" s="3">
        <f t="shared" si="72"/>
        <v>1614.88</v>
      </c>
      <c r="Q901" s="3">
        <f t="shared" si="73"/>
        <v>1591.72</v>
      </c>
      <c r="R901" s="4">
        <f t="shared" si="74"/>
        <v>0.49640000000000001</v>
      </c>
      <c r="S901" s="2">
        <v>6</v>
      </c>
      <c r="T901" t="s">
        <v>46</v>
      </c>
      <c r="U901">
        <v>3</v>
      </c>
    </row>
    <row r="902" spans="1:21" x14ac:dyDescent="0.25">
      <c r="A902" s="1">
        <v>46160</v>
      </c>
      <c r="B902" t="s">
        <v>1097</v>
      </c>
      <c r="C902" t="s">
        <v>514</v>
      </c>
      <c r="D902" t="s">
        <v>113</v>
      </c>
      <c r="E902" t="s">
        <v>50</v>
      </c>
      <c r="F902" t="s">
        <v>26</v>
      </c>
      <c r="G902" t="s">
        <v>44</v>
      </c>
      <c r="H902" t="s">
        <v>45</v>
      </c>
      <c r="I902" t="s">
        <v>29</v>
      </c>
      <c r="J902" s="2">
        <v>5</v>
      </c>
      <c r="K902" s="3">
        <v>399.85</v>
      </c>
      <c r="L902" s="3">
        <v>203.21</v>
      </c>
      <c r="M902" s="4">
        <v>1.8599999999999998E-2</v>
      </c>
      <c r="N902" s="3">
        <f t="shared" si="70"/>
        <v>1999.25</v>
      </c>
      <c r="O902" s="3">
        <f t="shared" si="71"/>
        <v>1962.06</v>
      </c>
      <c r="P902" s="3">
        <f t="shared" si="72"/>
        <v>1016.05</v>
      </c>
      <c r="Q902" s="3">
        <f t="shared" si="73"/>
        <v>946.01</v>
      </c>
      <c r="R902" s="4">
        <f t="shared" si="74"/>
        <v>0.48220000000000002</v>
      </c>
      <c r="S902" s="2">
        <v>6</v>
      </c>
      <c r="T902" t="s">
        <v>46</v>
      </c>
      <c r="U902">
        <v>2</v>
      </c>
    </row>
    <row r="903" spans="1:21" x14ac:dyDescent="0.25">
      <c r="A903" s="1">
        <v>46055</v>
      </c>
      <c r="B903" t="s">
        <v>1098</v>
      </c>
      <c r="C903" t="s">
        <v>166</v>
      </c>
      <c r="D903" t="s">
        <v>101</v>
      </c>
      <c r="E903" t="s">
        <v>35</v>
      </c>
      <c r="F903" t="s">
        <v>64</v>
      </c>
      <c r="G903" t="s">
        <v>27</v>
      </c>
      <c r="H903" t="s">
        <v>28</v>
      </c>
      <c r="I903" t="s">
        <v>60</v>
      </c>
      <c r="J903" s="2">
        <v>5</v>
      </c>
      <c r="K903" s="3">
        <v>830.11</v>
      </c>
      <c r="L903" s="3">
        <v>448.67</v>
      </c>
      <c r="M903" s="4">
        <v>8.3699999999999997E-2</v>
      </c>
      <c r="N903" s="3">
        <f t="shared" si="70"/>
        <v>4150.55</v>
      </c>
      <c r="O903" s="3">
        <f t="shared" si="71"/>
        <v>3803.15</v>
      </c>
      <c r="P903" s="3">
        <f t="shared" si="72"/>
        <v>2243.35</v>
      </c>
      <c r="Q903" s="3">
        <f t="shared" si="73"/>
        <v>1559.8</v>
      </c>
      <c r="R903" s="4">
        <f t="shared" si="74"/>
        <v>0.41010000000000002</v>
      </c>
      <c r="S903" s="2">
        <v>7</v>
      </c>
      <c r="T903" t="s">
        <v>46</v>
      </c>
      <c r="U903">
        <v>4</v>
      </c>
    </row>
    <row r="904" spans="1:21" x14ac:dyDescent="0.25">
      <c r="A904" s="1">
        <v>46085</v>
      </c>
      <c r="B904" t="s">
        <v>1099</v>
      </c>
      <c r="C904" t="s">
        <v>100</v>
      </c>
      <c r="D904" t="s">
        <v>207</v>
      </c>
      <c r="E904" t="s">
        <v>35</v>
      </c>
      <c r="F904" t="s">
        <v>26</v>
      </c>
      <c r="G904" t="s">
        <v>44</v>
      </c>
      <c r="H904" t="s">
        <v>45</v>
      </c>
      <c r="I904" t="s">
        <v>29</v>
      </c>
      <c r="J904" s="2">
        <v>7</v>
      </c>
      <c r="K904" s="3">
        <v>388.51</v>
      </c>
      <c r="L904" s="3">
        <v>202.86</v>
      </c>
      <c r="M904" s="4">
        <v>8.4900000000000003E-2</v>
      </c>
      <c r="N904" s="3">
        <f t="shared" si="70"/>
        <v>2719.57</v>
      </c>
      <c r="O904" s="3">
        <f t="shared" si="71"/>
        <v>2488.6799999999998</v>
      </c>
      <c r="P904" s="3">
        <f t="shared" si="72"/>
        <v>1420.02</v>
      </c>
      <c r="Q904" s="3">
        <f t="shared" si="73"/>
        <v>1068.6600000000001</v>
      </c>
      <c r="R904" s="4">
        <f t="shared" si="74"/>
        <v>0.4294</v>
      </c>
      <c r="S904" s="2">
        <v>2</v>
      </c>
      <c r="T904" t="s">
        <v>46</v>
      </c>
      <c r="U904">
        <v>5</v>
      </c>
    </row>
    <row r="905" spans="1:21" x14ac:dyDescent="0.25">
      <c r="A905" s="1">
        <v>46126</v>
      </c>
      <c r="B905" t="s">
        <v>1100</v>
      </c>
      <c r="C905" t="s">
        <v>480</v>
      </c>
      <c r="D905" t="s">
        <v>34</v>
      </c>
      <c r="E905" t="s">
        <v>35</v>
      </c>
      <c r="F905" t="s">
        <v>64</v>
      </c>
      <c r="G905" t="s">
        <v>51</v>
      </c>
      <c r="H905" t="s">
        <v>52</v>
      </c>
      <c r="I905" t="s">
        <v>87</v>
      </c>
      <c r="J905" s="2">
        <v>5</v>
      </c>
      <c r="K905" s="3">
        <v>266.33999999999997</v>
      </c>
      <c r="L905" s="3">
        <v>117.44</v>
      </c>
      <c r="M905" s="4">
        <v>9.5399999999999999E-2</v>
      </c>
      <c r="N905" s="3">
        <f t="shared" si="70"/>
        <v>1331.7</v>
      </c>
      <c r="O905" s="3">
        <f t="shared" si="71"/>
        <v>1204.6600000000001</v>
      </c>
      <c r="P905" s="3">
        <f t="shared" si="72"/>
        <v>587.20000000000005</v>
      </c>
      <c r="Q905" s="3">
        <f t="shared" si="73"/>
        <v>617.46</v>
      </c>
      <c r="R905" s="4">
        <f t="shared" si="74"/>
        <v>0.51259999999999994</v>
      </c>
      <c r="S905" s="2">
        <v>6</v>
      </c>
      <c r="T905" t="s">
        <v>46</v>
      </c>
      <c r="U905">
        <v>2</v>
      </c>
    </row>
    <row r="906" spans="1:21" x14ac:dyDescent="0.25">
      <c r="A906" s="1">
        <v>46068</v>
      </c>
      <c r="B906" t="s">
        <v>1101</v>
      </c>
      <c r="C906" t="s">
        <v>378</v>
      </c>
      <c r="D906" t="s">
        <v>24</v>
      </c>
      <c r="E906" t="s">
        <v>25</v>
      </c>
      <c r="F906" t="s">
        <v>64</v>
      </c>
      <c r="G906" t="s">
        <v>51</v>
      </c>
      <c r="H906" t="s">
        <v>116</v>
      </c>
      <c r="I906" t="s">
        <v>77</v>
      </c>
      <c r="J906" s="2">
        <v>8</v>
      </c>
      <c r="K906" s="3">
        <v>2942.42</v>
      </c>
      <c r="L906" s="3">
        <v>1939.22</v>
      </c>
      <c r="M906" s="4">
        <v>4.9700000000000001E-2</v>
      </c>
      <c r="N906" s="3">
        <f t="shared" si="70"/>
        <v>23539.360000000001</v>
      </c>
      <c r="O906" s="3">
        <f t="shared" si="71"/>
        <v>22369.45</v>
      </c>
      <c r="P906" s="3">
        <f t="shared" si="72"/>
        <v>15513.76</v>
      </c>
      <c r="Q906" s="3">
        <f t="shared" si="73"/>
        <v>6855.69</v>
      </c>
      <c r="R906" s="4">
        <f t="shared" si="74"/>
        <v>0.30649999999999999</v>
      </c>
      <c r="S906" s="2">
        <v>3</v>
      </c>
      <c r="T906" t="s">
        <v>46</v>
      </c>
      <c r="U906">
        <v>4</v>
      </c>
    </row>
    <row r="907" spans="1:21" x14ac:dyDescent="0.25">
      <c r="A907" s="1">
        <v>46078</v>
      </c>
      <c r="B907" t="s">
        <v>1102</v>
      </c>
      <c r="C907" t="s">
        <v>198</v>
      </c>
      <c r="D907" t="s">
        <v>49</v>
      </c>
      <c r="E907" t="s">
        <v>50</v>
      </c>
      <c r="F907" t="s">
        <v>58</v>
      </c>
      <c r="G907" t="s">
        <v>44</v>
      </c>
      <c r="H907" t="s">
        <v>45</v>
      </c>
      <c r="I907" t="s">
        <v>77</v>
      </c>
      <c r="J907" s="2">
        <v>7</v>
      </c>
      <c r="K907" s="3">
        <v>396.61</v>
      </c>
      <c r="L907" s="3">
        <v>215.54</v>
      </c>
      <c r="M907" s="4">
        <v>4.1000000000000002E-2</v>
      </c>
      <c r="N907" s="3">
        <f t="shared" si="70"/>
        <v>2776.27</v>
      </c>
      <c r="O907" s="3">
        <f t="shared" si="71"/>
        <v>2662.44</v>
      </c>
      <c r="P907" s="3">
        <f t="shared" si="72"/>
        <v>1508.78</v>
      </c>
      <c r="Q907" s="3">
        <f t="shared" si="73"/>
        <v>1153.6600000000001</v>
      </c>
      <c r="R907" s="4">
        <f t="shared" si="74"/>
        <v>0.43330000000000002</v>
      </c>
      <c r="S907" s="2">
        <v>13</v>
      </c>
      <c r="T907" t="s">
        <v>30</v>
      </c>
      <c r="U907">
        <v>2</v>
      </c>
    </row>
    <row r="908" spans="1:21" x14ac:dyDescent="0.25">
      <c r="A908" s="1">
        <v>46071</v>
      </c>
      <c r="B908" t="s">
        <v>1103</v>
      </c>
      <c r="C908" t="s">
        <v>164</v>
      </c>
      <c r="D908" t="s">
        <v>24</v>
      </c>
      <c r="E908" t="s">
        <v>25</v>
      </c>
      <c r="F908" t="s">
        <v>26</v>
      </c>
      <c r="G908" t="s">
        <v>51</v>
      </c>
      <c r="H908" t="s">
        <v>52</v>
      </c>
      <c r="I908" t="s">
        <v>29</v>
      </c>
      <c r="J908" s="2">
        <v>8</v>
      </c>
      <c r="K908" s="3">
        <v>246.75</v>
      </c>
      <c r="L908" s="3">
        <v>119.31</v>
      </c>
      <c r="M908" s="4">
        <v>0.12809999999999999</v>
      </c>
      <c r="N908" s="3">
        <f t="shared" si="70"/>
        <v>1974</v>
      </c>
      <c r="O908" s="3">
        <f t="shared" si="71"/>
        <v>1721.13</v>
      </c>
      <c r="P908" s="3">
        <f t="shared" si="72"/>
        <v>954.48</v>
      </c>
      <c r="Q908" s="3">
        <f t="shared" si="73"/>
        <v>766.65</v>
      </c>
      <c r="R908" s="4">
        <f t="shared" si="74"/>
        <v>0.44540000000000002</v>
      </c>
      <c r="S908" s="2">
        <v>8</v>
      </c>
      <c r="T908" t="s">
        <v>46</v>
      </c>
      <c r="U908">
        <v>3</v>
      </c>
    </row>
    <row r="909" spans="1:21" x14ac:dyDescent="0.25">
      <c r="A909" s="1">
        <v>46072</v>
      </c>
      <c r="B909" t="s">
        <v>1104</v>
      </c>
      <c r="C909" t="s">
        <v>115</v>
      </c>
      <c r="D909" t="s">
        <v>113</v>
      </c>
      <c r="E909" t="s">
        <v>50</v>
      </c>
      <c r="F909" t="s">
        <v>36</v>
      </c>
      <c r="G909" t="s">
        <v>27</v>
      </c>
      <c r="H909" t="s">
        <v>86</v>
      </c>
      <c r="I909" t="s">
        <v>77</v>
      </c>
      <c r="J909" s="2">
        <v>5</v>
      </c>
      <c r="K909" s="3">
        <v>1835.5</v>
      </c>
      <c r="L909" s="3">
        <v>1214.05</v>
      </c>
      <c r="M909" s="4">
        <v>9.2600000000000002E-2</v>
      </c>
      <c r="N909" s="3">
        <f t="shared" si="70"/>
        <v>9177.5</v>
      </c>
      <c r="O909" s="3">
        <f t="shared" si="71"/>
        <v>8327.66</v>
      </c>
      <c r="P909" s="3">
        <f t="shared" si="72"/>
        <v>6070.25</v>
      </c>
      <c r="Q909" s="3">
        <f t="shared" si="73"/>
        <v>2257.41</v>
      </c>
      <c r="R909" s="4">
        <f t="shared" si="74"/>
        <v>0.27110000000000001</v>
      </c>
      <c r="S909" s="2">
        <v>9</v>
      </c>
      <c r="T909" t="s">
        <v>46</v>
      </c>
      <c r="U909">
        <v>4</v>
      </c>
    </row>
    <row r="910" spans="1:21" x14ac:dyDescent="0.25">
      <c r="A910" s="1">
        <v>46105</v>
      </c>
      <c r="B910" t="s">
        <v>1105</v>
      </c>
      <c r="C910" t="s">
        <v>176</v>
      </c>
      <c r="D910" t="s">
        <v>207</v>
      </c>
      <c r="E910" t="s">
        <v>35</v>
      </c>
      <c r="F910" t="s">
        <v>64</v>
      </c>
      <c r="G910" t="s">
        <v>51</v>
      </c>
      <c r="H910" t="s">
        <v>52</v>
      </c>
      <c r="I910" t="s">
        <v>29</v>
      </c>
      <c r="J910" s="2">
        <v>3</v>
      </c>
      <c r="K910" s="3">
        <v>270.89</v>
      </c>
      <c r="L910" s="3">
        <v>122.1</v>
      </c>
      <c r="M910" s="4">
        <v>0</v>
      </c>
      <c r="N910" s="3">
        <f t="shared" si="70"/>
        <v>812.67</v>
      </c>
      <c r="O910" s="3">
        <f t="shared" si="71"/>
        <v>812.67</v>
      </c>
      <c r="P910" s="3">
        <f t="shared" si="72"/>
        <v>366.3</v>
      </c>
      <c r="Q910" s="3">
        <f t="shared" si="73"/>
        <v>446.37</v>
      </c>
      <c r="R910" s="4">
        <f t="shared" si="74"/>
        <v>0.54930000000000001</v>
      </c>
      <c r="S910" s="2">
        <v>12</v>
      </c>
      <c r="T910" t="s">
        <v>30</v>
      </c>
      <c r="U910">
        <v>5</v>
      </c>
    </row>
    <row r="911" spans="1:21" x14ac:dyDescent="0.25">
      <c r="A911" s="1">
        <v>46142</v>
      </c>
      <c r="B911" t="s">
        <v>1106</v>
      </c>
      <c r="C911" t="s">
        <v>428</v>
      </c>
      <c r="D911" t="s">
        <v>97</v>
      </c>
      <c r="E911" t="s">
        <v>57</v>
      </c>
      <c r="F911" t="s">
        <v>64</v>
      </c>
      <c r="G911" t="s">
        <v>37</v>
      </c>
      <c r="H911" t="s">
        <v>38</v>
      </c>
      <c r="I911" t="s">
        <v>39</v>
      </c>
      <c r="J911" s="2">
        <v>8</v>
      </c>
      <c r="K911" s="3">
        <v>433.45</v>
      </c>
      <c r="L911" s="3">
        <v>183.95</v>
      </c>
      <c r="M911" s="4">
        <v>0</v>
      </c>
      <c r="N911" s="3">
        <f t="shared" si="70"/>
        <v>3467.6</v>
      </c>
      <c r="O911" s="3">
        <f t="shared" si="71"/>
        <v>3467.6</v>
      </c>
      <c r="P911" s="3">
        <f t="shared" si="72"/>
        <v>1471.6</v>
      </c>
      <c r="Q911" s="3">
        <f t="shared" si="73"/>
        <v>1996</v>
      </c>
      <c r="R911" s="4">
        <f t="shared" si="74"/>
        <v>0.5756</v>
      </c>
      <c r="S911" s="2">
        <v>8</v>
      </c>
      <c r="T911" t="s">
        <v>46</v>
      </c>
      <c r="U911">
        <v>2</v>
      </c>
    </row>
    <row r="912" spans="1:21" x14ac:dyDescent="0.25">
      <c r="A912" s="1">
        <v>46137</v>
      </c>
      <c r="B912" t="s">
        <v>1107</v>
      </c>
      <c r="C912" t="s">
        <v>180</v>
      </c>
      <c r="D912" t="s">
        <v>63</v>
      </c>
      <c r="E912" t="s">
        <v>35</v>
      </c>
      <c r="F912" t="s">
        <v>36</v>
      </c>
      <c r="G912" t="s">
        <v>51</v>
      </c>
      <c r="H912" t="s">
        <v>116</v>
      </c>
      <c r="I912" t="s">
        <v>94</v>
      </c>
      <c r="J912" s="2">
        <v>2</v>
      </c>
      <c r="K912" s="3">
        <v>2938.54</v>
      </c>
      <c r="L912" s="3">
        <v>1785.39</v>
      </c>
      <c r="M912" s="4">
        <v>5.9799999999999999E-2</v>
      </c>
      <c r="N912" s="3">
        <f t="shared" si="70"/>
        <v>5877.08</v>
      </c>
      <c r="O912" s="3">
        <f t="shared" si="71"/>
        <v>5525.63</v>
      </c>
      <c r="P912" s="3">
        <f t="shared" si="72"/>
        <v>3570.78</v>
      </c>
      <c r="Q912" s="3">
        <f t="shared" si="73"/>
        <v>1954.85</v>
      </c>
      <c r="R912" s="4">
        <f t="shared" si="74"/>
        <v>0.3538</v>
      </c>
      <c r="S912" s="2">
        <v>6</v>
      </c>
      <c r="T912" t="s">
        <v>46</v>
      </c>
      <c r="U912">
        <v>3</v>
      </c>
    </row>
    <row r="913" spans="1:21" x14ac:dyDescent="0.25">
      <c r="A913" s="1">
        <v>46085</v>
      </c>
      <c r="B913" t="s">
        <v>1108</v>
      </c>
      <c r="C913" t="s">
        <v>82</v>
      </c>
      <c r="D913" t="s">
        <v>130</v>
      </c>
      <c r="E913" t="s">
        <v>72</v>
      </c>
      <c r="F913" t="s">
        <v>64</v>
      </c>
      <c r="G913" t="s">
        <v>51</v>
      </c>
      <c r="H913" t="s">
        <v>52</v>
      </c>
      <c r="I913" t="s">
        <v>74</v>
      </c>
      <c r="J913" s="2">
        <v>5</v>
      </c>
      <c r="K913" s="3">
        <v>274.07</v>
      </c>
      <c r="L913" s="3">
        <v>124.03</v>
      </c>
      <c r="M913" s="4">
        <v>9.1999999999999998E-2</v>
      </c>
      <c r="N913" s="3">
        <f t="shared" si="70"/>
        <v>1370.35</v>
      </c>
      <c r="O913" s="3">
        <f t="shared" si="71"/>
        <v>1244.28</v>
      </c>
      <c r="P913" s="3">
        <f t="shared" si="72"/>
        <v>620.15</v>
      </c>
      <c r="Q913" s="3">
        <f t="shared" si="73"/>
        <v>624.13</v>
      </c>
      <c r="R913" s="4">
        <f t="shared" si="74"/>
        <v>0.50160000000000005</v>
      </c>
      <c r="S913" s="2">
        <v>10</v>
      </c>
      <c r="T913" t="s">
        <v>46</v>
      </c>
      <c r="U913">
        <v>4</v>
      </c>
    </row>
    <row r="914" spans="1:21" x14ac:dyDescent="0.25">
      <c r="A914" s="1">
        <v>46108</v>
      </c>
      <c r="B914" t="s">
        <v>1109</v>
      </c>
      <c r="C914" t="s">
        <v>195</v>
      </c>
      <c r="D914" t="s">
        <v>101</v>
      </c>
      <c r="E914" t="s">
        <v>35</v>
      </c>
      <c r="F914" t="s">
        <v>64</v>
      </c>
      <c r="G914" t="s">
        <v>44</v>
      </c>
      <c r="H914" t="s">
        <v>124</v>
      </c>
      <c r="I914" t="s">
        <v>77</v>
      </c>
      <c r="J914" s="2">
        <v>7</v>
      </c>
      <c r="K914" s="3">
        <v>5824.19</v>
      </c>
      <c r="L914" s="3">
        <v>4175.17</v>
      </c>
      <c r="M914" s="4">
        <v>3.9300000000000002E-2</v>
      </c>
      <c r="N914" s="3">
        <f t="shared" si="70"/>
        <v>40769.33</v>
      </c>
      <c r="O914" s="3">
        <f t="shared" si="71"/>
        <v>39167.1</v>
      </c>
      <c r="P914" s="3">
        <f t="shared" si="72"/>
        <v>29226.19</v>
      </c>
      <c r="Q914" s="3">
        <f t="shared" si="73"/>
        <v>9940.91</v>
      </c>
      <c r="R914" s="4">
        <f t="shared" si="74"/>
        <v>0.25380000000000003</v>
      </c>
      <c r="S914" s="2">
        <v>4</v>
      </c>
      <c r="T914" t="s">
        <v>46</v>
      </c>
      <c r="U914">
        <v>3</v>
      </c>
    </row>
    <row r="915" spans="1:21" x14ac:dyDescent="0.25">
      <c r="A915" s="1">
        <v>46222</v>
      </c>
      <c r="B915" t="s">
        <v>1110</v>
      </c>
      <c r="C915" t="s">
        <v>108</v>
      </c>
      <c r="D915" t="s">
        <v>130</v>
      </c>
      <c r="E915" t="s">
        <v>72</v>
      </c>
      <c r="F915" t="s">
        <v>36</v>
      </c>
      <c r="G915" t="s">
        <v>44</v>
      </c>
      <c r="H915" t="s">
        <v>45</v>
      </c>
      <c r="I915" t="s">
        <v>39</v>
      </c>
      <c r="J915" s="2">
        <v>1</v>
      </c>
      <c r="K915" s="3">
        <v>405.11</v>
      </c>
      <c r="L915" s="3">
        <v>219.9</v>
      </c>
      <c r="M915" s="4">
        <v>0</v>
      </c>
      <c r="N915" s="3">
        <f t="shared" si="70"/>
        <v>405.11</v>
      </c>
      <c r="O915" s="3">
        <f t="shared" si="71"/>
        <v>405.11</v>
      </c>
      <c r="P915" s="3">
        <f t="shared" si="72"/>
        <v>219.9</v>
      </c>
      <c r="Q915" s="3">
        <f t="shared" si="73"/>
        <v>185.21</v>
      </c>
      <c r="R915" s="4">
        <f t="shared" si="74"/>
        <v>0.4572</v>
      </c>
      <c r="S915" s="2">
        <v>8</v>
      </c>
      <c r="T915" t="s">
        <v>46</v>
      </c>
      <c r="U915">
        <v>3</v>
      </c>
    </row>
    <row r="916" spans="1:21" x14ac:dyDescent="0.25">
      <c r="A916" s="1">
        <v>46226</v>
      </c>
      <c r="B916" t="s">
        <v>1111</v>
      </c>
      <c r="C916" t="s">
        <v>418</v>
      </c>
      <c r="D916" t="s">
        <v>43</v>
      </c>
      <c r="E916" t="s">
        <v>25</v>
      </c>
      <c r="F916" t="s">
        <v>36</v>
      </c>
      <c r="G916" t="s">
        <v>37</v>
      </c>
      <c r="H916" t="s">
        <v>104</v>
      </c>
      <c r="I916" t="s">
        <v>60</v>
      </c>
      <c r="J916" s="2">
        <v>6</v>
      </c>
      <c r="K916" s="3">
        <v>326.94</v>
      </c>
      <c r="L916" s="3">
        <v>143.46</v>
      </c>
      <c r="M916" s="4">
        <v>9.1200000000000003E-2</v>
      </c>
      <c r="N916" s="3">
        <f t="shared" si="70"/>
        <v>1961.64</v>
      </c>
      <c r="O916" s="3">
        <f t="shared" si="71"/>
        <v>1782.74</v>
      </c>
      <c r="P916" s="3">
        <f t="shared" si="72"/>
        <v>860.76</v>
      </c>
      <c r="Q916" s="3">
        <f t="shared" si="73"/>
        <v>921.98</v>
      </c>
      <c r="R916" s="4">
        <f t="shared" si="74"/>
        <v>0.51719999999999999</v>
      </c>
      <c r="S916" s="2">
        <v>3</v>
      </c>
      <c r="T916" t="s">
        <v>46</v>
      </c>
      <c r="U916">
        <v>4</v>
      </c>
    </row>
    <row r="917" spans="1:21" x14ac:dyDescent="0.25">
      <c r="A917" s="1">
        <v>46092</v>
      </c>
      <c r="B917" t="s">
        <v>1112</v>
      </c>
      <c r="C917" t="s">
        <v>329</v>
      </c>
      <c r="D917" t="s">
        <v>130</v>
      </c>
      <c r="E917" t="s">
        <v>72</v>
      </c>
      <c r="F917" t="s">
        <v>26</v>
      </c>
      <c r="G917" t="s">
        <v>37</v>
      </c>
      <c r="H917" t="s">
        <v>104</v>
      </c>
      <c r="I917" t="s">
        <v>92</v>
      </c>
      <c r="J917" s="2">
        <v>3</v>
      </c>
      <c r="K917" s="3">
        <v>310.04000000000002</v>
      </c>
      <c r="L917" s="3">
        <v>146.47</v>
      </c>
      <c r="M917" s="4">
        <v>6.4000000000000001E-2</v>
      </c>
      <c r="N917" s="3">
        <f t="shared" si="70"/>
        <v>930.12</v>
      </c>
      <c r="O917" s="3">
        <f t="shared" si="71"/>
        <v>870.59</v>
      </c>
      <c r="P917" s="3">
        <f t="shared" si="72"/>
        <v>439.41</v>
      </c>
      <c r="Q917" s="3">
        <f t="shared" si="73"/>
        <v>431.18</v>
      </c>
      <c r="R917" s="4">
        <f t="shared" si="74"/>
        <v>0.49530000000000002</v>
      </c>
      <c r="S917" s="2">
        <v>6</v>
      </c>
      <c r="T917" t="s">
        <v>46</v>
      </c>
      <c r="U917">
        <v>4</v>
      </c>
    </row>
    <row r="918" spans="1:21" x14ac:dyDescent="0.25">
      <c r="A918" s="1">
        <v>46205</v>
      </c>
      <c r="B918" t="s">
        <v>1113</v>
      </c>
      <c r="C918" t="s">
        <v>247</v>
      </c>
      <c r="D918" t="s">
        <v>97</v>
      </c>
      <c r="E918" t="s">
        <v>57</v>
      </c>
      <c r="F918" t="s">
        <v>36</v>
      </c>
      <c r="G918" t="s">
        <v>27</v>
      </c>
      <c r="H918" t="s">
        <v>28</v>
      </c>
      <c r="I918" t="s">
        <v>60</v>
      </c>
      <c r="J918" s="2">
        <v>8</v>
      </c>
      <c r="K918" s="3">
        <v>779</v>
      </c>
      <c r="L918" s="3">
        <v>443.81</v>
      </c>
      <c r="M918" s="4">
        <v>8.2699999999999996E-2</v>
      </c>
      <c r="N918" s="3">
        <f t="shared" si="70"/>
        <v>6232</v>
      </c>
      <c r="O918" s="3">
        <f t="shared" si="71"/>
        <v>5716.61</v>
      </c>
      <c r="P918" s="3">
        <f t="shared" si="72"/>
        <v>3550.48</v>
      </c>
      <c r="Q918" s="3">
        <f t="shared" si="73"/>
        <v>2166.13</v>
      </c>
      <c r="R918" s="4">
        <f t="shared" si="74"/>
        <v>0.37890000000000001</v>
      </c>
      <c r="S918" s="2">
        <v>11</v>
      </c>
      <c r="T918" t="s">
        <v>30</v>
      </c>
      <c r="U918">
        <v>4</v>
      </c>
    </row>
    <row r="919" spans="1:21" x14ac:dyDescent="0.25">
      <c r="A919" s="1">
        <v>46095</v>
      </c>
      <c r="B919" t="s">
        <v>1114</v>
      </c>
      <c r="C919" t="s">
        <v>166</v>
      </c>
      <c r="D919" t="s">
        <v>56</v>
      </c>
      <c r="E919" t="s">
        <v>57</v>
      </c>
      <c r="F919" t="s">
        <v>58</v>
      </c>
      <c r="G919" t="s">
        <v>37</v>
      </c>
      <c r="H919" t="s">
        <v>178</v>
      </c>
      <c r="I919" t="s">
        <v>53</v>
      </c>
      <c r="J919" s="2">
        <v>8</v>
      </c>
      <c r="K919" s="3">
        <v>498.1</v>
      </c>
      <c r="L919" s="3">
        <v>249.54</v>
      </c>
      <c r="M919" s="4">
        <v>9.9099999999999994E-2</v>
      </c>
      <c r="N919" s="3">
        <f t="shared" si="70"/>
        <v>3984.8</v>
      </c>
      <c r="O919" s="3">
        <f t="shared" si="71"/>
        <v>3589.91</v>
      </c>
      <c r="P919" s="3">
        <f t="shared" si="72"/>
        <v>1996.32</v>
      </c>
      <c r="Q919" s="3">
        <f t="shared" si="73"/>
        <v>1593.59</v>
      </c>
      <c r="R919" s="4">
        <f t="shared" si="74"/>
        <v>0.44390000000000002</v>
      </c>
      <c r="S919" s="2">
        <v>4</v>
      </c>
      <c r="T919" t="s">
        <v>46</v>
      </c>
      <c r="U919">
        <v>5</v>
      </c>
    </row>
    <row r="920" spans="1:21" x14ac:dyDescent="0.25">
      <c r="A920" s="1">
        <v>46146</v>
      </c>
      <c r="B920" t="s">
        <v>1115</v>
      </c>
      <c r="C920" t="s">
        <v>176</v>
      </c>
      <c r="D920" t="s">
        <v>130</v>
      </c>
      <c r="E920" t="s">
        <v>72</v>
      </c>
      <c r="F920" t="s">
        <v>26</v>
      </c>
      <c r="G920" t="s">
        <v>44</v>
      </c>
      <c r="H920" t="s">
        <v>124</v>
      </c>
      <c r="I920" t="s">
        <v>39</v>
      </c>
      <c r="J920" s="2">
        <v>3</v>
      </c>
      <c r="K920" s="3">
        <v>5998.14</v>
      </c>
      <c r="L920" s="3">
        <v>4391.1099999999997</v>
      </c>
      <c r="M920" s="4">
        <v>0</v>
      </c>
      <c r="N920" s="3">
        <f t="shared" si="70"/>
        <v>17994.419999999998</v>
      </c>
      <c r="O920" s="3">
        <f t="shared" si="71"/>
        <v>17994.419999999998</v>
      </c>
      <c r="P920" s="3">
        <f t="shared" si="72"/>
        <v>13173.33</v>
      </c>
      <c r="Q920" s="3">
        <f t="shared" si="73"/>
        <v>4821.09</v>
      </c>
      <c r="R920" s="4">
        <f t="shared" si="74"/>
        <v>0.26790000000000003</v>
      </c>
      <c r="S920" s="2">
        <v>10</v>
      </c>
      <c r="T920" t="s">
        <v>46</v>
      </c>
      <c r="U920">
        <v>5</v>
      </c>
    </row>
    <row r="921" spans="1:21" x14ac:dyDescent="0.25">
      <c r="A921" s="1">
        <v>46099</v>
      </c>
      <c r="B921" t="s">
        <v>1116</v>
      </c>
      <c r="C921" t="s">
        <v>198</v>
      </c>
      <c r="D921" t="s">
        <v>34</v>
      </c>
      <c r="E921" t="s">
        <v>35</v>
      </c>
      <c r="F921" t="s">
        <v>36</v>
      </c>
      <c r="G921" t="s">
        <v>51</v>
      </c>
      <c r="H921" t="s">
        <v>116</v>
      </c>
      <c r="I921" t="s">
        <v>65</v>
      </c>
      <c r="J921" s="2">
        <v>2</v>
      </c>
      <c r="K921" s="3">
        <v>2792.2</v>
      </c>
      <c r="L921" s="3">
        <v>1758.03</v>
      </c>
      <c r="M921" s="4">
        <v>2.6800000000000001E-2</v>
      </c>
      <c r="N921" s="3">
        <f t="shared" si="70"/>
        <v>5584.4</v>
      </c>
      <c r="O921" s="3">
        <f t="shared" si="71"/>
        <v>5434.74</v>
      </c>
      <c r="P921" s="3">
        <f t="shared" si="72"/>
        <v>3516.06</v>
      </c>
      <c r="Q921" s="3">
        <f t="shared" si="73"/>
        <v>1918.68</v>
      </c>
      <c r="R921" s="4">
        <f t="shared" si="74"/>
        <v>0.35299999999999998</v>
      </c>
      <c r="S921" s="2">
        <v>6</v>
      </c>
      <c r="T921" t="s">
        <v>46</v>
      </c>
      <c r="U921">
        <v>3</v>
      </c>
    </row>
    <row r="922" spans="1:21" x14ac:dyDescent="0.25">
      <c r="A922" s="1">
        <v>46075</v>
      </c>
      <c r="B922" t="s">
        <v>1117</v>
      </c>
      <c r="C922" t="s">
        <v>174</v>
      </c>
      <c r="D922" t="s">
        <v>56</v>
      </c>
      <c r="E922" t="s">
        <v>57</v>
      </c>
      <c r="F922" t="s">
        <v>26</v>
      </c>
      <c r="G922" t="s">
        <v>37</v>
      </c>
      <c r="H922" t="s">
        <v>104</v>
      </c>
      <c r="I922" t="s">
        <v>65</v>
      </c>
      <c r="J922" s="2">
        <v>8</v>
      </c>
      <c r="K922" s="3">
        <v>319.48</v>
      </c>
      <c r="L922" s="3">
        <v>137.52000000000001</v>
      </c>
      <c r="M922" s="4">
        <v>0.11360000000000001</v>
      </c>
      <c r="N922" s="3">
        <f t="shared" si="70"/>
        <v>2555.84</v>
      </c>
      <c r="O922" s="3">
        <f t="shared" si="71"/>
        <v>2265.5</v>
      </c>
      <c r="P922" s="3">
        <f t="shared" si="72"/>
        <v>1100.1600000000001</v>
      </c>
      <c r="Q922" s="3">
        <f t="shared" si="73"/>
        <v>1165.3399999999999</v>
      </c>
      <c r="R922" s="4">
        <f t="shared" si="74"/>
        <v>0.51439999999999997</v>
      </c>
      <c r="S922" s="2">
        <v>4</v>
      </c>
      <c r="T922" t="s">
        <v>46</v>
      </c>
      <c r="U922">
        <v>5</v>
      </c>
    </row>
    <row r="923" spans="1:21" x14ac:dyDescent="0.25">
      <c r="A923" s="1">
        <v>46085</v>
      </c>
      <c r="B923" t="s">
        <v>1118</v>
      </c>
      <c r="C923" t="s">
        <v>150</v>
      </c>
      <c r="D923" t="s">
        <v>130</v>
      </c>
      <c r="E923" t="s">
        <v>72</v>
      </c>
      <c r="F923" t="s">
        <v>64</v>
      </c>
      <c r="G923" t="s">
        <v>27</v>
      </c>
      <c r="H923" t="s">
        <v>86</v>
      </c>
      <c r="I923" t="s">
        <v>53</v>
      </c>
      <c r="J923" s="2">
        <v>4</v>
      </c>
      <c r="K923" s="3">
        <v>1905.06</v>
      </c>
      <c r="L923" s="3">
        <v>1268.02</v>
      </c>
      <c r="M923" s="4">
        <v>9.5799999999999996E-2</v>
      </c>
      <c r="N923" s="3">
        <f t="shared" si="70"/>
        <v>7620.24</v>
      </c>
      <c r="O923" s="3">
        <f t="shared" si="71"/>
        <v>6890.22</v>
      </c>
      <c r="P923" s="3">
        <f t="shared" si="72"/>
        <v>5072.08</v>
      </c>
      <c r="Q923" s="3">
        <f t="shared" si="73"/>
        <v>1818.14</v>
      </c>
      <c r="R923" s="4">
        <f t="shared" si="74"/>
        <v>0.26390000000000002</v>
      </c>
      <c r="S923" s="2">
        <v>4</v>
      </c>
      <c r="T923" t="s">
        <v>46</v>
      </c>
      <c r="U923">
        <v>3</v>
      </c>
    </row>
    <row r="924" spans="1:21" x14ac:dyDescent="0.25">
      <c r="A924" s="1">
        <v>46183</v>
      </c>
      <c r="B924" t="s">
        <v>1119</v>
      </c>
      <c r="C924" t="s">
        <v>112</v>
      </c>
      <c r="D924" t="s">
        <v>63</v>
      </c>
      <c r="E924" t="s">
        <v>35</v>
      </c>
      <c r="F924" t="s">
        <v>26</v>
      </c>
      <c r="G924" t="s">
        <v>44</v>
      </c>
      <c r="H924" t="s">
        <v>45</v>
      </c>
      <c r="I924" t="s">
        <v>92</v>
      </c>
      <c r="J924" s="2">
        <v>5</v>
      </c>
      <c r="K924" s="3">
        <v>396.13</v>
      </c>
      <c r="L924" s="3">
        <v>201.78</v>
      </c>
      <c r="M924" s="4">
        <v>0</v>
      </c>
      <c r="N924" s="3">
        <f t="shared" si="70"/>
        <v>1980.65</v>
      </c>
      <c r="O924" s="3">
        <f t="shared" si="71"/>
        <v>1980.65</v>
      </c>
      <c r="P924" s="3">
        <f t="shared" si="72"/>
        <v>1008.9</v>
      </c>
      <c r="Q924" s="3">
        <f t="shared" si="73"/>
        <v>971.75</v>
      </c>
      <c r="R924" s="4">
        <f t="shared" si="74"/>
        <v>0.49059999999999998</v>
      </c>
      <c r="S924" s="2">
        <v>10</v>
      </c>
      <c r="T924" t="s">
        <v>46</v>
      </c>
      <c r="U924">
        <v>4</v>
      </c>
    </row>
    <row r="925" spans="1:21" x14ac:dyDescent="0.25">
      <c r="A925" s="1">
        <v>46083</v>
      </c>
      <c r="B925" t="s">
        <v>1120</v>
      </c>
      <c r="C925" t="s">
        <v>206</v>
      </c>
      <c r="D925" t="s">
        <v>71</v>
      </c>
      <c r="E925" t="s">
        <v>72</v>
      </c>
      <c r="F925" t="s">
        <v>64</v>
      </c>
      <c r="G925" t="s">
        <v>27</v>
      </c>
      <c r="H925" t="s">
        <v>68</v>
      </c>
      <c r="I925" t="s">
        <v>74</v>
      </c>
      <c r="J925" s="2">
        <v>2</v>
      </c>
      <c r="K925" s="3">
        <v>1306.8800000000001</v>
      </c>
      <c r="L925" s="3">
        <v>796.04</v>
      </c>
      <c r="M925" s="4">
        <v>4.9599999999999998E-2</v>
      </c>
      <c r="N925" s="3">
        <f t="shared" si="70"/>
        <v>2613.7600000000002</v>
      </c>
      <c r="O925" s="3">
        <f t="shared" si="71"/>
        <v>2484.12</v>
      </c>
      <c r="P925" s="3">
        <f t="shared" si="72"/>
        <v>1592.08</v>
      </c>
      <c r="Q925" s="3">
        <f t="shared" si="73"/>
        <v>892.04</v>
      </c>
      <c r="R925" s="4">
        <f t="shared" si="74"/>
        <v>0.35909999999999997</v>
      </c>
      <c r="S925" s="2">
        <v>13</v>
      </c>
      <c r="T925" t="s">
        <v>30</v>
      </c>
      <c r="U925">
        <v>4</v>
      </c>
    </row>
    <row r="926" spans="1:21" x14ac:dyDescent="0.25">
      <c r="A926" s="1">
        <v>46042</v>
      </c>
      <c r="B926" t="s">
        <v>1121</v>
      </c>
      <c r="C926" t="s">
        <v>271</v>
      </c>
      <c r="D926" t="s">
        <v>34</v>
      </c>
      <c r="E926" t="s">
        <v>35</v>
      </c>
      <c r="F926" t="s">
        <v>36</v>
      </c>
      <c r="G926" t="s">
        <v>27</v>
      </c>
      <c r="H926" t="s">
        <v>68</v>
      </c>
      <c r="I926" t="s">
        <v>53</v>
      </c>
      <c r="J926" s="2">
        <v>8</v>
      </c>
      <c r="K926" s="3">
        <v>1285.8699999999999</v>
      </c>
      <c r="L926" s="3">
        <v>782.81</v>
      </c>
      <c r="M926" s="4">
        <v>0.1101</v>
      </c>
      <c r="N926" s="3">
        <f t="shared" si="70"/>
        <v>10286.959999999999</v>
      </c>
      <c r="O926" s="3">
        <f t="shared" si="71"/>
        <v>9154.3700000000008</v>
      </c>
      <c r="P926" s="3">
        <f t="shared" si="72"/>
        <v>6262.48</v>
      </c>
      <c r="Q926" s="3">
        <f t="shared" si="73"/>
        <v>2891.89</v>
      </c>
      <c r="R926" s="4">
        <f t="shared" si="74"/>
        <v>0.31590000000000001</v>
      </c>
      <c r="S926" s="2">
        <v>5</v>
      </c>
      <c r="T926" t="s">
        <v>46</v>
      </c>
      <c r="U926">
        <v>2</v>
      </c>
    </row>
    <row r="927" spans="1:21" x14ac:dyDescent="0.25">
      <c r="A927" s="1">
        <v>46183</v>
      </c>
      <c r="B927" t="s">
        <v>1122</v>
      </c>
      <c r="C927" t="s">
        <v>275</v>
      </c>
      <c r="D927" t="s">
        <v>56</v>
      </c>
      <c r="E927" t="s">
        <v>57</v>
      </c>
      <c r="F927" t="s">
        <v>36</v>
      </c>
      <c r="G927" t="s">
        <v>27</v>
      </c>
      <c r="H927" t="s">
        <v>28</v>
      </c>
      <c r="I927" t="s">
        <v>87</v>
      </c>
      <c r="J927" s="2">
        <v>8</v>
      </c>
      <c r="K927" s="3">
        <v>786.98</v>
      </c>
      <c r="L927" s="3">
        <v>462.14</v>
      </c>
      <c r="M927" s="4">
        <v>0</v>
      </c>
      <c r="N927" s="3">
        <f t="shared" si="70"/>
        <v>6295.84</v>
      </c>
      <c r="O927" s="3">
        <f t="shared" si="71"/>
        <v>6295.84</v>
      </c>
      <c r="P927" s="3">
        <f t="shared" si="72"/>
        <v>3697.12</v>
      </c>
      <c r="Q927" s="3">
        <f t="shared" si="73"/>
        <v>2598.7199999999998</v>
      </c>
      <c r="R927" s="4">
        <f t="shared" si="74"/>
        <v>0.4128</v>
      </c>
      <c r="S927" s="2">
        <v>8</v>
      </c>
      <c r="T927" t="s">
        <v>46</v>
      </c>
      <c r="U927">
        <v>4</v>
      </c>
    </row>
    <row r="928" spans="1:21" x14ac:dyDescent="0.25">
      <c r="A928" s="1">
        <v>46061</v>
      </c>
      <c r="B928" t="s">
        <v>1123</v>
      </c>
      <c r="C928" t="s">
        <v>138</v>
      </c>
      <c r="D928" t="s">
        <v>34</v>
      </c>
      <c r="E928" t="s">
        <v>35</v>
      </c>
      <c r="F928" t="s">
        <v>64</v>
      </c>
      <c r="G928" t="s">
        <v>44</v>
      </c>
      <c r="H928" t="s">
        <v>73</v>
      </c>
      <c r="I928" t="s">
        <v>94</v>
      </c>
      <c r="J928" s="2">
        <v>5</v>
      </c>
      <c r="K928" s="3">
        <v>1594.7</v>
      </c>
      <c r="L928" s="3">
        <v>1074.22</v>
      </c>
      <c r="M928" s="4">
        <v>0.1105</v>
      </c>
      <c r="N928" s="3">
        <f t="shared" si="70"/>
        <v>7973.5</v>
      </c>
      <c r="O928" s="3">
        <f t="shared" si="71"/>
        <v>7092.43</v>
      </c>
      <c r="P928" s="3">
        <f t="shared" si="72"/>
        <v>5371.1</v>
      </c>
      <c r="Q928" s="3">
        <f t="shared" si="73"/>
        <v>1721.33</v>
      </c>
      <c r="R928" s="4">
        <f t="shared" si="74"/>
        <v>0.2427</v>
      </c>
      <c r="S928" s="2">
        <v>13</v>
      </c>
      <c r="T928" t="s">
        <v>30</v>
      </c>
      <c r="U928">
        <v>2</v>
      </c>
    </row>
    <row r="929" spans="1:21" x14ac:dyDescent="0.25">
      <c r="A929" s="1">
        <v>46175</v>
      </c>
      <c r="B929" t="s">
        <v>1124</v>
      </c>
      <c r="C929" t="s">
        <v>62</v>
      </c>
      <c r="D929" t="s">
        <v>34</v>
      </c>
      <c r="E929" t="s">
        <v>35</v>
      </c>
      <c r="F929" t="s">
        <v>64</v>
      </c>
      <c r="G929" t="s">
        <v>51</v>
      </c>
      <c r="H929" t="s">
        <v>59</v>
      </c>
      <c r="I929" t="s">
        <v>60</v>
      </c>
      <c r="J929" s="2">
        <v>8</v>
      </c>
      <c r="K929" s="3">
        <v>2139.64</v>
      </c>
      <c r="L929" s="3">
        <v>1403.43</v>
      </c>
      <c r="M929" s="4">
        <v>0</v>
      </c>
      <c r="N929" s="3">
        <f t="shared" si="70"/>
        <v>17117.12</v>
      </c>
      <c r="O929" s="3">
        <f t="shared" si="71"/>
        <v>17117.12</v>
      </c>
      <c r="P929" s="3">
        <f t="shared" si="72"/>
        <v>11227.44</v>
      </c>
      <c r="Q929" s="3">
        <f t="shared" si="73"/>
        <v>5889.68</v>
      </c>
      <c r="R929" s="4">
        <f t="shared" si="74"/>
        <v>0.34410000000000002</v>
      </c>
      <c r="S929" s="2">
        <v>11</v>
      </c>
      <c r="T929" t="s">
        <v>30</v>
      </c>
      <c r="U929">
        <v>5</v>
      </c>
    </row>
    <row r="930" spans="1:21" x14ac:dyDescent="0.25">
      <c r="A930" s="1">
        <v>46101</v>
      </c>
      <c r="B930" t="s">
        <v>1125</v>
      </c>
      <c r="C930" t="s">
        <v>315</v>
      </c>
      <c r="D930" t="s">
        <v>71</v>
      </c>
      <c r="E930" t="s">
        <v>72</v>
      </c>
      <c r="F930" t="s">
        <v>58</v>
      </c>
      <c r="G930" t="s">
        <v>51</v>
      </c>
      <c r="H930" t="s">
        <v>59</v>
      </c>
      <c r="I930" t="s">
        <v>53</v>
      </c>
      <c r="J930" s="2">
        <v>8</v>
      </c>
      <c r="K930" s="3">
        <v>2243.2399999999998</v>
      </c>
      <c r="L930" s="3">
        <v>1467.22</v>
      </c>
      <c r="M930" s="4">
        <v>0.13969999999999999</v>
      </c>
      <c r="N930" s="3">
        <f t="shared" si="70"/>
        <v>17945.919999999998</v>
      </c>
      <c r="O930" s="3">
        <f t="shared" si="71"/>
        <v>15438.87</v>
      </c>
      <c r="P930" s="3">
        <f t="shared" si="72"/>
        <v>11737.76</v>
      </c>
      <c r="Q930" s="3">
        <f t="shared" si="73"/>
        <v>3701.11</v>
      </c>
      <c r="R930" s="4">
        <f t="shared" si="74"/>
        <v>0.2397</v>
      </c>
      <c r="S930" s="2">
        <v>8</v>
      </c>
      <c r="T930" t="s">
        <v>46</v>
      </c>
      <c r="U930">
        <v>5</v>
      </c>
    </row>
    <row r="931" spans="1:21" x14ac:dyDescent="0.25">
      <c r="A931" s="1">
        <v>46188</v>
      </c>
      <c r="B931" t="s">
        <v>1126</v>
      </c>
      <c r="C931" t="s">
        <v>370</v>
      </c>
      <c r="D931" t="s">
        <v>139</v>
      </c>
      <c r="E931" t="s">
        <v>72</v>
      </c>
      <c r="F931" t="s">
        <v>26</v>
      </c>
      <c r="G931" t="s">
        <v>27</v>
      </c>
      <c r="H931" t="s">
        <v>28</v>
      </c>
      <c r="I931" t="s">
        <v>94</v>
      </c>
      <c r="J931" s="2">
        <v>5</v>
      </c>
      <c r="K931" s="3">
        <v>826.32</v>
      </c>
      <c r="L931" s="3">
        <v>482.98</v>
      </c>
      <c r="M931" s="4">
        <v>8.4699999999999998E-2</v>
      </c>
      <c r="N931" s="3">
        <f t="shared" si="70"/>
        <v>4131.6000000000004</v>
      </c>
      <c r="O931" s="3">
        <f t="shared" si="71"/>
        <v>3781.65</v>
      </c>
      <c r="P931" s="3">
        <f t="shared" si="72"/>
        <v>2414.9</v>
      </c>
      <c r="Q931" s="3">
        <f t="shared" si="73"/>
        <v>1366.75</v>
      </c>
      <c r="R931" s="4">
        <f t="shared" si="74"/>
        <v>0.3614</v>
      </c>
      <c r="S931" s="2">
        <v>7</v>
      </c>
      <c r="T931" t="s">
        <v>46</v>
      </c>
      <c r="U931">
        <v>2</v>
      </c>
    </row>
    <row r="932" spans="1:21" x14ac:dyDescent="0.25">
      <c r="A932" s="1">
        <v>46171</v>
      </c>
      <c r="B932" t="s">
        <v>1127</v>
      </c>
      <c r="C932" t="s">
        <v>182</v>
      </c>
      <c r="D932" t="s">
        <v>63</v>
      </c>
      <c r="E932" t="s">
        <v>35</v>
      </c>
      <c r="F932" t="s">
        <v>58</v>
      </c>
      <c r="G932" t="s">
        <v>44</v>
      </c>
      <c r="H932" t="s">
        <v>73</v>
      </c>
      <c r="I932" t="s">
        <v>94</v>
      </c>
      <c r="J932" s="2">
        <v>7</v>
      </c>
      <c r="K932" s="3">
        <v>1691.59</v>
      </c>
      <c r="L932" s="3">
        <v>1068.52</v>
      </c>
      <c r="M932" s="4">
        <v>0.12770000000000001</v>
      </c>
      <c r="N932" s="3">
        <f t="shared" si="70"/>
        <v>11841.13</v>
      </c>
      <c r="O932" s="3">
        <f t="shared" si="71"/>
        <v>10329.02</v>
      </c>
      <c r="P932" s="3">
        <f t="shared" si="72"/>
        <v>7479.64</v>
      </c>
      <c r="Q932" s="3">
        <f t="shared" si="73"/>
        <v>2849.38</v>
      </c>
      <c r="R932" s="4">
        <f t="shared" si="74"/>
        <v>0.27589999999999998</v>
      </c>
      <c r="S932" s="2">
        <v>11</v>
      </c>
      <c r="T932" t="s">
        <v>30</v>
      </c>
      <c r="U932">
        <v>3</v>
      </c>
    </row>
    <row r="933" spans="1:21" x14ac:dyDescent="0.25">
      <c r="A933" s="1">
        <v>46037</v>
      </c>
      <c r="B933" t="s">
        <v>1128</v>
      </c>
      <c r="C933" t="s">
        <v>187</v>
      </c>
      <c r="D933" t="s">
        <v>49</v>
      </c>
      <c r="E933" t="s">
        <v>50</v>
      </c>
      <c r="F933" t="s">
        <v>58</v>
      </c>
      <c r="G933" t="s">
        <v>51</v>
      </c>
      <c r="H933" t="s">
        <v>52</v>
      </c>
      <c r="I933" t="s">
        <v>65</v>
      </c>
      <c r="J933" s="2">
        <v>8</v>
      </c>
      <c r="K933" s="3">
        <v>265.14999999999998</v>
      </c>
      <c r="L933" s="3">
        <v>113.49</v>
      </c>
      <c r="M933" s="4">
        <v>3.5000000000000003E-2</v>
      </c>
      <c r="N933" s="3">
        <f t="shared" si="70"/>
        <v>2121.1999999999998</v>
      </c>
      <c r="O933" s="3">
        <f t="shared" si="71"/>
        <v>2046.96</v>
      </c>
      <c r="P933" s="3">
        <f t="shared" si="72"/>
        <v>907.92</v>
      </c>
      <c r="Q933" s="3">
        <f t="shared" si="73"/>
        <v>1139.04</v>
      </c>
      <c r="R933" s="4">
        <f t="shared" si="74"/>
        <v>0.55649999999999999</v>
      </c>
      <c r="S933" s="2">
        <v>7</v>
      </c>
      <c r="T933" t="s">
        <v>46</v>
      </c>
      <c r="U933">
        <v>5</v>
      </c>
    </row>
    <row r="934" spans="1:21" x14ac:dyDescent="0.25">
      <c r="A934" s="1">
        <v>46051</v>
      </c>
      <c r="B934" t="s">
        <v>1129</v>
      </c>
      <c r="C934" t="s">
        <v>84</v>
      </c>
      <c r="D934" t="s">
        <v>207</v>
      </c>
      <c r="E934" t="s">
        <v>35</v>
      </c>
      <c r="F934" t="s">
        <v>64</v>
      </c>
      <c r="G934" t="s">
        <v>37</v>
      </c>
      <c r="H934" t="s">
        <v>178</v>
      </c>
      <c r="I934" t="s">
        <v>87</v>
      </c>
      <c r="J934" s="2">
        <v>5</v>
      </c>
      <c r="K934" s="3">
        <v>508.99</v>
      </c>
      <c r="L934" s="3">
        <v>251.35</v>
      </c>
      <c r="M934" s="4">
        <v>1.6000000000000001E-3</v>
      </c>
      <c r="N934" s="3">
        <f t="shared" si="70"/>
        <v>2544.9499999999998</v>
      </c>
      <c r="O934" s="3">
        <f t="shared" si="71"/>
        <v>2540.88</v>
      </c>
      <c r="P934" s="3">
        <f t="shared" si="72"/>
        <v>1256.75</v>
      </c>
      <c r="Q934" s="3">
        <f t="shared" si="73"/>
        <v>1284.1300000000001</v>
      </c>
      <c r="R934" s="4">
        <f t="shared" si="74"/>
        <v>0.50539999999999996</v>
      </c>
      <c r="S934" s="2">
        <v>5</v>
      </c>
      <c r="T934" t="s">
        <v>46</v>
      </c>
      <c r="U934">
        <v>2</v>
      </c>
    </row>
    <row r="935" spans="1:21" x14ac:dyDescent="0.25">
      <c r="A935" s="1">
        <v>46080</v>
      </c>
      <c r="B935" t="s">
        <v>1130</v>
      </c>
      <c r="C935" t="s">
        <v>370</v>
      </c>
      <c r="D935" t="s">
        <v>139</v>
      </c>
      <c r="E935" t="s">
        <v>72</v>
      </c>
      <c r="F935" t="s">
        <v>26</v>
      </c>
      <c r="G935" t="s">
        <v>37</v>
      </c>
      <c r="H935" t="s">
        <v>104</v>
      </c>
      <c r="I935" t="s">
        <v>92</v>
      </c>
      <c r="J935" s="2">
        <v>1</v>
      </c>
      <c r="K935" s="3">
        <v>335.1</v>
      </c>
      <c r="L935" s="3">
        <v>134.9</v>
      </c>
      <c r="M935" s="4">
        <v>0</v>
      </c>
      <c r="N935" s="3">
        <f t="shared" si="70"/>
        <v>335.1</v>
      </c>
      <c r="O935" s="3">
        <f t="shared" si="71"/>
        <v>335.1</v>
      </c>
      <c r="P935" s="3">
        <f t="shared" si="72"/>
        <v>134.9</v>
      </c>
      <c r="Q935" s="3">
        <f t="shared" si="73"/>
        <v>200.2</v>
      </c>
      <c r="R935" s="4">
        <f t="shared" si="74"/>
        <v>0.59740000000000004</v>
      </c>
      <c r="S935" s="2">
        <v>13</v>
      </c>
      <c r="T935" t="s">
        <v>30</v>
      </c>
      <c r="U935">
        <v>5</v>
      </c>
    </row>
    <row r="936" spans="1:21" x14ac:dyDescent="0.25">
      <c r="A936" s="1">
        <v>46055</v>
      </c>
      <c r="B936" t="s">
        <v>1131</v>
      </c>
      <c r="C936" t="s">
        <v>123</v>
      </c>
      <c r="D936" t="s">
        <v>126</v>
      </c>
      <c r="E936" t="s">
        <v>57</v>
      </c>
      <c r="F936" t="s">
        <v>26</v>
      </c>
      <c r="G936" t="s">
        <v>51</v>
      </c>
      <c r="H936" t="s">
        <v>116</v>
      </c>
      <c r="I936" t="s">
        <v>60</v>
      </c>
      <c r="J936" s="2">
        <v>2</v>
      </c>
      <c r="K936" s="3">
        <v>2908.68</v>
      </c>
      <c r="L936" s="3">
        <v>1800.14</v>
      </c>
      <c r="M936" s="4">
        <v>0</v>
      </c>
      <c r="N936" s="3">
        <f t="shared" si="70"/>
        <v>5817.36</v>
      </c>
      <c r="O936" s="3">
        <f t="shared" si="71"/>
        <v>5817.36</v>
      </c>
      <c r="P936" s="3">
        <f t="shared" si="72"/>
        <v>3600.28</v>
      </c>
      <c r="Q936" s="3">
        <f t="shared" si="73"/>
        <v>2217.08</v>
      </c>
      <c r="R936" s="4">
        <f t="shared" si="74"/>
        <v>0.38109999999999999</v>
      </c>
      <c r="S936" s="2">
        <v>3</v>
      </c>
      <c r="T936" t="s">
        <v>46</v>
      </c>
      <c r="U936">
        <v>4</v>
      </c>
    </row>
    <row r="937" spans="1:21" x14ac:dyDescent="0.25">
      <c r="A937" s="1">
        <v>46082</v>
      </c>
      <c r="B937" t="s">
        <v>1132</v>
      </c>
      <c r="C937" t="s">
        <v>136</v>
      </c>
      <c r="D937" t="s">
        <v>63</v>
      </c>
      <c r="E937" t="s">
        <v>35</v>
      </c>
      <c r="F937" t="s">
        <v>26</v>
      </c>
      <c r="G937" t="s">
        <v>51</v>
      </c>
      <c r="H937" t="s">
        <v>116</v>
      </c>
      <c r="I937" t="s">
        <v>87</v>
      </c>
      <c r="J937" s="2">
        <v>4</v>
      </c>
      <c r="K937" s="3">
        <v>2633.3</v>
      </c>
      <c r="L937" s="3">
        <v>1799.2</v>
      </c>
      <c r="M937" s="4">
        <v>9.8400000000000001E-2</v>
      </c>
      <c r="N937" s="3">
        <f t="shared" si="70"/>
        <v>10533.2</v>
      </c>
      <c r="O937" s="3">
        <f t="shared" si="71"/>
        <v>9496.73</v>
      </c>
      <c r="P937" s="3">
        <f t="shared" si="72"/>
        <v>7196.8</v>
      </c>
      <c r="Q937" s="3">
        <f t="shared" si="73"/>
        <v>2299.9299999999998</v>
      </c>
      <c r="R937" s="4">
        <f t="shared" si="74"/>
        <v>0.2422</v>
      </c>
      <c r="S937" s="2">
        <v>2</v>
      </c>
      <c r="T937" t="s">
        <v>46</v>
      </c>
      <c r="U937">
        <v>2</v>
      </c>
    </row>
    <row r="938" spans="1:21" x14ac:dyDescent="0.25">
      <c r="A938" s="1">
        <v>46127</v>
      </c>
      <c r="B938" t="s">
        <v>1133</v>
      </c>
      <c r="C938" t="s">
        <v>523</v>
      </c>
      <c r="D938" t="s">
        <v>71</v>
      </c>
      <c r="E938" t="s">
        <v>72</v>
      </c>
      <c r="F938" t="s">
        <v>64</v>
      </c>
      <c r="G938" t="s">
        <v>27</v>
      </c>
      <c r="H938" t="s">
        <v>28</v>
      </c>
      <c r="I938" t="s">
        <v>39</v>
      </c>
      <c r="J938" s="2">
        <v>4</v>
      </c>
      <c r="K938" s="3">
        <v>742.93</v>
      </c>
      <c r="L938" s="3">
        <v>474.68</v>
      </c>
      <c r="M938" s="4">
        <v>1.18E-2</v>
      </c>
      <c r="N938" s="3">
        <f t="shared" si="70"/>
        <v>2971.72</v>
      </c>
      <c r="O938" s="3">
        <f t="shared" si="71"/>
        <v>2936.65</v>
      </c>
      <c r="P938" s="3">
        <f t="shared" si="72"/>
        <v>1898.72</v>
      </c>
      <c r="Q938" s="3">
        <f t="shared" si="73"/>
        <v>1037.93</v>
      </c>
      <c r="R938" s="4">
        <f t="shared" si="74"/>
        <v>0.35339999999999999</v>
      </c>
      <c r="S938" s="2">
        <v>8</v>
      </c>
      <c r="T938" t="s">
        <v>46</v>
      </c>
      <c r="U938">
        <v>5</v>
      </c>
    </row>
    <row r="939" spans="1:21" x14ac:dyDescent="0.25">
      <c r="A939" s="1">
        <v>46115</v>
      </c>
      <c r="B939" t="s">
        <v>1134</v>
      </c>
      <c r="C939" t="s">
        <v>162</v>
      </c>
      <c r="D939" t="s">
        <v>101</v>
      </c>
      <c r="E939" t="s">
        <v>35</v>
      </c>
      <c r="F939" t="s">
        <v>36</v>
      </c>
      <c r="G939" t="s">
        <v>44</v>
      </c>
      <c r="H939" t="s">
        <v>124</v>
      </c>
      <c r="I939" t="s">
        <v>87</v>
      </c>
      <c r="J939" s="2">
        <v>2</v>
      </c>
      <c r="K939" s="3">
        <v>6196.71</v>
      </c>
      <c r="L939" s="3">
        <v>4377.92</v>
      </c>
      <c r="M939" s="4">
        <v>0.1216</v>
      </c>
      <c r="N939" s="3">
        <f t="shared" si="70"/>
        <v>12393.42</v>
      </c>
      <c r="O939" s="3">
        <f t="shared" si="71"/>
        <v>10886.38</v>
      </c>
      <c r="P939" s="3">
        <f t="shared" si="72"/>
        <v>8755.84</v>
      </c>
      <c r="Q939" s="3">
        <f t="shared" si="73"/>
        <v>2130.54</v>
      </c>
      <c r="R939" s="4">
        <f t="shared" si="74"/>
        <v>0.19570000000000001</v>
      </c>
      <c r="S939" s="2">
        <v>13</v>
      </c>
      <c r="T939" t="s">
        <v>40</v>
      </c>
    </row>
    <row r="940" spans="1:21" x14ac:dyDescent="0.25">
      <c r="A940" s="1">
        <v>46127</v>
      </c>
      <c r="B940" t="s">
        <v>1135</v>
      </c>
      <c r="C940" t="s">
        <v>308</v>
      </c>
      <c r="D940" t="s">
        <v>139</v>
      </c>
      <c r="E940" t="s">
        <v>72</v>
      </c>
      <c r="F940" t="s">
        <v>64</v>
      </c>
      <c r="G940" t="s">
        <v>44</v>
      </c>
      <c r="H940" t="s">
        <v>45</v>
      </c>
      <c r="I940" t="s">
        <v>53</v>
      </c>
      <c r="J940" s="2">
        <v>2</v>
      </c>
      <c r="K940" s="3">
        <v>410.82</v>
      </c>
      <c r="L940" s="3">
        <v>217.16</v>
      </c>
      <c r="M940" s="4">
        <v>3.6799999999999999E-2</v>
      </c>
      <c r="N940" s="3">
        <f t="shared" si="70"/>
        <v>821.64</v>
      </c>
      <c r="O940" s="3">
        <f t="shared" si="71"/>
        <v>791.4</v>
      </c>
      <c r="P940" s="3">
        <f t="shared" si="72"/>
        <v>434.32</v>
      </c>
      <c r="Q940" s="3">
        <f t="shared" si="73"/>
        <v>357.08</v>
      </c>
      <c r="R940" s="4">
        <f t="shared" si="74"/>
        <v>0.45119999999999999</v>
      </c>
      <c r="S940" s="2">
        <v>2</v>
      </c>
      <c r="T940" t="s">
        <v>46</v>
      </c>
      <c r="U940">
        <v>5</v>
      </c>
    </row>
    <row r="941" spans="1:21" x14ac:dyDescent="0.25">
      <c r="A941" s="1">
        <v>46083</v>
      </c>
      <c r="B941" t="s">
        <v>1136</v>
      </c>
      <c r="C941" t="s">
        <v>247</v>
      </c>
      <c r="D941" t="s">
        <v>113</v>
      </c>
      <c r="E941" t="s">
        <v>50</v>
      </c>
      <c r="F941" t="s">
        <v>64</v>
      </c>
      <c r="G941" t="s">
        <v>44</v>
      </c>
      <c r="H941" t="s">
        <v>73</v>
      </c>
      <c r="I941" t="s">
        <v>53</v>
      </c>
      <c r="J941" s="2">
        <v>1</v>
      </c>
      <c r="K941" s="3">
        <v>1657.38</v>
      </c>
      <c r="L941" s="3">
        <v>1044.1300000000001</v>
      </c>
      <c r="M941" s="4">
        <v>0</v>
      </c>
      <c r="N941" s="3">
        <f t="shared" si="70"/>
        <v>1657.38</v>
      </c>
      <c r="O941" s="3">
        <f t="shared" si="71"/>
        <v>1657.38</v>
      </c>
      <c r="P941" s="3">
        <f t="shared" si="72"/>
        <v>1044.1300000000001</v>
      </c>
      <c r="Q941" s="3">
        <f t="shared" si="73"/>
        <v>613.25</v>
      </c>
      <c r="R941" s="4">
        <f t="shared" si="74"/>
        <v>0.37</v>
      </c>
      <c r="S941" s="2">
        <v>6</v>
      </c>
      <c r="T941" t="s">
        <v>46</v>
      </c>
      <c r="U941">
        <v>4</v>
      </c>
    </row>
    <row r="942" spans="1:21" x14ac:dyDescent="0.25">
      <c r="A942" s="1">
        <v>46177</v>
      </c>
      <c r="B942" t="s">
        <v>1137</v>
      </c>
      <c r="C942" t="s">
        <v>386</v>
      </c>
      <c r="D942" t="s">
        <v>139</v>
      </c>
      <c r="E942" t="s">
        <v>72</v>
      </c>
      <c r="F942" t="s">
        <v>36</v>
      </c>
      <c r="G942" t="s">
        <v>44</v>
      </c>
      <c r="H942" t="s">
        <v>124</v>
      </c>
      <c r="I942" t="s">
        <v>74</v>
      </c>
      <c r="J942" s="2">
        <v>6</v>
      </c>
      <c r="K942" s="3">
        <v>5639.12</v>
      </c>
      <c r="L942" s="3">
        <v>4590.8500000000004</v>
      </c>
      <c r="M942" s="4">
        <v>7.46E-2</v>
      </c>
      <c r="N942" s="3">
        <f t="shared" si="70"/>
        <v>33834.720000000001</v>
      </c>
      <c r="O942" s="3">
        <f t="shared" si="71"/>
        <v>31310.65</v>
      </c>
      <c r="P942" s="3">
        <f t="shared" si="72"/>
        <v>27545.1</v>
      </c>
      <c r="Q942" s="3">
        <f t="shared" si="73"/>
        <v>3765.55</v>
      </c>
      <c r="R942" s="4">
        <f t="shared" si="74"/>
        <v>0.1203</v>
      </c>
      <c r="S942" s="2">
        <v>2</v>
      </c>
      <c r="T942" t="s">
        <v>46</v>
      </c>
      <c r="U942">
        <v>4</v>
      </c>
    </row>
    <row r="943" spans="1:21" x14ac:dyDescent="0.25">
      <c r="A943" s="1">
        <v>46200</v>
      </c>
      <c r="B943" t="s">
        <v>1138</v>
      </c>
      <c r="C943" t="s">
        <v>172</v>
      </c>
      <c r="D943" t="s">
        <v>63</v>
      </c>
      <c r="E943" t="s">
        <v>35</v>
      </c>
      <c r="F943" t="s">
        <v>26</v>
      </c>
      <c r="G943" t="s">
        <v>27</v>
      </c>
      <c r="H943" t="s">
        <v>28</v>
      </c>
      <c r="I943" t="s">
        <v>60</v>
      </c>
      <c r="J943" s="2">
        <v>8</v>
      </c>
      <c r="K943" s="3">
        <v>800.16</v>
      </c>
      <c r="L943" s="3">
        <v>467.06</v>
      </c>
      <c r="M943" s="4">
        <v>0</v>
      </c>
      <c r="N943" s="3">
        <f t="shared" si="70"/>
        <v>6401.28</v>
      </c>
      <c r="O943" s="3">
        <f t="shared" si="71"/>
        <v>6401.28</v>
      </c>
      <c r="P943" s="3">
        <f t="shared" si="72"/>
        <v>3736.48</v>
      </c>
      <c r="Q943" s="3">
        <f t="shared" si="73"/>
        <v>2664.8</v>
      </c>
      <c r="R943" s="4">
        <f t="shared" si="74"/>
        <v>0.4163</v>
      </c>
      <c r="S943" s="2">
        <v>6</v>
      </c>
      <c r="T943" t="s">
        <v>46</v>
      </c>
      <c r="U943">
        <v>4</v>
      </c>
    </row>
    <row r="944" spans="1:21" x14ac:dyDescent="0.25">
      <c r="A944" s="1">
        <v>46034</v>
      </c>
      <c r="B944" t="s">
        <v>1139</v>
      </c>
      <c r="C944" t="s">
        <v>297</v>
      </c>
      <c r="D944" t="s">
        <v>71</v>
      </c>
      <c r="E944" t="s">
        <v>72</v>
      </c>
      <c r="F944" t="s">
        <v>58</v>
      </c>
      <c r="G944" t="s">
        <v>37</v>
      </c>
      <c r="H944" t="s">
        <v>38</v>
      </c>
      <c r="I944" t="s">
        <v>29</v>
      </c>
      <c r="J944" s="2">
        <v>5</v>
      </c>
      <c r="K944" s="3">
        <v>452.13</v>
      </c>
      <c r="L944" s="3">
        <v>197.6</v>
      </c>
      <c r="M944" s="4">
        <v>3.5000000000000003E-2</v>
      </c>
      <c r="N944" s="3">
        <f t="shared" si="70"/>
        <v>2260.65</v>
      </c>
      <c r="O944" s="3">
        <f t="shared" si="71"/>
        <v>2181.5300000000002</v>
      </c>
      <c r="P944" s="3">
        <f t="shared" si="72"/>
        <v>988</v>
      </c>
      <c r="Q944" s="3">
        <f t="shared" si="73"/>
        <v>1193.53</v>
      </c>
      <c r="R944" s="4">
        <f t="shared" si="74"/>
        <v>0.54710000000000003</v>
      </c>
      <c r="S944" s="2">
        <v>5</v>
      </c>
      <c r="T944" t="s">
        <v>46</v>
      </c>
      <c r="U944">
        <v>5</v>
      </c>
    </row>
    <row r="945" spans="1:22" x14ac:dyDescent="0.25">
      <c r="A945" s="1">
        <v>46229</v>
      </c>
      <c r="B945" t="s">
        <v>1140</v>
      </c>
      <c r="C945" t="s">
        <v>67</v>
      </c>
      <c r="D945" t="s">
        <v>49</v>
      </c>
      <c r="E945" t="s">
        <v>50</v>
      </c>
      <c r="F945" t="s">
        <v>26</v>
      </c>
      <c r="G945" t="s">
        <v>37</v>
      </c>
      <c r="H945" t="s">
        <v>38</v>
      </c>
      <c r="I945" t="s">
        <v>94</v>
      </c>
      <c r="J945" s="2">
        <v>8</v>
      </c>
      <c r="K945" s="3">
        <v>421.68</v>
      </c>
      <c r="L945" s="3">
        <v>185.82</v>
      </c>
      <c r="M945" s="4">
        <v>5.0299999999999997E-2</v>
      </c>
      <c r="N945" s="3">
        <f t="shared" si="70"/>
        <v>3373.44</v>
      </c>
      <c r="O945" s="3">
        <f t="shared" si="71"/>
        <v>3203.76</v>
      </c>
      <c r="P945" s="3">
        <f t="shared" si="72"/>
        <v>1486.56</v>
      </c>
      <c r="Q945" s="3">
        <f t="shared" si="73"/>
        <v>1717.2</v>
      </c>
      <c r="R945" s="4">
        <f t="shared" si="74"/>
        <v>0.53600000000000003</v>
      </c>
      <c r="S945" s="2">
        <v>13</v>
      </c>
      <c r="T945" t="s">
        <v>30</v>
      </c>
      <c r="U945">
        <v>5</v>
      </c>
    </row>
    <row r="946" spans="1:22" x14ac:dyDescent="0.25">
      <c r="A946" s="1">
        <v>46103</v>
      </c>
      <c r="B946" t="s">
        <v>1141</v>
      </c>
      <c r="C946" t="s">
        <v>123</v>
      </c>
      <c r="D946" t="s">
        <v>101</v>
      </c>
      <c r="E946" t="s">
        <v>35</v>
      </c>
      <c r="F946" t="s">
        <v>26</v>
      </c>
      <c r="G946" t="s">
        <v>27</v>
      </c>
      <c r="H946" t="s">
        <v>28</v>
      </c>
      <c r="I946" t="s">
        <v>94</v>
      </c>
      <c r="J946" s="2">
        <v>8</v>
      </c>
      <c r="K946" s="3">
        <v>777.33</v>
      </c>
      <c r="L946" s="3">
        <v>470.46</v>
      </c>
      <c r="M946" s="4">
        <v>1.4800000000000001E-2</v>
      </c>
      <c r="N946" s="3">
        <f t="shared" si="70"/>
        <v>6218.64</v>
      </c>
      <c r="O946" s="3">
        <f t="shared" si="71"/>
        <v>6126.6</v>
      </c>
      <c r="P946" s="3">
        <f t="shared" si="72"/>
        <v>3763.68</v>
      </c>
      <c r="Q946" s="3">
        <f t="shared" si="73"/>
        <v>2362.92</v>
      </c>
      <c r="R946" s="4">
        <f t="shared" si="74"/>
        <v>0.38569999999999999</v>
      </c>
      <c r="S946" s="2">
        <v>11</v>
      </c>
      <c r="T946" t="s">
        <v>30</v>
      </c>
      <c r="U946">
        <v>3</v>
      </c>
    </row>
    <row r="947" spans="1:22" x14ac:dyDescent="0.25">
      <c r="A947" s="1">
        <v>46119</v>
      </c>
      <c r="B947" t="s">
        <v>1142</v>
      </c>
      <c r="C947" t="s">
        <v>687</v>
      </c>
      <c r="D947" t="s">
        <v>121</v>
      </c>
      <c r="E947" t="s">
        <v>72</v>
      </c>
      <c r="F947" t="s">
        <v>36</v>
      </c>
      <c r="G947" t="s">
        <v>37</v>
      </c>
      <c r="H947" t="s">
        <v>178</v>
      </c>
      <c r="I947" t="s">
        <v>29</v>
      </c>
      <c r="J947" s="2">
        <v>1</v>
      </c>
      <c r="K947" s="3">
        <v>509.13</v>
      </c>
      <c r="L947" s="3">
        <v>245.39</v>
      </c>
      <c r="M947" s="4">
        <v>0</v>
      </c>
      <c r="N947" s="3">
        <f t="shared" si="70"/>
        <v>509.13</v>
      </c>
      <c r="O947" s="3">
        <f t="shared" si="71"/>
        <v>509.13</v>
      </c>
      <c r="P947" s="3">
        <f t="shared" si="72"/>
        <v>245.39</v>
      </c>
      <c r="Q947" s="3">
        <f t="shared" si="73"/>
        <v>263.74</v>
      </c>
      <c r="R947" s="4">
        <f t="shared" si="74"/>
        <v>0.51800000000000002</v>
      </c>
      <c r="S947" s="2">
        <v>7</v>
      </c>
      <c r="T947" t="s">
        <v>46</v>
      </c>
      <c r="U947">
        <v>2</v>
      </c>
    </row>
    <row r="948" spans="1:22" x14ac:dyDescent="0.25">
      <c r="A948" s="1">
        <v>46107</v>
      </c>
      <c r="B948" t="s">
        <v>1143</v>
      </c>
      <c r="C948" t="s">
        <v>500</v>
      </c>
      <c r="D948" t="s">
        <v>97</v>
      </c>
      <c r="E948" t="s">
        <v>57</v>
      </c>
      <c r="F948" t="s">
        <v>58</v>
      </c>
      <c r="G948" t="s">
        <v>27</v>
      </c>
      <c r="H948" t="s">
        <v>86</v>
      </c>
      <c r="I948" t="s">
        <v>74</v>
      </c>
      <c r="J948" s="2">
        <v>2</v>
      </c>
      <c r="K948" s="3">
        <v>1894.79</v>
      </c>
      <c r="L948" s="3">
        <v>1166.5</v>
      </c>
      <c r="M948" s="4">
        <v>4.3999999999999997E-2</v>
      </c>
      <c r="N948" s="3">
        <f t="shared" si="70"/>
        <v>3789.58</v>
      </c>
      <c r="O948" s="3">
        <f t="shared" si="71"/>
        <v>3622.84</v>
      </c>
      <c r="P948" s="3">
        <f t="shared" si="72"/>
        <v>2333</v>
      </c>
      <c r="Q948" s="3">
        <f t="shared" si="73"/>
        <v>1289.8399999999999</v>
      </c>
      <c r="R948" s="4">
        <f t="shared" si="74"/>
        <v>0.35599999999999998</v>
      </c>
      <c r="S948" s="2">
        <v>10</v>
      </c>
      <c r="T948" t="s">
        <v>46</v>
      </c>
      <c r="U948">
        <v>2</v>
      </c>
    </row>
    <row r="949" spans="1:22" x14ac:dyDescent="0.25">
      <c r="A949" s="1">
        <v>46105</v>
      </c>
      <c r="B949" t="s">
        <v>1144</v>
      </c>
      <c r="C949" t="s">
        <v>153</v>
      </c>
      <c r="D949" t="s">
        <v>207</v>
      </c>
      <c r="E949" t="s">
        <v>35</v>
      </c>
      <c r="F949" t="s">
        <v>26</v>
      </c>
      <c r="G949" t="s">
        <v>27</v>
      </c>
      <c r="H949" t="s">
        <v>68</v>
      </c>
      <c r="I949" t="s">
        <v>87</v>
      </c>
      <c r="J949" s="2">
        <v>8</v>
      </c>
      <c r="K949" s="3">
        <v>1340.54</v>
      </c>
      <c r="L949" s="3">
        <v>747.1</v>
      </c>
      <c r="M949" s="4">
        <v>5.0999999999999997E-2</v>
      </c>
      <c r="N949" s="3">
        <f t="shared" si="70"/>
        <v>10724.32</v>
      </c>
      <c r="O949" s="3">
        <f t="shared" si="71"/>
        <v>10177.379999999999</v>
      </c>
      <c r="P949" s="3">
        <f t="shared" si="72"/>
        <v>5976.8</v>
      </c>
      <c r="Q949" s="3">
        <f t="shared" si="73"/>
        <v>4200.58</v>
      </c>
      <c r="R949" s="4">
        <f t="shared" si="74"/>
        <v>0.41270000000000001</v>
      </c>
      <c r="S949" s="2">
        <v>10</v>
      </c>
      <c r="T949" t="s">
        <v>46</v>
      </c>
      <c r="U949">
        <v>3</v>
      </c>
    </row>
    <row r="950" spans="1:22" x14ac:dyDescent="0.25">
      <c r="A950" s="1">
        <v>46164</v>
      </c>
      <c r="B950" t="s">
        <v>1145</v>
      </c>
      <c r="C950" t="s">
        <v>100</v>
      </c>
      <c r="D950" t="s">
        <v>130</v>
      </c>
      <c r="E950" t="s">
        <v>72</v>
      </c>
      <c r="F950" t="s">
        <v>64</v>
      </c>
      <c r="G950" t="s">
        <v>27</v>
      </c>
      <c r="H950" t="s">
        <v>28</v>
      </c>
      <c r="I950" t="s">
        <v>65</v>
      </c>
      <c r="J950" s="2">
        <v>6</v>
      </c>
      <c r="K950" s="3">
        <v>830.97</v>
      </c>
      <c r="L950" s="3">
        <v>483.39</v>
      </c>
      <c r="M950" s="4">
        <v>5.1400000000000001E-2</v>
      </c>
      <c r="N950" s="3">
        <f t="shared" si="70"/>
        <v>4985.82</v>
      </c>
      <c r="O950" s="3">
        <f t="shared" si="71"/>
        <v>4729.55</v>
      </c>
      <c r="P950" s="3">
        <f t="shared" si="72"/>
        <v>2900.34</v>
      </c>
      <c r="Q950" s="3">
        <f t="shared" si="73"/>
        <v>1829.21</v>
      </c>
      <c r="R950" s="4">
        <f t="shared" si="74"/>
        <v>0.38679999999999998</v>
      </c>
      <c r="S950" s="2">
        <v>9</v>
      </c>
      <c r="T950" t="s">
        <v>46</v>
      </c>
      <c r="U950">
        <v>5</v>
      </c>
    </row>
    <row r="951" spans="1:22" x14ac:dyDescent="0.25">
      <c r="A951" s="1">
        <v>46158</v>
      </c>
      <c r="B951" t="s">
        <v>1146</v>
      </c>
      <c r="C951" t="s">
        <v>247</v>
      </c>
      <c r="D951" t="s">
        <v>207</v>
      </c>
      <c r="E951" t="s">
        <v>35</v>
      </c>
      <c r="F951" t="s">
        <v>64</v>
      </c>
      <c r="G951" t="s">
        <v>44</v>
      </c>
      <c r="H951" t="s">
        <v>45</v>
      </c>
      <c r="I951" t="s">
        <v>65</v>
      </c>
      <c r="J951" s="2">
        <v>3</v>
      </c>
      <c r="K951" s="3">
        <v>367.35</v>
      </c>
      <c r="L951" s="3">
        <v>209.75</v>
      </c>
      <c r="M951" s="4">
        <v>0</v>
      </c>
      <c r="N951" s="3">
        <f t="shared" si="70"/>
        <v>1102.05</v>
      </c>
      <c r="O951" s="3">
        <f t="shared" si="71"/>
        <v>1102.05</v>
      </c>
      <c r="P951" s="3">
        <f t="shared" si="72"/>
        <v>629.25</v>
      </c>
      <c r="Q951" s="3">
        <f t="shared" si="73"/>
        <v>472.8</v>
      </c>
      <c r="R951" s="4">
        <f t="shared" si="74"/>
        <v>0.42899999999999999</v>
      </c>
      <c r="S951" s="2">
        <v>29</v>
      </c>
      <c r="T951" t="s">
        <v>30</v>
      </c>
      <c r="U951">
        <v>2</v>
      </c>
      <c r="V951" t="s">
        <v>208</v>
      </c>
    </row>
    <row r="952" spans="1:22" x14ac:dyDescent="0.25">
      <c r="A952" s="1">
        <v>46173</v>
      </c>
      <c r="B952" t="s">
        <v>1147</v>
      </c>
      <c r="C952" t="s">
        <v>308</v>
      </c>
      <c r="D952" t="s">
        <v>24</v>
      </c>
      <c r="E952" t="s">
        <v>25</v>
      </c>
      <c r="F952" t="s">
        <v>58</v>
      </c>
      <c r="G952" t="s">
        <v>44</v>
      </c>
      <c r="H952" t="s">
        <v>124</v>
      </c>
      <c r="I952" t="s">
        <v>65</v>
      </c>
      <c r="J952" s="2">
        <v>8</v>
      </c>
      <c r="K952" s="3">
        <v>5800.9</v>
      </c>
      <c r="L952" s="3">
        <v>4532.66</v>
      </c>
      <c r="M952" s="4">
        <v>5.62E-2</v>
      </c>
      <c r="N952" s="3">
        <f t="shared" si="70"/>
        <v>46407.199999999997</v>
      </c>
      <c r="O952" s="3">
        <f t="shared" si="71"/>
        <v>43799.12</v>
      </c>
      <c r="P952" s="3">
        <f t="shared" si="72"/>
        <v>36261.279999999999</v>
      </c>
      <c r="Q952" s="3">
        <f t="shared" si="73"/>
        <v>7537.84</v>
      </c>
      <c r="R952" s="4">
        <f t="shared" si="74"/>
        <v>0.1721</v>
      </c>
      <c r="S952" s="2">
        <v>4</v>
      </c>
      <c r="T952" t="s">
        <v>46</v>
      </c>
      <c r="U952">
        <v>3</v>
      </c>
    </row>
    <row r="953" spans="1:22" x14ac:dyDescent="0.25">
      <c r="A953" s="1">
        <v>46036</v>
      </c>
      <c r="B953" t="s">
        <v>1148</v>
      </c>
      <c r="C953" t="s">
        <v>103</v>
      </c>
      <c r="D953" t="s">
        <v>139</v>
      </c>
      <c r="E953" t="s">
        <v>72</v>
      </c>
      <c r="F953" t="s">
        <v>36</v>
      </c>
      <c r="G953" t="s">
        <v>44</v>
      </c>
      <c r="H953" t="s">
        <v>45</v>
      </c>
      <c r="I953" t="s">
        <v>77</v>
      </c>
      <c r="J953" s="2">
        <v>4</v>
      </c>
      <c r="K953" s="3">
        <v>407.52</v>
      </c>
      <c r="L953" s="3">
        <v>223.29</v>
      </c>
      <c r="M953" s="4">
        <v>0</v>
      </c>
      <c r="N953" s="3">
        <f t="shared" si="70"/>
        <v>1630.08</v>
      </c>
      <c r="O953" s="3">
        <f t="shared" si="71"/>
        <v>1630.08</v>
      </c>
      <c r="P953" s="3">
        <f t="shared" si="72"/>
        <v>893.16</v>
      </c>
      <c r="Q953" s="3">
        <f t="shared" si="73"/>
        <v>736.92</v>
      </c>
      <c r="R953" s="4">
        <f t="shared" si="74"/>
        <v>0.4521</v>
      </c>
      <c r="S953" s="2">
        <v>3</v>
      </c>
      <c r="T953" t="s">
        <v>46</v>
      </c>
      <c r="U953">
        <v>4</v>
      </c>
    </row>
    <row r="954" spans="1:22" x14ac:dyDescent="0.25">
      <c r="A954" s="1">
        <v>46056</v>
      </c>
      <c r="B954" t="s">
        <v>1149</v>
      </c>
      <c r="C954" t="s">
        <v>233</v>
      </c>
      <c r="D954" t="s">
        <v>24</v>
      </c>
      <c r="E954" t="s">
        <v>25</v>
      </c>
      <c r="F954" t="s">
        <v>58</v>
      </c>
      <c r="G954" t="s">
        <v>51</v>
      </c>
      <c r="H954" t="s">
        <v>52</v>
      </c>
      <c r="I954" t="s">
        <v>94</v>
      </c>
      <c r="J954" s="2">
        <v>4</v>
      </c>
      <c r="K954" s="3">
        <v>252.77</v>
      </c>
      <c r="L954" s="3">
        <v>122.06</v>
      </c>
      <c r="M954" s="4">
        <v>8.4500000000000006E-2</v>
      </c>
      <c r="N954" s="3">
        <f t="shared" si="70"/>
        <v>1011.08</v>
      </c>
      <c r="O954" s="3">
        <f t="shared" si="71"/>
        <v>925.64</v>
      </c>
      <c r="P954" s="3">
        <f t="shared" si="72"/>
        <v>488.24</v>
      </c>
      <c r="Q954" s="3">
        <f t="shared" si="73"/>
        <v>437.4</v>
      </c>
      <c r="R954" s="4">
        <f t="shared" si="74"/>
        <v>0.47249999999999998</v>
      </c>
      <c r="S954" s="2">
        <v>3</v>
      </c>
      <c r="T954" t="s">
        <v>46</v>
      </c>
      <c r="U954">
        <v>3</v>
      </c>
    </row>
    <row r="955" spans="1:22" x14ac:dyDescent="0.25">
      <c r="A955" s="1">
        <v>46038</v>
      </c>
      <c r="B955" t="s">
        <v>1150</v>
      </c>
      <c r="C955" t="s">
        <v>247</v>
      </c>
      <c r="D955" t="s">
        <v>43</v>
      </c>
      <c r="E955" t="s">
        <v>25</v>
      </c>
      <c r="F955" t="s">
        <v>36</v>
      </c>
      <c r="G955" t="s">
        <v>27</v>
      </c>
      <c r="H955" t="s">
        <v>86</v>
      </c>
      <c r="I955" t="s">
        <v>65</v>
      </c>
      <c r="J955" s="2">
        <v>4</v>
      </c>
      <c r="K955" s="3">
        <v>1833.98</v>
      </c>
      <c r="L955" s="3">
        <v>1213.05</v>
      </c>
      <c r="M955" s="4">
        <v>0</v>
      </c>
      <c r="N955" s="3">
        <f t="shared" si="70"/>
        <v>7335.92</v>
      </c>
      <c r="O955" s="3">
        <f t="shared" si="71"/>
        <v>7335.92</v>
      </c>
      <c r="P955" s="3">
        <f t="shared" si="72"/>
        <v>4852.2</v>
      </c>
      <c r="Q955" s="3">
        <f t="shared" si="73"/>
        <v>2483.7199999999998</v>
      </c>
      <c r="R955" s="4">
        <f t="shared" si="74"/>
        <v>0.33860000000000001</v>
      </c>
      <c r="S955" s="2">
        <v>8</v>
      </c>
      <c r="T955" t="s">
        <v>46</v>
      </c>
      <c r="U955">
        <v>4</v>
      </c>
    </row>
    <row r="956" spans="1:22" x14ac:dyDescent="0.25">
      <c r="A956" s="1">
        <v>46138</v>
      </c>
      <c r="B956" t="s">
        <v>1151</v>
      </c>
      <c r="C956" t="s">
        <v>224</v>
      </c>
      <c r="D956" t="s">
        <v>43</v>
      </c>
      <c r="E956" t="s">
        <v>25</v>
      </c>
      <c r="F956" t="s">
        <v>64</v>
      </c>
      <c r="G956" t="s">
        <v>44</v>
      </c>
      <c r="H956" t="s">
        <v>73</v>
      </c>
      <c r="I956" t="s">
        <v>74</v>
      </c>
      <c r="J956" s="2">
        <v>5</v>
      </c>
      <c r="K956" s="3">
        <v>1656.28</v>
      </c>
      <c r="L956" s="3">
        <v>1110.24</v>
      </c>
      <c r="M956" s="4">
        <v>0</v>
      </c>
      <c r="N956" s="3">
        <f t="shared" si="70"/>
        <v>8281.4</v>
      </c>
      <c r="O956" s="3">
        <f t="shared" si="71"/>
        <v>8281.4</v>
      </c>
      <c r="P956" s="3">
        <f t="shared" si="72"/>
        <v>5551.2</v>
      </c>
      <c r="Q956" s="3">
        <f t="shared" si="73"/>
        <v>2730.2</v>
      </c>
      <c r="R956" s="4">
        <f t="shared" si="74"/>
        <v>0.32969999999999999</v>
      </c>
      <c r="S956" s="2">
        <v>14</v>
      </c>
      <c r="T956" t="s">
        <v>30</v>
      </c>
      <c r="U956">
        <v>5</v>
      </c>
    </row>
    <row r="957" spans="1:22" x14ac:dyDescent="0.25">
      <c r="A957" s="1">
        <v>46059</v>
      </c>
      <c r="B957" t="s">
        <v>1152</v>
      </c>
      <c r="C957" t="s">
        <v>159</v>
      </c>
      <c r="D957" t="s">
        <v>130</v>
      </c>
      <c r="E957" t="s">
        <v>72</v>
      </c>
      <c r="F957" t="s">
        <v>58</v>
      </c>
      <c r="G957" t="s">
        <v>44</v>
      </c>
      <c r="H957" t="s">
        <v>124</v>
      </c>
      <c r="I957" t="s">
        <v>39</v>
      </c>
      <c r="J957" s="2">
        <v>1</v>
      </c>
      <c r="K957" s="3">
        <v>6143.64</v>
      </c>
      <c r="L957" s="3">
        <v>4576.8599999999997</v>
      </c>
      <c r="M957" s="4">
        <v>0.153</v>
      </c>
      <c r="N957" s="3">
        <f t="shared" si="70"/>
        <v>6143.64</v>
      </c>
      <c r="O957" s="3">
        <f t="shared" si="71"/>
        <v>5203.66</v>
      </c>
      <c r="P957" s="3">
        <f t="shared" si="72"/>
        <v>4576.8599999999997</v>
      </c>
      <c r="Q957" s="3">
        <f t="shared" si="73"/>
        <v>626.79999999999995</v>
      </c>
      <c r="R957" s="4">
        <f t="shared" si="74"/>
        <v>0.1205</v>
      </c>
      <c r="S957" s="2">
        <v>11</v>
      </c>
      <c r="T957" t="s">
        <v>30</v>
      </c>
      <c r="U957">
        <v>2</v>
      </c>
    </row>
    <row r="958" spans="1:22" x14ac:dyDescent="0.25">
      <c r="A958" s="1">
        <v>46226</v>
      </c>
      <c r="B958" t="s">
        <v>1153</v>
      </c>
      <c r="C958" t="s">
        <v>70</v>
      </c>
      <c r="D958" t="s">
        <v>97</v>
      </c>
      <c r="E958" t="s">
        <v>57</v>
      </c>
      <c r="F958" t="s">
        <v>26</v>
      </c>
      <c r="G958" t="s">
        <v>37</v>
      </c>
      <c r="H958" t="s">
        <v>38</v>
      </c>
      <c r="I958" t="s">
        <v>29</v>
      </c>
      <c r="J958" s="2">
        <v>4</v>
      </c>
      <c r="K958" s="3">
        <v>416.86</v>
      </c>
      <c r="L958" s="3">
        <v>183.46</v>
      </c>
      <c r="M958" s="4">
        <v>0</v>
      </c>
      <c r="N958" s="3">
        <f t="shared" si="70"/>
        <v>1667.44</v>
      </c>
      <c r="O958" s="3">
        <f t="shared" si="71"/>
        <v>1667.44</v>
      </c>
      <c r="P958" s="3">
        <f t="shared" si="72"/>
        <v>733.84</v>
      </c>
      <c r="Q958" s="3">
        <f t="shared" si="73"/>
        <v>933.6</v>
      </c>
      <c r="R958" s="4">
        <f t="shared" si="74"/>
        <v>0.55989999999999995</v>
      </c>
      <c r="S958" s="2">
        <v>13</v>
      </c>
      <c r="T958" t="s">
        <v>30</v>
      </c>
      <c r="U958">
        <v>5</v>
      </c>
    </row>
    <row r="959" spans="1:22" x14ac:dyDescent="0.25">
      <c r="A959" s="1">
        <v>46058</v>
      </c>
      <c r="B959" t="s">
        <v>1154</v>
      </c>
      <c r="C959" t="s">
        <v>176</v>
      </c>
      <c r="D959" t="s">
        <v>85</v>
      </c>
      <c r="E959" t="s">
        <v>50</v>
      </c>
      <c r="F959" t="s">
        <v>64</v>
      </c>
      <c r="G959" t="s">
        <v>44</v>
      </c>
      <c r="H959" t="s">
        <v>73</v>
      </c>
      <c r="I959" t="s">
        <v>29</v>
      </c>
      <c r="J959" s="2">
        <v>3</v>
      </c>
      <c r="K959" s="3">
        <v>1762.31</v>
      </c>
      <c r="L959" s="3">
        <v>1079.3499999999999</v>
      </c>
      <c r="M959" s="4">
        <v>0</v>
      </c>
      <c r="N959" s="3">
        <f t="shared" si="70"/>
        <v>5286.93</v>
      </c>
      <c r="O959" s="3">
        <f t="shared" si="71"/>
        <v>5286.93</v>
      </c>
      <c r="P959" s="3">
        <f t="shared" si="72"/>
        <v>3238.05</v>
      </c>
      <c r="Q959" s="3">
        <f t="shared" si="73"/>
        <v>2048.88</v>
      </c>
      <c r="R959" s="4">
        <f t="shared" si="74"/>
        <v>0.38750000000000001</v>
      </c>
      <c r="S959" s="2">
        <v>12</v>
      </c>
      <c r="T959" t="s">
        <v>30</v>
      </c>
      <c r="U959">
        <v>5</v>
      </c>
    </row>
    <row r="960" spans="1:22" x14ac:dyDescent="0.25">
      <c r="A960" s="1">
        <v>46038</v>
      </c>
      <c r="B960" t="s">
        <v>1155</v>
      </c>
      <c r="C960" t="s">
        <v>76</v>
      </c>
      <c r="D960" t="s">
        <v>97</v>
      </c>
      <c r="E960" t="s">
        <v>57</v>
      </c>
      <c r="F960" t="s">
        <v>64</v>
      </c>
      <c r="G960" t="s">
        <v>27</v>
      </c>
      <c r="H960" t="s">
        <v>28</v>
      </c>
      <c r="I960" t="s">
        <v>29</v>
      </c>
      <c r="J960" s="2">
        <v>2</v>
      </c>
      <c r="K960" s="3">
        <v>778.76</v>
      </c>
      <c r="L960" s="3">
        <v>466.52</v>
      </c>
      <c r="M960" s="4">
        <v>8.8800000000000004E-2</v>
      </c>
      <c r="N960" s="3">
        <f t="shared" si="70"/>
        <v>1557.52</v>
      </c>
      <c r="O960" s="3">
        <f t="shared" si="71"/>
        <v>1419.21</v>
      </c>
      <c r="P960" s="3">
        <f t="shared" si="72"/>
        <v>933.04</v>
      </c>
      <c r="Q960" s="3">
        <f t="shared" si="73"/>
        <v>486.17</v>
      </c>
      <c r="R960" s="4">
        <f t="shared" si="74"/>
        <v>0.34260000000000002</v>
      </c>
      <c r="S960" s="2">
        <v>4</v>
      </c>
      <c r="T960" t="s">
        <v>46</v>
      </c>
      <c r="U960">
        <v>3</v>
      </c>
    </row>
    <row r="961" spans="1:21" x14ac:dyDescent="0.25">
      <c r="A961" s="1">
        <v>46200</v>
      </c>
      <c r="B961" t="s">
        <v>1156</v>
      </c>
      <c r="C961" t="s">
        <v>23</v>
      </c>
      <c r="D961" t="s">
        <v>71</v>
      </c>
      <c r="E961" t="s">
        <v>72</v>
      </c>
      <c r="F961" t="s">
        <v>36</v>
      </c>
      <c r="G961" t="s">
        <v>27</v>
      </c>
      <c r="H961" t="s">
        <v>28</v>
      </c>
      <c r="I961" t="s">
        <v>29</v>
      </c>
      <c r="J961" s="2">
        <v>3</v>
      </c>
      <c r="K961" s="3">
        <v>827.52</v>
      </c>
      <c r="L961" s="3">
        <v>455.91</v>
      </c>
      <c r="M961" s="4">
        <v>0</v>
      </c>
      <c r="N961" s="3">
        <f t="shared" si="70"/>
        <v>2482.56</v>
      </c>
      <c r="O961" s="3">
        <f t="shared" si="71"/>
        <v>2482.56</v>
      </c>
      <c r="P961" s="3">
        <f t="shared" si="72"/>
        <v>1367.73</v>
      </c>
      <c r="Q961" s="3">
        <f t="shared" si="73"/>
        <v>1114.83</v>
      </c>
      <c r="R961" s="4">
        <f t="shared" si="74"/>
        <v>0.4491</v>
      </c>
      <c r="S961" s="2">
        <v>6</v>
      </c>
      <c r="T961" t="s">
        <v>46</v>
      </c>
      <c r="U961">
        <v>4</v>
      </c>
    </row>
    <row r="962" spans="1:21" x14ac:dyDescent="0.25">
      <c r="A962" s="1">
        <v>46119</v>
      </c>
      <c r="B962" t="s">
        <v>1157</v>
      </c>
      <c r="C962" t="s">
        <v>112</v>
      </c>
      <c r="D962" t="s">
        <v>43</v>
      </c>
      <c r="E962" t="s">
        <v>25</v>
      </c>
      <c r="F962" t="s">
        <v>26</v>
      </c>
      <c r="G962" t="s">
        <v>37</v>
      </c>
      <c r="H962" t="s">
        <v>38</v>
      </c>
      <c r="I962" t="s">
        <v>74</v>
      </c>
      <c r="J962" s="2">
        <v>1</v>
      </c>
      <c r="K962" s="3">
        <v>439.99</v>
      </c>
      <c r="L962" s="3">
        <v>199.64</v>
      </c>
      <c r="M962" s="4">
        <v>5.3699999999999998E-2</v>
      </c>
      <c r="N962" s="3">
        <f t="shared" ref="N962:N1025" si="75">ROUND(J962*K962,2)</f>
        <v>439.99</v>
      </c>
      <c r="O962" s="3">
        <f t="shared" ref="O962:O1025" si="76">ROUND(N962*(1-M962),2)</f>
        <v>416.36</v>
      </c>
      <c r="P962" s="3">
        <f t="shared" ref="P962:P1025" si="77">ROUND(J962*L962,2)</f>
        <v>199.64</v>
      </c>
      <c r="Q962" s="3">
        <f t="shared" ref="Q962:Q1025" si="78">ROUND(O962-P962,2)</f>
        <v>216.72</v>
      </c>
      <c r="R962" s="4">
        <f t="shared" ref="R962:R1025" si="79">IF(O962=0,0,ROUND(Q962/O962,4))</f>
        <v>0.52049999999999996</v>
      </c>
      <c r="S962" s="2">
        <v>8</v>
      </c>
      <c r="T962" t="s">
        <v>46</v>
      </c>
      <c r="U962">
        <v>2</v>
      </c>
    </row>
    <row r="963" spans="1:21" x14ac:dyDescent="0.25">
      <c r="A963" s="1">
        <v>46036</v>
      </c>
      <c r="B963" t="s">
        <v>1158</v>
      </c>
      <c r="C963" t="s">
        <v>378</v>
      </c>
      <c r="D963" t="s">
        <v>56</v>
      </c>
      <c r="E963" t="s">
        <v>57</v>
      </c>
      <c r="F963" t="s">
        <v>64</v>
      </c>
      <c r="G963" t="s">
        <v>27</v>
      </c>
      <c r="H963" t="s">
        <v>28</v>
      </c>
      <c r="I963" t="s">
        <v>94</v>
      </c>
      <c r="J963" s="2">
        <v>7</v>
      </c>
      <c r="K963" s="3">
        <v>786.97</v>
      </c>
      <c r="L963" s="3">
        <v>438.72</v>
      </c>
      <c r="M963" s="4">
        <v>0</v>
      </c>
      <c r="N963" s="3">
        <f t="shared" si="75"/>
        <v>5508.79</v>
      </c>
      <c r="O963" s="3">
        <f t="shared" si="76"/>
        <v>5508.79</v>
      </c>
      <c r="P963" s="3">
        <f t="shared" si="77"/>
        <v>3071.04</v>
      </c>
      <c r="Q963" s="3">
        <f t="shared" si="78"/>
        <v>2437.75</v>
      </c>
      <c r="R963" s="4">
        <f t="shared" si="79"/>
        <v>0.4425</v>
      </c>
      <c r="S963" s="2">
        <v>9</v>
      </c>
      <c r="T963" t="s">
        <v>46</v>
      </c>
      <c r="U963">
        <v>2</v>
      </c>
    </row>
    <row r="964" spans="1:21" x14ac:dyDescent="0.25">
      <c r="A964" s="1">
        <v>46217</v>
      </c>
      <c r="B964" t="s">
        <v>1159</v>
      </c>
      <c r="C964" t="s">
        <v>253</v>
      </c>
      <c r="D964" t="s">
        <v>71</v>
      </c>
      <c r="E964" t="s">
        <v>72</v>
      </c>
      <c r="F964" t="s">
        <v>36</v>
      </c>
      <c r="G964" t="s">
        <v>44</v>
      </c>
      <c r="H964" t="s">
        <v>73</v>
      </c>
      <c r="I964" t="s">
        <v>60</v>
      </c>
      <c r="J964" s="2">
        <v>5</v>
      </c>
      <c r="K964" s="3">
        <v>1738.02</v>
      </c>
      <c r="L964" s="3">
        <v>1138.29</v>
      </c>
      <c r="M964" s="4">
        <v>4.1700000000000001E-2</v>
      </c>
      <c r="N964" s="3">
        <f t="shared" si="75"/>
        <v>8690.1</v>
      </c>
      <c r="O964" s="3">
        <f t="shared" si="76"/>
        <v>8327.7199999999993</v>
      </c>
      <c r="P964" s="3">
        <f t="shared" si="77"/>
        <v>5691.45</v>
      </c>
      <c r="Q964" s="3">
        <f t="shared" si="78"/>
        <v>2636.27</v>
      </c>
      <c r="R964" s="4">
        <f t="shared" si="79"/>
        <v>0.31659999999999999</v>
      </c>
      <c r="S964" s="2">
        <v>2</v>
      </c>
      <c r="T964" t="s">
        <v>46</v>
      </c>
      <c r="U964">
        <v>3</v>
      </c>
    </row>
    <row r="965" spans="1:21" x14ac:dyDescent="0.25">
      <c r="A965" s="1">
        <v>46067</v>
      </c>
      <c r="B965" t="s">
        <v>1160</v>
      </c>
      <c r="C965" t="s">
        <v>96</v>
      </c>
      <c r="D965" t="s">
        <v>207</v>
      </c>
      <c r="E965" t="s">
        <v>35</v>
      </c>
      <c r="F965" t="s">
        <v>26</v>
      </c>
      <c r="G965" t="s">
        <v>37</v>
      </c>
      <c r="H965" t="s">
        <v>178</v>
      </c>
      <c r="I965" t="s">
        <v>29</v>
      </c>
      <c r="J965" s="2">
        <v>7</v>
      </c>
      <c r="K965" s="3">
        <v>507.85</v>
      </c>
      <c r="L965" s="3">
        <v>243.85</v>
      </c>
      <c r="M965" s="4">
        <v>0</v>
      </c>
      <c r="N965" s="3">
        <f t="shared" si="75"/>
        <v>3554.95</v>
      </c>
      <c r="O965" s="3">
        <f t="shared" si="76"/>
        <v>3554.95</v>
      </c>
      <c r="P965" s="3">
        <f t="shared" si="77"/>
        <v>1706.95</v>
      </c>
      <c r="Q965" s="3">
        <f t="shared" si="78"/>
        <v>1848</v>
      </c>
      <c r="R965" s="4">
        <f t="shared" si="79"/>
        <v>0.51980000000000004</v>
      </c>
      <c r="S965" s="2">
        <v>14</v>
      </c>
      <c r="T965" t="s">
        <v>30</v>
      </c>
      <c r="U965">
        <v>3</v>
      </c>
    </row>
    <row r="966" spans="1:21" x14ac:dyDescent="0.25">
      <c r="A966" s="1">
        <v>46222</v>
      </c>
      <c r="B966" t="s">
        <v>1161</v>
      </c>
      <c r="C966" t="s">
        <v>500</v>
      </c>
      <c r="D966" t="s">
        <v>97</v>
      </c>
      <c r="E966" t="s">
        <v>57</v>
      </c>
      <c r="F966" t="s">
        <v>36</v>
      </c>
      <c r="G966" t="s">
        <v>51</v>
      </c>
      <c r="H966" t="s">
        <v>116</v>
      </c>
      <c r="I966" t="s">
        <v>65</v>
      </c>
      <c r="J966" s="2">
        <v>8</v>
      </c>
      <c r="K966" s="3">
        <v>2730.88</v>
      </c>
      <c r="L966" s="3">
        <v>1878.52</v>
      </c>
      <c r="M966" s="4">
        <v>9.7699999999999995E-2</v>
      </c>
      <c r="N966" s="3">
        <f t="shared" si="75"/>
        <v>21847.040000000001</v>
      </c>
      <c r="O966" s="3">
        <f t="shared" si="76"/>
        <v>19712.580000000002</v>
      </c>
      <c r="P966" s="3">
        <f t="shared" si="77"/>
        <v>15028.16</v>
      </c>
      <c r="Q966" s="3">
        <f t="shared" si="78"/>
        <v>4684.42</v>
      </c>
      <c r="R966" s="4">
        <f t="shared" si="79"/>
        <v>0.23760000000000001</v>
      </c>
      <c r="S966" s="2">
        <v>9</v>
      </c>
      <c r="T966" t="s">
        <v>46</v>
      </c>
      <c r="U966">
        <v>2</v>
      </c>
    </row>
    <row r="967" spans="1:21" x14ac:dyDescent="0.25">
      <c r="A967" s="1">
        <v>46143</v>
      </c>
      <c r="B967" t="s">
        <v>1162</v>
      </c>
      <c r="C967" t="s">
        <v>370</v>
      </c>
      <c r="D967" t="s">
        <v>63</v>
      </c>
      <c r="E967" t="s">
        <v>35</v>
      </c>
      <c r="F967" t="s">
        <v>58</v>
      </c>
      <c r="G967" t="s">
        <v>44</v>
      </c>
      <c r="H967" t="s">
        <v>124</v>
      </c>
      <c r="I967" t="s">
        <v>53</v>
      </c>
      <c r="J967" s="2">
        <v>1</v>
      </c>
      <c r="K967" s="3">
        <v>6161.19</v>
      </c>
      <c r="L967" s="3">
        <v>4365.1899999999996</v>
      </c>
      <c r="M967" s="4">
        <v>0.1032</v>
      </c>
      <c r="N967" s="3">
        <f t="shared" si="75"/>
        <v>6161.19</v>
      </c>
      <c r="O967" s="3">
        <f t="shared" si="76"/>
        <v>5525.36</v>
      </c>
      <c r="P967" s="3">
        <f t="shared" si="77"/>
        <v>4365.1899999999996</v>
      </c>
      <c r="Q967" s="3">
        <f t="shared" si="78"/>
        <v>1160.17</v>
      </c>
      <c r="R967" s="4">
        <f t="shared" si="79"/>
        <v>0.21</v>
      </c>
      <c r="S967" s="2">
        <v>4</v>
      </c>
      <c r="T967" t="s">
        <v>46</v>
      </c>
      <c r="U967">
        <v>2</v>
      </c>
    </row>
    <row r="968" spans="1:21" x14ac:dyDescent="0.25">
      <c r="A968" s="1">
        <v>46191</v>
      </c>
      <c r="B968" t="s">
        <v>1163</v>
      </c>
      <c r="C968" t="s">
        <v>286</v>
      </c>
      <c r="D968" t="s">
        <v>101</v>
      </c>
      <c r="E968" t="s">
        <v>35</v>
      </c>
      <c r="F968" t="s">
        <v>26</v>
      </c>
      <c r="G968" t="s">
        <v>27</v>
      </c>
      <c r="H968" t="s">
        <v>28</v>
      </c>
      <c r="I968" t="s">
        <v>29</v>
      </c>
      <c r="J968" s="2">
        <v>6</v>
      </c>
      <c r="K968" s="3">
        <v>824.86</v>
      </c>
      <c r="L968" s="3">
        <v>474.42</v>
      </c>
      <c r="M968" s="4">
        <v>4.87E-2</v>
      </c>
      <c r="N968" s="3">
        <f t="shared" si="75"/>
        <v>4949.16</v>
      </c>
      <c r="O968" s="3">
        <f t="shared" si="76"/>
        <v>4708.1400000000003</v>
      </c>
      <c r="P968" s="3">
        <f t="shared" si="77"/>
        <v>2846.52</v>
      </c>
      <c r="Q968" s="3">
        <f t="shared" si="78"/>
        <v>1861.62</v>
      </c>
      <c r="R968" s="4">
        <f t="shared" si="79"/>
        <v>0.39539999999999997</v>
      </c>
      <c r="S968" s="2">
        <v>12</v>
      </c>
      <c r="T968" t="s">
        <v>30</v>
      </c>
      <c r="U968">
        <v>3</v>
      </c>
    </row>
    <row r="969" spans="1:21" x14ac:dyDescent="0.25">
      <c r="A969" s="1">
        <v>46116</v>
      </c>
      <c r="B969" t="s">
        <v>1164</v>
      </c>
      <c r="C969" t="s">
        <v>418</v>
      </c>
      <c r="D969" t="s">
        <v>24</v>
      </c>
      <c r="E969" t="s">
        <v>25</v>
      </c>
      <c r="F969" t="s">
        <v>26</v>
      </c>
      <c r="G969" t="s">
        <v>51</v>
      </c>
      <c r="H969" t="s">
        <v>116</v>
      </c>
      <c r="I969" t="s">
        <v>77</v>
      </c>
      <c r="J969" s="2">
        <v>5</v>
      </c>
      <c r="K969" s="3">
        <v>2900.09</v>
      </c>
      <c r="L969" s="3">
        <v>1846.84</v>
      </c>
      <c r="M969" s="4">
        <v>7.6799999999999993E-2</v>
      </c>
      <c r="N969" s="3">
        <f t="shared" si="75"/>
        <v>14500.45</v>
      </c>
      <c r="O969" s="3">
        <f t="shared" si="76"/>
        <v>13386.82</v>
      </c>
      <c r="P969" s="3">
        <f t="shared" si="77"/>
        <v>9234.2000000000007</v>
      </c>
      <c r="Q969" s="3">
        <f t="shared" si="78"/>
        <v>4152.62</v>
      </c>
      <c r="R969" s="4">
        <f t="shared" si="79"/>
        <v>0.31019999999999998</v>
      </c>
      <c r="S969" s="2">
        <v>11</v>
      </c>
      <c r="T969" t="s">
        <v>30</v>
      </c>
      <c r="U969">
        <v>4</v>
      </c>
    </row>
    <row r="970" spans="1:21" x14ac:dyDescent="0.25">
      <c r="A970" s="1">
        <v>46210</v>
      </c>
      <c r="B970" t="s">
        <v>1165</v>
      </c>
      <c r="C970" t="s">
        <v>370</v>
      </c>
      <c r="D970" t="s">
        <v>85</v>
      </c>
      <c r="E970" t="s">
        <v>50</v>
      </c>
      <c r="F970" t="s">
        <v>26</v>
      </c>
      <c r="G970" t="s">
        <v>44</v>
      </c>
      <c r="H970" t="s">
        <v>45</v>
      </c>
      <c r="I970" t="s">
        <v>92</v>
      </c>
      <c r="J970" s="2">
        <v>1</v>
      </c>
      <c r="K970" s="3">
        <v>409.91</v>
      </c>
      <c r="L970" s="3">
        <v>202.86</v>
      </c>
      <c r="M970" s="4">
        <v>0</v>
      </c>
      <c r="N970" s="3">
        <f t="shared" si="75"/>
        <v>409.91</v>
      </c>
      <c r="O970" s="3">
        <f t="shared" si="76"/>
        <v>409.91</v>
      </c>
      <c r="P970" s="3">
        <f t="shared" si="77"/>
        <v>202.86</v>
      </c>
      <c r="Q970" s="3">
        <f t="shared" si="78"/>
        <v>207.05</v>
      </c>
      <c r="R970" s="4">
        <f t="shared" si="79"/>
        <v>0.50509999999999999</v>
      </c>
      <c r="S970" s="2">
        <v>8</v>
      </c>
      <c r="T970" t="s">
        <v>46</v>
      </c>
      <c r="U970">
        <v>4</v>
      </c>
    </row>
    <row r="971" spans="1:21" x14ac:dyDescent="0.25">
      <c r="A971" s="1">
        <v>46091</v>
      </c>
      <c r="B971" t="s">
        <v>1166</v>
      </c>
      <c r="C971" t="s">
        <v>214</v>
      </c>
      <c r="D971" t="s">
        <v>43</v>
      </c>
      <c r="E971" t="s">
        <v>25</v>
      </c>
      <c r="F971" t="s">
        <v>36</v>
      </c>
      <c r="G971" t="s">
        <v>51</v>
      </c>
      <c r="H971" t="s">
        <v>59</v>
      </c>
      <c r="I971" t="s">
        <v>92</v>
      </c>
      <c r="J971" s="2">
        <v>7</v>
      </c>
      <c r="K971" s="3">
        <v>2168.77</v>
      </c>
      <c r="L971" s="3">
        <v>1431.04</v>
      </c>
      <c r="M971" s="4">
        <v>0</v>
      </c>
      <c r="N971" s="3">
        <f t="shared" si="75"/>
        <v>15181.39</v>
      </c>
      <c r="O971" s="3">
        <f t="shared" si="76"/>
        <v>15181.39</v>
      </c>
      <c r="P971" s="3">
        <f t="shared" si="77"/>
        <v>10017.280000000001</v>
      </c>
      <c r="Q971" s="3">
        <f t="shared" si="78"/>
        <v>5164.1099999999997</v>
      </c>
      <c r="R971" s="4">
        <f t="shared" si="79"/>
        <v>0.3402</v>
      </c>
      <c r="S971" s="2">
        <v>4</v>
      </c>
      <c r="T971" t="s">
        <v>46</v>
      </c>
      <c r="U971">
        <v>4</v>
      </c>
    </row>
    <row r="972" spans="1:21" x14ac:dyDescent="0.25">
      <c r="A972" s="1">
        <v>46036</v>
      </c>
      <c r="B972" t="s">
        <v>1167</v>
      </c>
      <c r="C972" t="s">
        <v>76</v>
      </c>
      <c r="D972" t="s">
        <v>139</v>
      </c>
      <c r="E972" t="s">
        <v>72</v>
      </c>
      <c r="F972" t="s">
        <v>36</v>
      </c>
      <c r="G972" t="s">
        <v>51</v>
      </c>
      <c r="H972" t="s">
        <v>52</v>
      </c>
      <c r="I972" t="s">
        <v>65</v>
      </c>
      <c r="J972" s="2">
        <v>2</v>
      </c>
      <c r="K972" s="3">
        <v>247.24</v>
      </c>
      <c r="L972" s="3">
        <v>119.77</v>
      </c>
      <c r="M972" s="4">
        <v>0</v>
      </c>
      <c r="N972" s="3">
        <f t="shared" si="75"/>
        <v>494.48</v>
      </c>
      <c r="O972" s="3">
        <f t="shared" si="76"/>
        <v>494.48</v>
      </c>
      <c r="P972" s="3">
        <f t="shared" si="77"/>
        <v>239.54</v>
      </c>
      <c r="Q972" s="3">
        <f t="shared" si="78"/>
        <v>254.94</v>
      </c>
      <c r="R972" s="4">
        <f t="shared" si="79"/>
        <v>0.51559999999999995</v>
      </c>
      <c r="S972" s="2">
        <v>13</v>
      </c>
      <c r="T972" t="s">
        <v>30</v>
      </c>
      <c r="U972">
        <v>4</v>
      </c>
    </row>
    <row r="973" spans="1:21" x14ac:dyDescent="0.25">
      <c r="A973" s="1">
        <v>46110</v>
      </c>
      <c r="B973" t="s">
        <v>1168</v>
      </c>
      <c r="C973" t="s">
        <v>297</v>
      </c>
      <c r="D973" t="s">
        <v>139</v>
      </c>
      <c r="E973" t="s">
        <v>72</v>
      </c>
      <c r="F973" t="s">
        <v>64</v>
      </c>
      <c r="G973" t="s">
        <v>51</v>
      </c>
      <c r="H973" t="s">
        <v>116</v>
      </c>
      <c r="I973" t="s">
        <v>74</v>
      </c>
      <c r="J973" s="2">
        <v>6</v>
      </c>
      <c r="K973" s="3">
        <v>2926.7</v>
      </c>
      <c r="L973" s="3">
        <v>1935.7</v>
      </c>
      <c r="M973" s="4">
        <v>0</v>
      </c>
      <c r="N973" s="3">
        <f t="shared" si="75"/>
        <v>17560.2</v>
      </c>
      <c r="O973" s="3">
        <f t="shared" si="76"/>
        <v>17560.2</v>
      </c>
      <c r="P973" s="3">
        <f t="shared" si="77"/>
        <v>11614.2</v>
      </c>
      <c r="Q973" s="3">
        <f t="shared" si="78"/>
        <v>5946</v>
      </c>
      <c r="R973" s="4">
        <f t="shared" si="79"/>
        <v>0.33860000000000001</v>
      </c>
      <c r="S973" s="2">
        <v>14</v>
      </c>
      <c r="T973" t="s">
        <v>30</v>
      </c>
      <c r="U973">
        <v>4</v>
      </c>
    </row>
    <row r="974" spans="1:21" x14ac:dyDescent="0.25">
      <c r="A974" s="1">
        <v>46046</v>
      </c>
      <c r="B974" t="s">
        <v>1169</v>
      </c>
      <c r="C974" t="s">
        <v>100</v>
      </c>
      <c r="D974" t="s">
        <v>63</v>
      </c>
      <c r="E974" t="s">
        <v>35</v>
      </c>
      <c r="F974" t="s">
        <v>26</v>
      </c>
      <c r="G974" t="s">
        <v>51</v>
      </c>
      <c r="H974" t="s">
        <v>52</v>
      </c>
      <c r="I974" t="s">
        <v>92</v>
      </c>
      <c r="J974" s="2">
        <v>3</v>
      </c>
      <c r="K974" s="3">
        <v>269.52</v>
      </c>
      <c r="L974" s="3">
        <v>118.57</v>
      </c>
      <c r="M974" s="4">
        <v>0</v>
      </c>
      <c r="N974" s="3">
        <f t="shared" si="75"/>
        <v>808.56</v>
      </c>
      <c r="O974" s="3">
        <f t="shared" si="76"/>
        <v>808.56</v>
      </c>
      <c r="P974" s="3">
        <f t="shared" si="77"/>
        <v>355.71</v>
      </c>
      <c r="Q974" s="3">
        <f t="shared" si="78"/>
        <v>452.85</v>
      </c>
      <c r="R974" s="4">
        <f t="shared" si="79"/>
        <v>0.56010000000000004</v>
      </c>
      <c r="S974" s="2">
        <v>10</v>
      </c>
      <c r="T974" t="s">
        <v>46</v>
      </c>
      <c r="U974">
        <v>5</v>
      </c>
    </row>
    <row r="975" spans="1:21" x14ac:dyDescent="0.25">
      <c r="A975" s="1">
        <v>46090</v>
      </c>
      <c r="B975" t="s">
        <v>1170</v>
      </c>
      <c r="C975" t="s">
        <v>184</v>
      </c>
      <c r="D975" t="s">
        <v>126</v>
      </c>
      <c r="E975" t="s">
        <v>57</v>
      </c>
      <c r="F975" t="s">
        <v>58</v>
      </c>
      <c r="G975" t="s">
        <v>51</v>
      </c>
      <c r="H975" t="s">
        <v>59</v>
      </c>
      <c r="I975" t="s">
        <v>92</v>
      </c>
      <c r="J975" s="2">
        <v>5</v>
      </c>
      <c r="K975" s="3">
        <v>2190.5500000000002</v>
      </c>
      <c r="L975" s="3">
        <v>1474.44</v>
      </c>
      <c r="M975" s="4">
        <v>0.13980000000000001</v>
      </c>
      <c r="N975" s="3">
        <f t="shared" si="75"/>
        <v>10952.75</v>
      </c>
      <c r="O975" s="3">
        <f t="shared" si="76"/>
        <v>9421.56</v>
      </c>
      <c r="P975" s="3">
        <f t="shared" si="77"/>
        <v>7372.2</v>
      </c>
      <c r="Q975" s="3">
        <f t="shared" si="78"/>
        <v>2049.36</v>
      </c>
      <c r="R975" s="4">
        <f t="shared" si="79"/>
        <v>0.2175</v>
      </c>
      <c r="S975" s="2">
        <v>6</v>
      </c>
      <c r="T975" t="s">
        <v>46</v>
      </c>
      <c r="U975">
        <v>3</v>
      </c>
    </row>
    <row r="976" spans="1:21" x14ac:dyDescent="0.25">
      <c r="A976" s="1">
        <v>46223</v>
      </c>
      <c r="B976" t="s">
        <v>1171</v>
      </c>
      <c r="C976" t="s">
        <v>606</v>
      </c>
      <c r="D976" t="s">
        <v>101</v>
      </c>
      <c r="E976" t="s">
        <v>35</v>
      </c>
      <c r="F976" t="s">
        <v>36</v>
      </c>
      <c r="G976" t="s">
        <v>37</v>
      </c>
      <c r="H976" t="s">
        <v>178</v>
      </c>
      <c r="I976" t="s">
        <v>87</v>
      </c>
      <c r="J976" s="2">
        <v>4</v>
      </c>
      <c r="K976" s="3">
        <v>510.24</v>
      </c>
      <c r="L976" s="3">
        <v>248.15</v>
      </c>
      <c r="M976" s="4">
        <v>0.1047</v>
      </c>
      <c r="N976" s="3">
        <f t="shared" si="75"/>
        <v>2040.96</v>
      </c>
      <c r="O976" s="3">
        <f t="shared" si="76"/>
        <v>1827.27</v>
      </c>
      <c r="P976" s="3">
        <f t="shared" si="77"/>
        <v>992.6</v>
      </c>
      <c r="Q976" s="3">
        <f t="shared" si="78"/>
        <v>834.67</v>
      </c>
      <c r="R976" s="4">
        <f t="shared" si="79"/>
        <v>0.45679999999999998</v>
      </c>
      <c r="S976" s="2">
        <v>12</v>
      </c>
      <c r="T976" t="s">
        <v>30</v>
      </c>
      <c r="U976">
        <v>4</v>
      </c>
    </row>
    <row r="977" spans="1:22" x14ac:dyDescent="0.25">
      <c r="A977" s="1">
        <v>46117</v>
      </c>
      <c r="B977" t="s">
        <v>1172</v>
      </c>
      <c r="C977" t="s">
        <v>253</v>
      </c>
      <c r="D977" t="s">
        <v>34</v>
      </c>
      <c r="E977" t="s">
        <v>35</v>
      </c>
      <c r="F977" t="s">
        <v>36</v>
      </c>
      <c r="G977" t="s">
        <v>37</v>
      </c>
      <c r="H977" t="s">
        <v>104</v>
      </c>
      <c r="I977" t="s">
        <v>74</v>
      </c>
      <c r="J977" s="2">
        <v>1</v>
      </c>
      <c r="K977" s="3">
        <v>306.27999999999997</v>
      </c>
      <c r="L977" s="3">
        <v>134.51</v>
      </c>
      <c r="M977" s="4">
        <v>0</v>
      </c>
      <c r="N977" s="3">
        <f t="shared" si="75"/>
        <v>306.27999999999997</v>
      </c>
      <c r="O977" s="3">
        <f t="shared" si="76"/>
        <v>306.27999999999997</v>
      </c>
      <c r="P977" s="3">
        <f t="shared" si="77"/>
        <v>134.51</v>
      </c>
      <c r="Q977" s="3">
        <f t="shared" si="78"/>
        <v>171.77</v>
      </c>
      <c r="R977" s="4">
        <f t="shared" si="79"/>
        <v>0.56079999999999997</v>
      </c>
      <c r="S977" s="2">
        <v>9</v>
      </c>
      <c r="T977" t="s">
        <v>46</v>
      </c>
      <c r="U977">
        <v>4</v>
      </c>
    </row>
    <row r="978" spans="1:22" x14ac:dyDescent="0.25">
      <c r="A978" s="1">
        <v>46165</v>
      </c>
      <c r="B978" t="s">
        <v>1173</v>
      </c>
      <c r="C978" t="s">
        <v>370</v>
      </c>
      <c r="D978" t="s">
        <v>126</v>
      </c>
      <c r="E978" t="s">
        <v>57</v>
      </c>
      <c r="F978" t="s">
        <v>36</v>
      </c>
      <c r="G978" t="s">
        <v>44</v>
      </c>
      <c r="H978" t="s">
        <v>124</v>
      </c>
      <c r="I978" t="s">
        <v>29</v>
      </c>
      <c r="J978" s="2">
        <v>2</v>
      </c>
      <c r="K978" s="3">
        <v>5647.7</v>
      </c>
      <c r="L978" s="3">
        <v>4496.5200000000004</v>
      </c>
      <c r="M978" s="4">
        <v>1.7500000000000002E-2</v>
      </c>
      <c r="N978" s="3">
        <f t="shared" si="75"/>
        <v>11295.4</v>
      </c>
      <c r="O978" s="3">
        <f t="shared" si="76"/>
        <v>11097.73</v>
      </c>
      <c r="P978" s="3">
        <f t="shared" si="77"/>
        <v>8993.0400000000009</v>
      </c>
      <c r="Q978" s="3">
        <f t="shared" si="78"/>
        <v>2104.69</v>
      </c>
      <c r="R978" s="4">
        <f t="shared" si="79"/>
        <v>0.18970000000000001</v>
      </c>
      <c r="S978" s="2">
        <v>11</v>
      </c>
      <c r="T978" t="s">
        <v>30</v>
      </c>
      <c r="U978">
        <v>3</v>
      </c>
    </row>
    <row r="979" spans="1:22" x14ac:dyDescent="0.25">
      <c r="A979" s="1">
        <v>46045</v>
      </c>
      <c r="B979" t="s">
        <v>1174</v>
      </c>
      <c r="C979" t="s">
        <v>456</v>
      </c>
      <c r="D979" t="s">
        <v>139</v>
      </c>
      <c r="E979" t="s">
        <v>72</v>
      </c>
      <c r="F979" t="s">
        <v>26</v>
      </c>
      <c r="G979" t="s">
        <v>37</v>
      </c>
      <c r="H979" t="s">
        <v>178</v>
      </c>
      <c r="I979" t="s">
        <v>94</v>
      </c>
      <c r="J979" s="2">
        <v>4</v>
      </c>
      <c r="K979" s="3">
        <v>520.65</v>
      </c>
      <c r="L979" s="3">
        <v>257.86</v>
      </c>
      <c r="M979" s="4">
        <v>1E-4</v>
      </c>
      <c r="N979" s="3">
        <f t="shared" si="75"/>
        <v>2082.6</v>
      </c>
      <c r="O979" s="3">
        <f t="shared" si="76"/>
        <v>2082.39</v>
      </c>
      <c r="P979" s="3">
        <f t="shared" si="77"/>
        <v>1031.44</v>
      </c>
      <c r="Q979" s="3">
        <f t="shared" si="78"/>
        <v>1050.95</v>
      </c>
      <c r="R979" s="4">
        <f t="shared" si="79"/>
        <v>0.50470000000000004</v>
      </c>
      <c r="S979" s="2">
        <v>3</v>
      </c>
      <c r="T979" t="s">
        <v>46</v>
      </c>
      <c r="U979">
        <v>2</v>
      </c>
    </row>
    <row r="980" spans="1:22" x14ac:dyDescent="0.25">
      <c r="A980" s="1">
        <v>46029</v>
      </c>
      <c r="B980" t="s">
        <v>1175</v>
      </c>
      <c r="C980" t="s">
        <v>184</v>
      </c>
      <c r="D980" t="s">
        <v>207</v>
      </c>
      <c r="E980" t="s">
        <v>35</v>
      </c>
      <c r="F980" t="s">
        <v>64</v>
      </c>
      <c r="G980" t="s">
        <v>51</v>
      </c>
      <c r="H980" t="s">
        <v>116</v>
      </c>
      <c r="I980" t="s">
        <v>87</v>
      </c>
      <c r="J980" s="2">
        <v>3</v>
      </c>
      <c r="K980" s="3">
        <v>2767.64</v>
      </c>
      <c r="L980" s="3">
        <v>1825.28</v>
      </c>
      <c r="M980" s="4">
        <v>1.3599999999999999E-2</v>
      </c>
      <c r="N980" s="3">
        <f t="shared" si="75"/>
        <v>8302.92</v>
      </c>
      <c r="O980" s="3">
        <f t="shared" si="76"/>
        <v>8190</v>
      </c>
      <c r="P980" s="3">
        <f t="shared" si="77"/>
        <v>5475.84</v>
      </c>
      <c r="Q980" s="3">
        <f t="shared" si="78"/>
        <v>2714.16</v>
      </c>
      <c r="R980" s="4">
        <f t="shared" si="79"/>
        <v>0.33139999999999997</v>
      </c>
      <c r="S980" s="2">
        <v>12</v>
      </c>
      <c r="T980" t="s">
        <v>30</v>
      </c>
      <c r="U980">
        <v>4</v>
      </c>
    </row>
    <row r="981" spans="1:22" x14ac:dyDescent="0.25">
      <c r="A981" s="1">
        <v>46221</v>
      </c>
      <c r="B981" t="s">
        <v>1176</v>
      </c>
      <c r="C981" t="s">
        <v>214</v>
      </c>
      <c r="D981" t="s">
        <v>43</v>
      </c>
      <c r="E981" t="s">
        <v>25</v>
      </c>
      <c r="F981" t="s">
        <v>58</v>
      </c>
      <c r="G981" t="s">
        <v>27</v>
      </c>
      <c r="H981" t="s">
        <v>68</v>
      </c>
      <c r="I981" t="s">
        <v>74</v>
      </c>
      <c r="J981" s="2">
        <v>7</v>
      </c>
      <c r="K981" s="3">
        <v>1364.74</v>
      </c>
      <c r="L981" s="3">
        <v>818.82</v>
      </c>
      <c r="M981" s="4">
        <v>3.5000000000000003E-2</v>
      </c>
      <c r="N981" s="3">
        <f t="shared" si="75"/>
        <v>9553.18</v>
      </c>
      <c r="O981" s="3">
        <f t="shared" si="76"/>
        <v>9218.82</v>
      </c>
      <c r="P981" s="3">
        <f t="shared" si="77"/>
        <v>5731.74</v>
      </c>
      <c r="Q981" s="3">
        <f t="shared" si="78"/>
        <v>3487.08</v>
      </c>
      <c r="R981" s="4">
        <f t="shared" si="79"/>
        <v>0.37830000000000003</v>
      </c>
      <c r="S981" s="2">
        <v>2</v>
      </c>
      <c r="T981" t="s">
        <v>46</v>
      </c>
      <c r="U981">
        <v>2</v>
      </c>
    </row>
    <row r="982" spans="1:22" x14ac:dyDescent="0.25">
      <c r="A982" s="1">
        <v>46188</v>
      </c>
      <c r="B982" t="s">
        <v>1177</v>
      </c>
      <c r="C982" t="s">
        <v>170</v>
      </c>
      <c r="D982" t="s">
        <v>113</v>
      </c>
      <c r="E982" t="s">
        <v>50</v>
      </c>
      <c r="F982" t="s">
        <v>58</v>
      </c>
      <c r="G982" t="s">
        <v>44</v>
      </c>
      <c r="H982" t="s">
        <v>124</v>
      </c>
      <c r="I982" t="s">
        <v>39</v>
      </c>
      <c r="J982" s="2">
        <v>8</v>
      </c>
      <c r="K982" s="3">
        <v>5538.09</v>
      </c>
      <c r="L982" s="3">
        <v>4225.1000000000004</v>
      </c>
      <c r="M982" s="4">
        <v>7.2499999999999995E-2</v>
      </c>
      <c r="N982" s="3">
        <f t="shared" si="75"/>
        <v>44304.72</v>
      </c>
      <c r="O982" s="3">
        <f t="shared" si="76"/>
        <v>41092.629999999997</v>
      </c>
      <c r="P982" s="3">
        <f t="shared" si="77"/>
        <v>33800.800000000003</v>
      </c>
      <c r="Q982" s="3">
        <f t="shared" si="78"/>
        <v>7291.83</v>
      </c>
      <c r="R982" s="4">
        <f t="shared" si="79"/>
        <v>0.1774</v>
      </c>
      <c r="S982" s="2">
        <v>12</v>
      </c>
      <c r="T982" t="s">
        <v>30</v>
      </c>
      <c r="U982">
        <v>4</v>
      </c>
    </row>
    <row r="983" spans="1:22" x14ac:dyDescent="0.25">
      <c r="A983" s="1">
        <v>46208</v>
      </c>
      <c r="B983" t="s">
        <v>1178</v>
      </c>
      <c r="C983" t="s">
        <v>108</v>
      </c>
      <c r="D983" t="s">
        <v>130</v>
      </c>
      <c r="E983" t="s">
        <v>72</v>
      </c>
      <c r="F983" t="s">
        <v>58</v>
      </c>
      <c r="G983" t="s">
        <v>27</v>
      </c>
      <c r="H983" t="s">
        <v>86</v>
      </c>
      <c r="I983" t="s">
        <v>29</v>
      </c>
      <c r="J983" s="2">
        <v>2</v>
      </c>
      <c r="K983" s="3">
        <v>1900.31</v>
      </c>
      <c r="L983" s="3">
        <v>1243.46</v>
      </c>
      <c r="M983" s="4">
        <v>0.15290000000000001</v>
      </c>
      <c r="N983" s="3">
        <f t="shared" si="75"/>
        <v>3800.62</v>
      </c>
      <c r="O983" s="3">
        <f t="shared" si="76"/>
        <v>3219.51</v>
      </c>
      <c r="P983" s="3">
        <f t="shared" si="77"/>
        <v>2486.92</v>
      </c>
      <c r="Q983" s="3">
        <f t="shared" si="78"/>
        <v>732.59</v>
      </c>
      <c r="R983" s="4">
        <f t="shared" si="79"/>
        <v>0.22750000000000001</v>
      </c>
      <c r="S983" s="2">
        <v>2</v>
      </c>
      <c r="T983" t="s">
        <v>46</v>
      </c>
      <c r="U983">
        <v>5</v>
      </c>
    </row>
    <row r="984" spans="1:22" x14ac:dyDescent="0.25">
      <c r="A984" s="1">
        <v>46164</v>
      </c>
      <c r="B984" t="s">
        <v>1179</v>
      </c>
      <c r="C984" t="s">
        <v>243</v>
      </c>
      <c r="D984" t="s">
        <v>49</v>
      </c>
      <c r="E984" t="s">
        <v>50</v>
      </c>
      <c r="F984" t="s">
        <v>64</v>
      </c>
      <c r="G984" t="s">
        <v>44</v>
      </c>
      <c r="H984" t="s">
        <v>124</v>
      </c>
      <c r="I984" t="s">
        <v>29</v>
      </c>
      <c r="J984" s="2">
        <v>7</v>
      </c>
      <c r="K984" s="3">
        <v>5948.34</v>
      </c>
      <c r="L984" s="3">
        <v>4489.5</v>
      </c>
      <c r="M984" s="4">
        <v>8.8599999999999998E-2</v>
      </c>
      <c r="N984" s="3">
        <f t="shared" si="75"/>
        <v>41638.379999999997</v>
      </c>
      <c r="O984" s="3">
        <f t="shared" si="76"/>
        <v>37949.22</v>
      </c>
      <c r="P984" s="3">
        <f t="shared" si="77"/>
        <v>31426.5</v>
      </c>
      <c r="Q984" s="3">
        <f t="shared" si="78"/>
        <v>6522.72</v>
      </c>
      <c r="R984" s="4">
        <f t="shared" si="79"/>
        <v>0.1719</v>
      </c>
      <c r="S984" s="2">
        <v>6</v>
      </c>
      <c r="T984" t="s">
        <v>46</v>
      </c>
      <c r="U984">
        <v>4</v>
      </c>
    </row>
    <row r="985" spans="1:22" x14ac:dyDescent="0.25">
      <c r="A985" s="1">
        <v>46121</v>
      </c>
      <c r="B985" t="s">
        <v>1180</v>
      </c>
      <c r="C985" t="s">
        <v>146</v>
      </c>
      <c r="D985" t="s">
        <v>34</v>
      </c>
      <c r="E985" t="s">
        <v>35</v>
      </c>
      <c r="F985" t="s">
        <v>64</v>
      </c>
      <c r="G985" t="s">
        <v>44</v>
      </c>
      <c r="H985" t="s">
        <v>45</v>
      </c>
      <c r="I985" t="s">
        <v>29</v>
      </c>
      <c r="J985" s="2">
        <v>5</v>
      </c>
      <c r="K985" s="3">
        <v>399.02</v>
      </c>
      <c r="L985" s="3">
        <v>203.4</v>
      </c>
      <c r="M985" s="4">
        <v>3.2199999999999999E-2</v>
      </c>
      <c r="N985" s="3">
        <f t="shared" si="75"/>
        <v>1995.1</v>
      </c>
      <c r="O985" s="3">
        <f t="shared" si="76"/>
        <v>1930.86</v>
      </c>
      <c r="P985" s="3">
        <f t="shared" si="77"/>
        <v>1017</v>
      </c>
      <c r="Q985" s="3">
        <f t="shared" si="78"/>
        <v>913.86</v>
      </c>
      <c r="R985" s="4">
        <f t="shared" si="79"/>
        <v>0.4733</v>
      </c>
      <c r="S985" s="2">
        <v>7</v>
      </c>
      <c r="T985" t="s">
        <v>46</v>
      </c>
      <c r="U985">
        <v>4</v>
      </c>
    </row>
    <row r="986" spans="1:22" x14ac:dyDescent="0.25">
      <c r="A986" s="1">
        <v>46056</v>
      </c>
      <c r="B986" t="s">
        <v>1181</v>
      </c>
      <c r="C986" t="s">
        <v>235</v>
      </c>
      <c r="D986" t="s">
        <v>121</v>
      </c>
      <c r="E986" t="s">
        <v>72</v>
      </c>
      <c r="F986" t="s">
        <v>26</v>
      </c>
      <c r="G986" t="s">
        <v>37</v>
      </c>
      <c r="H986" t="s">
        <v>178</v>
      </c>
      <c r="I986" t="s">
        <v>29</v>
      </c>
      <c r="J986" s="2">
        <v>3</v>
      </c>
      <c r="K986" s="3">
        <v>532.88</v>
      </c>
      <c r="L986" s="3">
        <v>243.33</v>
      </c>
      <c r="M986" s="4">
        <v>6.5000000000000002E-2</v>
      </c>
      <c r="N986" s="3">
        <f t="shared" si="75"/>
        <v>1598.64</v>
      </c>
      <c r="O986" s="3">
        <f t="shared" si="76"/>
        <v>1494.73</v>
      </c>
      <c r="P986" s="3">
        <f t="shared" si="77"/>
        <v>729.99</v>
      </c>
      <c r="Q986" s="3">
        <f t="shared" si="78"/>
        <v>764.74</v>
      </c>
      <c r="R986" s="4">
        <f t="shared" si="79"/>
        <v>0.51160000000000005</v>
      </c>
      <c r="S986" s="2">
        <v>13</v>
      </c>
      <c r="T986" t="s">
        <v>30</v>
      </c>
      <c r="U986">
        <v>5</v>
      </c>
    </row>
    <row r="987" spans="1:22" x14ac:dyDescent="0.25">
      <c r="A987" s="1">
        <v>46103</v>
      </c>
      <c r="B987" t="s">
        <v>1182</v>
      </c>
      <c r="C987" t="s">
        <v>144</v>
      </c>
      <c r="D987" t="s">
        <v>113</v>
      </c>
      <c r="E987" t="s">
        <v>50</v>
      </c>
      <c r="F987" t="s">
        <v>36</v>
      </c>
      <c r="G987" t="s">
        <v>37</v>
      </c>
      <c r="H987" t="s">
        <v>104</v>
      </c>
      <c r="I987" t="s">
        <v>77</v>
      </c>
      <c r="J987" s="2">
        <v>3</v>
      </c>
      <c r="K987" s="3">
        <v>333.6</v>
      </c>
      <c r="L987" s="3">
        <v>130.59</v>
      </c>
      <c r="M987" s="4">
        <v>0.38840000000000002</v>
      </c>
      <c r="N987" s="3">
        <f t="shared" si="75"/>
        <v>1000.8</v>
      </c>
      <c r="O987" s="3">
        <f t="shared" si="76"/>
        <v>612.09</v>
      </c>
      <c r="P987" s="3">
        <f t="shared" si="77"/>
        <v>391.77</v>
      </c>
      <c r="Q987" s="3">
        <f t="shared" si="78"/>
        <v>220.32</v>
      </c>
      <c r="R987" s="4">
        <f t="shared" si="79"/>
        <v>0.3599</v>
      </c>
      <c r="S987" s="2">
        <v>2</v>
      </c>
      <c r="T987" t="s">
        <v>46</v>
      </c>
      <c r="U987">
        <v>4</v>
      </c>
      <c r="V987" t="s">
        <v>31</v>
      </c>
    </row>
    <row r="988" spans="1:22" x14ac:dyDescent="0.25">
      <c r="A988" s="1">
        <v>46162</v>
      </c>
      <c r="B988" t="s">
        <v>1183</v>
      </c>
      <c r="C988" t="s">
        <v>476</v>
      </c>
      <c r="D988" t="s">
        <v>126</v>
      </c>
      <c r="E988" t="s">
        <v>57</v>
      </c>
      <c r="F988" t="s">
        <v>64</v>
      </c>
      <c r="G988" t="s">
        <v>51</v>
      </c>
      <c r="H988" t="s">
        <v>52</v>
      </c>
      <c r="I988" t="s">
        <v>60</v>
      </c>
      <c r="J988" s="2">
        <v>6</v>
      </c>
      <c r="K988" s="3">
        <v>269.5</v>
      </c>
      <c r="L988" s="3">
        <v>122.82</v>
      </c>
      <c r="M988" s="4">
        <v>0</v>
      </c>
      <c r="N988" s="3">
        <f t="shared" si="75"/>
        <v>1617</v>
      </c>
      <c r="O988" s="3">
        <f t="shared" si="76"/>
        <v>1617</v>
      </c>
      <c r="P988" s="3">
        <f t="shared" si="77"/>
        <v>736.92</v>
      </c>
      <c r="Q988" s="3">
        <f t="shared" si="78"/>
        <v>880.08</v>
      </c>
      <c r="R988" s="4">
        <f t="shared" si="79"/>
        <v>0.54430000000000001</v>
      </c>
      <c r="S988" s="2">
        <v>12</v>
      </c>
      <c r="T988" t="s">
        <v>30</v>
      </c>
      <c r="U988">
        <v>5</v>
      </c>
    </row>
    <row r="989" spans="1:22" x14ac:dyDescent="0.25">
      <c r="A989" s="1">
        <v>46166</v>
      </c>
      <c r="B989" t="s">
        <v>1184</v>
      </c>
      <c r="C989" t="s">
        <v>132</v>
      </c>
      <c r="D989" t="s">
        <v>121</v>
      </c>
      <c r="E989" t="s">
        <v>72</v>
      </c>
      <c r="F989" t="s">
        <v>58</v>
      </c>
      <c r="G989" t="s">
        <v>27</v>
      </c>
      <c r="H989" t="s">
        <v>28</v>
      </c>
      <c r="I989" t="s">
        <v>39</v>
      </c>
      <c r="J989" s="2">
        <v>2</v>
      </c>
      <c r="K989" s="3">
        <v>770.04</v>
      </c>
      <c r="L989" s="3">
        <v>481.45</v>
      </c>
      <c r="M989" s="4">
        <v>3.5000000000000003E-2</v>
      </c>
      <c r="N989" s="3">
        <f t="shared" si="75"/>
        <v>1540.08</v>
      </c>
      <c r="O989" s="3">
        <f t="shared" si="76"/>
        <v>1486.18</v>
      </c>
      <c r="P989" s="3">
        <f t="shared" si="77"/>
        <v>962.9</v>
      </c>
      <c r="Q989" s="3">
        <f t="shared" si="78"/>
        <v>523.28</v>
      </c>
      <c r="R989" s="4">
        <f t="shared" si="79"/>
        <v>0.35210000000000002</v>
      </c>
      <c r="S989" s="2">
        <v>10</v>
      </c>
      <c r="T989" t="s">
        <v>46</v>
      </c>
      <c r="U989">
        <v>4</v>
      </c>
    </row>
    <row r="990" spans="1:22" x14ac:dyDescent="0.25">
      <c r="A990" s="1">
        <v>46156</v>
      </c>
      <c r="B990" t="s">
        <v>1185</v>
      </c>
      <c r="C990" t="s">
        <v>294</v>
      </c>
      <c r="D990" t="s">
        <v>126</v>
      </c>
      <c r="E990" t="s">
        <v>57</v>
      </c>
      <c r="F990" t="s">
        <v>36</v>
      </c>
      <c r="G990" t="s">
        <v>44</v>
      </c>
      <c r="H990" t="s">
        <v>73</v>
      </c>
      <c r="I990" t="s">
        <v>53</v>
      </c>
      <c r="J990" s="2">
        <v>2</v>
      </c>
      <c r="K990" s="3">
        <v>1648.83</v>
      </c>
      <c r="L990" s="3">
        <v>1058.8499999999999</v>
      </c>
      <c r="M990" s="4">
        <v>7.2800000000000004E-2</v>
      </c>
      <c r="N990" s="3">
        <f t="shared" si="75"/>
        <v>3297.66</v>
      </c>
      <c r="O990" s="3">
        <f t="shared" si="76"/>
        <v>3057.59</v>
      </c>
      <c r="P990" s="3">
        <f t="shared" si="77"/>
        <v>2117.6999999999998</v>
      </c>
      <c r="Q990" s="3">
        <f t="shared" si="78"/>
        <v>939.89</v>
      </c>
      <c r="R990" s="4">
        <f t="shared" si="79"/>
        <v>0.30740000000000001</v>
      </c>
      <c r="S990" s="2">
        <v>9</v>
      </c>
      <c r="T990" t="s">
        <v>46</v>
      </c>
      <c r="U990">
        <v>3</v>
      </c>
    </row>
    <row r="991" spans="1:22" x14ac:dyDescent="0.25">
      <c r="A991" s="1">
        <v>46228</v>
      </c>
      <c r="B991" t="s">
        <v>1186</v>
      </c>
      <c r="C991" t="s">
        <v>240</v>
      </c>
      <c r="D991" t="s">
        <v>101</v>
      </c>
      <c r="E991" t="s">
        <v>35</v>
      </c>
      <c r="F991" t="s">
        <v>26</v>
      </c>
      <c r="G991" t="s">
        <v>44</v>
      </c>
      <c r="H991" t="s">
        <v>124</v>
      </c>
      <c r="I991" t="s">
        <v>74</v>
      </c>
      <c r="J991" s="2">
        <v>7</v>
      </c>
      <c r="K991" s="3">
        <v>5669.18</v>
      </c>
      <c r="L991" s="3">
        <v>4429.59</v>
      </c>
      <c r="M991" s="4">
        <v>0.1114</v>
      </c>
      <c r="N991" s="3">
        <f t="shared" si="75"/>
        <v>39684.26</v>
      </c>
      <c r="O991" s="3">
        <f t="shared" si="76"/>
        <v>35263.43</v>
      </c>
      <c r="P991" s="3">
        <f t="shared" si="77"/>
        <v>31007.13</v>
      </c>
      <c r="Q991" s="3">
        <f t="shared" si="78"/>
        <v>4256.3</v>
      </c>
      <c r="R991" s="4">
        <f t="shared" si="79"/>
        <v>0.1207</v>
      </c>
      <c r="S991" s="2">
        <v>9</v>
      </c>
      <c r="T991" t="s">
        <v>46</v>
      </c>
      <c r="U991">
        <v>2</v>
      </c>
    </row>
    <row r="992" spans="1:22" x14ac:dyDescent="0.25">
      <c r="A992" s="1">
        <v>46033</v>
      </c>
      <c r="B992" t="s">
        <v>1187</v>
      </c>
      <c r="C992" t="s">
        <v>162</v>
      </c>
      <c r="D992" t="s">
        <v>49</v>
      </c>
      <c r="E992" t="s">
        <v>50</v>
      </c>
      <c r="F992" t="s">
        <v>64</v>
      </c>
      <c r="G992" t="s">
        <v>51</v>
      </c>
      <c r="H992" t="s">
        <v>116</v>
      </c>
      <c r="I992" t="s">
        <v>29</v>
      </c>
      <c r="J992" s="2">
        <v>5</v>
      </c>
      <c r="K992" s="3">
        <v>2704.72</v>
      </c>
      <c r="L992" s="3">
        <v>1790.98</v>
      </c>
      <c r="M992" s="4">
        <v>0.1202</v>
      </c>
      <c r="N992" s="3">
        <f t="shared" si="75"/>
        <v>13523.6</v>
      </c>
      <c r="O992" s="3">
        <f t="shared" si="76"/>
        <v>11898.06</v>
      </c>
      <c r="P992" s="3">
        <f t="shared" si="77"/>
        <v>8954.9</v>
      </c>
      <c r="Q992" s="3">
        <f t="shared" si="78"/>
        <v>2943.16</v>
      </c>
      <c r="R992" s="4">
        <f t="shared" si="79"/>
        <v>0.24740000000000001</v>
      </c>
      <c r="S992" s="2">
        <v>13</v>
      </c>
      <c r="T992" t="s">
        <v>30</v>
      </c>
      <c r="U992">
        <v>3</v>
      </c>
    </row>
    <row r="993" spans="1:21" x14ac:dyDescent="0.25">
      <c r="A993" s="1">
        <v>46110</v>
      </c>
      <c r="B993" t="s">
        <v>1188</v>
      </c>
      <c r="C993" t="s">
        <v>464</v>
      </c>
      <c r="D993" t="s">
        <v>34</v>
      </c>
      <c r="E993" t="s">
        <v>35</v>
      </c>
      <c r="F993" t="s">
        <v>26</v>
      </c>
      <c r="G993" t="s">
        <v>51</v>
      </c>
      <c r="H993" t="s">
        <v>116</v>
      </c>
      <c r="I993" t="s">
        <v>74</v>
      </c>
      <c r="J993" s="2">
        <v>6</v>
      </c>
      <c r="K993" s="3">
        <v>2735.92</v>
      </c>
      <c r="L993" s="3">
        <v>1841.22</v>
      </c>
      <c r="M993" s="4">
        <v>6.0100000000000001E-2</v>
      </c>
      <c r="N993" s="3">
        <f t="shared" si="75"/>
        <v>16415.52</v>
      </c>
      <c r="O993" s="3">
        <f t="shared" si="76"/>
        <v>15428.95</v>
      </c>
      <c r="P993" s="3">
        <f t="shared" si="77"/>
        <v>11047.32</v>
      </c>
      <c r="Q993" s="3">
        <f t="shared" si="78"/>
        <v>4381.63</v>
      </c>
      <c r="R993" s="4">
        <f t="shared" si="79"/>
        <v>0.28399999999999997</v>
      </c>
      <c r="S993" s="2">
        <v>12</v>
      </c>
      <c r="T993" t="s">
        <v>30</v>
      </c>
      <c r="U993">
        <v>3</v>
      </c>
    </row>
    <row r="994" spans="1:21" x14ac:dyDescent="0.25">
      <c r="A994" s="1">
        <v>46191</v>
      </c>
      <c r="B994" t="s">
        <v>1189</v>
      </c>
      <c r="C994" t="s">
        <v>216</v>
      </c>
      <c r="D994" t="s">
        <v>71</v>
      </c>
      <c r="E994" t="s">
        <v>72</v>
      </c>
      <c r="F994" t="s">
        <v>64</v>
      </c>
      <c r="G994" t="s">
        <v>27</v>
      </c>
      <c r="H994" t="s">
        <v>28</v>
      </c>
      <c r="I994" t="s">
        <v>94</v>
      </c>
      <c r="J994" s="2">
        <v>7</v>
      </c>
      <c r="K994" s="3">
        <v>749.61</v>
      </c>
      <c r="L994" s="3">
        <v>461.4</v>
      </c>
      <c r="M994" s="4">
        <v>0</v>
      </c>
      <c r="N994" s="3">
        <f t="shared" si="75"/>
        <v>5247.27</v>
      </c>
      <c r="O994" s="3">
        <f t="shared" si="76"/>
        <v>5247.27</v>
      </c>
      <c r="P994" s="3">
        <f t="shared" si="77"/>
        <v>3229.8</v>
      </c>
      <c r="Q994" s="3">
        <f t="shared" si="78"/>
        <v>2017.47</v>
      </c>
      <c r="R994" s="4">
        <f t="shared" si="79"/>
        <v>0.38450000000000001</v>
      </c>
      <c r="S994" s="2">
        <v>6</v>
      </c>
      <c r="T994" t="s">
        <v>46</v>
      </c>
      <c r="U994">
        <v>3</v>
      </c>
    </row>
    <row r="995" spans="1:21" x14ac:dyDescent="0.25">
      <c r="A995" s="1">
        <v>46087</v>
      </c>
      <c r="B995" t="s">
        <v>1190</v>
      </c>
      <c r="C995" t="s">
        <v>187</v>
      </c>
      <c r="D995" t="s">
        <v>126</v>
      </c>
      <c r="E995" t="s">
        <v>57</v>
      </c>
      <c r="F995" t="s">
        <v>26</v>
      </c>
      <c r="G995" t="s">
        <v>51</v>
      </c>
      <c r="H995" t="s">
        <v>52</v>
      </c>
      <c r="I995" t="s">
        <v>94</v>
      </c>
      <c r="J995" s="2">
        <v>6</v>
      </c>
      <c r="K995" s="3">
        <v>258.55</v>
      </c>
      <c r="L995" s="3">
        <v>120.84</v>
      </c>
      <c r="M995" s="4">
        <v>4.3700000000000003E-2</v>
      </c>
      <c r="N995" s="3">
        <f t="shared" si="75"/>
        <v>1551.3</v>
      </c>
      <c r="O995" s="3">
        <f t="shared" si="76"/>
        <v>1483.51</v>
      </c>
      <c r="P995" s="3">
        <f t="shared" si="77"/>
        <v>725.04</v>
      </c>
      <c r="Q995" s="3">
        <f t="shared" si="78"/>
        <v>758.47</v>
      </c>
      <c r="R995" s="4">
        <f t="shared" si="79"/>
        <v>0.51129999999999998</v>
      </c>
      <c r="S995" s="2">
        <v>12</v>
      </c>
      <c r="T995" t="s">
        <v>30</v>
      </c>
      <c r="U995">
        <v>3</v>
      </c>
    </row>
    <row r="996" spans="1:21" x14ac:dyDescent="0.25">
      <c r="A996" s="1">
        <v>46135</v>
      </c>
      <c r="B996" t="s">
        <v>1191</v>
      </c>
      <c r="C996" t="s">
        <v>162</v>
      </c>
      <c r="D996" t="s">
        <v>24</v>
      </c>
      <c r="E996" t="s">
        <v>25</v>
      </c>
      <c r="F996" t="s">
        <v>64</v>
      </c>
      <c r="G996" t="s">
        <v>51</v>
      </c>
      <c r="H996" t="s">
        <v>52</v>
      </c>
      <c r="I996" t="s">
        <v>94</v>
      </c>
      <c r="J996" s="2">
        <v>1</v>
      </c>
      <c r="K996" s="3">
        <v>254.81</v>
      </c>
      <c r="L996" s="3">
        <v>124.38</v>
      </c>
      <c r="M996" s="4">
        <v>3.3599999999999998E-2</v>
      </c>
      <c r="N996" s="3">
        <f t="shared" si="75"/>
        <v>254.81</v>
      </c>
      <c r="O996" s="3">
        <f t="shared" si="76"/>
        <v>246.25</v>
      </c>
      <c r="P996" s="3">
        <f t="shared" si="77"/>
        <v>124.38</v>
      </c>
      <c r="Q996" s="3">
        <f t="shared" si="78"/>
        <v>121.87</v>
      </c>
      <c r="R996" s="4">
        <f t="shared" si="79"/>
        <v>0.49490000000000001</v>
      </c>
      <c r="S996" s="2">
        <v>8</v>
      </c>
      <c r="T996" t="s">
        <v>46</v>
      </c>
      <c r="U996">
        <v>5</v>
      </c>
    </row>
    <row r="997" spans="1:21" x14ac:dyDescent="0.25">
      <c r="A997" s="1">
        <v>46169</v>
      </c>
      <c r="B997" t="s">
        <v>1192</v>
      </c>
      <c r="C997" t="s">
        <v>214</v>
      </c>
      <c r="D997" t="s">
        <v>113</v>
      </c>
      <c r="E997" t="s">
        <v>50</v>
      </c>
      <c r="F997" t="s">
        <v>58</v>
      </c>
      <c r="G997" t="s">
        <v>37</v>
      </c>
      <c r="H997" t="s">
        <v>178</v>
      </c>
      <c r="I997" t="s">
        <v>92</v>
      </c>
      <c r="J997" s="2">
        <v>7</v>
      </c>
      <c r="K997" s="3">
        <v>525.19000000000005</v>
      </c>
      <c r="L997" s="3">
        <v>243.12</v>
      </c>
      <c r="M997" s="4">
        <v>3.5000000000000003E-2</v>
      </c>
      <c r="N997" s="3">
        <f t="shared" si="75"/>
        <v>3676.33</v>
      </c>
      <c r="O997" s="3">
        <f t="shared" si="76"/>
        <v>3547.66</v>
      </c>
      <c r="P997" s="3">
        <f t="shared" si="77"/>
        <v>1701.84</v>
      </c>
      <c r="Q997" s="3">
        <f t="shared" si="78"/>
        <v>1845.82</v>
      </c>
      <c r="R997" s="4">
        <f t="shared" si="79"/>
        <v>0.52029999999999998</v>
      </c>
      <c r="S997" s="2">
        <v>10</v>
      </c>
      <c r="T997" t="s">
        <v>46</v>
      </c>
      <c r="U997">
        <v>5</v>
      </c>
    </row>
    <row r="998" spans="1:21" x14ac:dyDescent="0.25">
      <c r="A998" s="1">
        <v>46202</v>
      </c>
      <c r="B998" t="s">
        <v>1193</v>
      </c>
      <c r="C998" t="s">
        <v>166</v>
      </c>
      <c r="D998" t="s">
        <v>63</v>
      </c>
      <c r="E998" t="s">
        <v>35</v>
      </c>
      <c r="F998" t="s">
        <v>64</v>
      </c>
      <c r="G998" t="s">
        <v>51</v>
      </c>
      <c r="H998" t="s">
        <v>116</v>
      </c>
      <c r="I998" t="s">
        <v>39</v>
      </c>
      <c r="J998" s="2">
        <v>5</v>
      </c>
      <c r="K998" s="3">
        <v>2643.32</v>
      </c>
      <c r="L998" s="3">
        <v>1758.71</v>
      </c>
      <c r="M998" s="4">
        <v>0</v>
      </c>
      <c r="N998" s="3">
        <f t="shared" si="75"/>
        <v>13216.6</v>
      </c>
      <c r="O998" s="3">
        <f t="shared" si="76"/>
        <v>13216.6</v>
      </c>
      <c r="P998" s="3">
        <f t="shared" si="77"/>
        <v>8793.5499999999993</v>
      </c>
      <c r="Q998" s="3">
        <f t="shared" si="78"/>
        <v>4423.05</v>
      </c>
      <c r="R998" s="4">
        <f t="shared" si="79"/>
        <v>0.3347</v>
      </c>
      <c r="S998" s="2">
        <v>9</v>
      </c>
      <c r="T998" t="s">
        <v>46</v>
      </c>
      <c r="U998">
        <v>2</v>
      </c>
    </row>
    <row r="999" spans="1:21" x14ac:dyDescent="0.25">
      <c r="A999" s="1">
        <v>46160</v>
      </c>
      <c r="B999" t="s">
        <v>1194</v>
      </c>
      <c r="C999" t="s">
        <v>195</v>
      </c>
      <c r="D999" t="s">
        <v>207</v>
      </c>
      <c r="E999" t="s">
        <v>35</v>
      </c>
      <c r="F999" t="s">
        <v>26</v>
      </c>
      <c r="G999" t="s">
        <v>37</v>
      </c>
      <c r="H999" t="s">
        <v>38</v>
      </c>
      <c r="I999" t="s">
        <v>87</v>
      </c>
      <c r="J999" s="2">
        <v>6</v>
      </c>
      <c r="K999" s="3">
        <v>438.23</v>
      </c>
      <c r="L999" s="3">
        <v>186.83</v>
      </c>
      <c r="M999" s="4">
        <v>0</v>
      </c>
      <c r="N999" s="3">
        <f t="shared" si="75"/>
        <v>2629.38</v>
      </c>
      <c r="O999" s="3">
        <f t="shared" si="76"/>
        <v>2629.38</v>
      </c>
      <c r="P999" s="3">
        <f t="shared" si="77"/>
        <v>1120.98</v>
      </c>
      <c r="Q999" s="3">
        <f t="shared" si="78"/>
        <v>1508.4</v>
      </c>
      <c r="R999" s="4">
        <f t="shared" si="79"/>
        <v>0.57369999999999999</v>
      </c>
      <c r="S999" s="2">
        <v>11</v>
      </c>
      <c r="T999" t="s">
        <v>30</v>
      </c>
      <c r="U999">
        <v>4</v>
      </c>
    </row>
    <row r="1000" spans="1:21" x14ac:dyDescent="0.25">
      <c r="A1000" s="1">
        <v>46164</v>
      </c>
      <c r="B1000" t="s">
        <v>1195</v>
      </c>
      <c r="C1000" t="s">
        <v>284</v>
      </c>
      <c r="D1000" t="s">
        <v>56</v>
      </c>
      <c r="E1000" t="s">
        <v>57</v>
      </c>
      <c r="F1000" t="s">
        <v>26</v>
      </c>
      <c r="G1000" t="s">
        <v>27</v>
      </c>
      <c r="H1000" t="s">
        <v>68</v>
      </c>
      <c r="I1000" t="s">
        <v>39</v>
      </c>
      <c r="J1000" s="2">
        <v>3</v>
      </c>
      <c r="K1000" s="3">
        <v>1277.18</v>
      </c>
      <c r="L1000" s="3">
        <v>763.53</v>
      </c>
      <c r="M1000" s="4">
        <v>5.8599999999999999E-2</v>
      </c>
      <c r="N1000" s="3">
        <f t="shared" si="75"/>
        <v>3831.54</v>
      </c>
      <c r="O1000" s="3">
        <f t="shared" si="76"/>
        <v>3607.01</v>
      </c>
      <c r="P1000" s="3">
        <f t="shared" si="77"/>
        <v>2290.59</v>
      </c>
      <c r="Q1000" s="3">
        <f t="shared" si="78"/>
        <v>1316.42</v>
      </c>
      <c r="R1000" s="4">
        <f t="shared" si="79"/>
        <v>0.36499999999999999</v>
      </c>
      <c r="S1000" s="2">
        <v>11</v>
      </c>
      <c r="T1000" t="s">
        <v>30</v>
      </c>
      <c r="U1000">
        <v>5</v>
      </c>
    </row>
    <row r="1001" spans="1:21" x14ac:dyDescent="0.25">
      <c r="A1001" s="1">
        <v>46117</v>
      </c>
      <c r="B1001" t="s">
        <v>1196</v>
      </c>
      <c r="C1001" t="s">
        <v>336</v>
      </c>
      <c r="D1001" t="s">
        <v>71</v>
      </c>
      <c r="E1001" t="s">
        <v>72</v>
      </c>
      <c r="F1001" t="s">
        <v>36</v>
      </c>
      <c r="G1001" t="s">
        <v>44</v>
      </c>
      <c r="H1001" t="s">
        <v>45</v>
      </c>
      <c r="I1001" t="s">
        <v>94</v>
      </c>
      <c r="J1001" s="2">
        <v>3</v>
      </c>
      <c r="K1001" s="3">
        <v>367.15</v>
      </c>
      <c r="L1001" s="3">
        <v>209.38</v>
      </c>
      <c r="M1001" s="4">
        <v>0.1133</v>
      </c>
      <c r="N1001" s="3">
        <f t="shared" si="75"/>
        <v>1101.45</v>
      </c>
      <c r="O1001" s="3">
        <f t="shared" si="76"/>
        <v>976.66</v>
      </c>
      <c r="P1001" s="3">
        <f t="shared" si="77"/>
        <v>628.14</v>
      </c>
      <c r="Q1001" s="3">
        <f t="shared" si="78"/>
        <v>348.52</v>
      </c>
      <c r="R1001" s="4">
        <f t="shared" si="79"/>
        <v>0.35680000000000001</v>
      </c>
      <c r="S1001" s="2">
        <v>5</v>
      </c>
      <c r="T1001" t="s">
        <v>46</v>
      </c>
      <c r="U1001">
        <v>4</v>
      </c>
    </row>
    <row r="1002" spans="1:21" x14ac:dyDescent="0.25">
      <c r="A1002" s="1">
        <v>46119</v>
      </c>
      <c r="B1002" t="s">
        <v>1197</v>
      </c>
      <c r="C1002" t="s">
        <v>150</v>
      </c>
      <c r="D1002" t="s">
        <v>101</v>
      </c>
      <c r="E1002" t="s">
        <v>35</v>
      </c>
      <c r="F1002" t="s">
        <v>26</v>
      </c>
      <c r="G1002" t="s">
        <v>51</v>
      </c>
      <c r="H1002" t="s">
        <v>59</v>
      </c>
      <c r="I1002" t="s">
        <v>53</v>
      </c>
      <c r="J1002" s="2">
        <v>6</v>
      </c>
      <c r="K1002" s="3">
        <v>2311.2199999999998</v>
      </c>
      <c r="L1002" s="3">
        <v>1468.41</v>
      </c>
      <c r="M1002" s="4">
        <v>0</v>
      </c>
      <c r="N1002" s="3">
        <f t="shared" si="75"/>
        <v>13867.32</v>
      </c>
      <c r="O1002" s="3">
        <f t="shared" si="76"/>
        <v>13867.32</v>
      </c>
      <c r="P1002" s="3">
        <f t="shared" si="77"/>
        <v>8810.4599999999991</v>
      </c>
      <c r="Q1002" s="3">
        <f t="shared" si="78"/>
        <v>5056.8599999999997</v>
      </c>
      <c r="R1002" s="4">
        <f t="shared" si="79"/>
        <v>0.36470000000000002</v>
      </c>
      <c r="S1002" s="2">
        <v>10</v>
      </c>
      <c r="T1002" t="s">
        <v>40</v>
      </c>
    </row>
    <row r="1003" spans="1:21" x14ac:dyDescent="0.25">
      <c r="A1003" s="1">
        <v>46131</v>
      </c>
      <c r="B1003" t="s">
        <v>1198</v>
      </c>
      <c r="C1003" t="s">
        <v>384</v>
      </c>
      <c r="D1003" t="s">
        <v>126</v>
      </c>
      <c r="E1003" t="s">
        <v>57</v>
      </c>
      <c r="F1003" t="s">
        <v>58</v>
      </c>
      <c r="G1003" t="s">
        <v>44</v>
      </c>
      <c r="H1003" t="s">
        <v>45</v>
      </c>
      <c r="I1003" t="s">
        <v>94</v>
      </c>
      <c r="J1003" s="2">
        <v>4</v>
      </c>
      <c r="K1003" s="3">
        <v>406.96</v>
      </c>
      <c r="L1003" s="3">
        <v>202.39</v>
      </c>
      <c r="M1003" s="4">
        <v>0.1348</v>
      </c>
      <c r="N1003" s="3">
        <f t="shared" si="75"/>
        <v>1627.84</v>
      </c>
      <c r="O1003" s="3">
        <f t="shared" si="76"/>
        <v>1408.41</v>
      </c>
      <c r="P1003" s="3">
        <f t="shared" si="77"/>
        <v>809.56</v>
      </c>
      <c r="Q1003" s="3">
        <f t="shared" si="78"/>
        <v>598.85</v>
      </c>
      <c r="R1003" s="4">
        <f t="shared" si="79"/>
        <v>0.42520000000000002</v>
      </c>
      <c r="S1003" s="2">
        <v>2</v>
      </c>
      <c r="T1003" t="s">
        <v>46</v>
      </c>
      <c r="U1003">
        <v>2</v>
      </c>
    </row>
    <row r="1004" spans="1:21" x14ac:dyDescent="0.25">
      <c r="A1004" s="1">
        <v>46093</v>
      </c>
      <c r="B1004" t="s">
        <v>1199</v>
      </c>
      <c r="C1004" t="s">
        <v>247</v>
      </c>
      <c r="D1004" t="s">
        <v>63</v>
      </c>
      <c r="E1004" t="s">
        <v>35</v>
      </c>
      <c r="F1004" t="s">
        <v>64</v>
      </c>
      <c r="G1004" t="s">
        <v>44</v>
      </c>
      <c r="H1004" t="s">
        <v>45</v>
      </c>
      <c r="I1004" t="s">
        <v>39</v>
      </c>
      <c r="J1004" s="2">
        <v>1</v>
      </c>
      <c r="K1004" s="3">
        <v>405.44</v>
      </c>
      <c r="L1004" s="3">
        <v>209.99</v>
      </c>
      <c r="M1004" s="4">
        <v>5.2200000000000003E-2</v>
      </c>
      <c r="N1004" s="3">
        <f t="shared" si="75"/>
        <v>405.44</v>
      </c>
      <c r="O1004" s="3">
        <f t="shared" si="76"/>
        <v>384.28</v>
      </c>
      <c r="P1004" s="3">
        <f t="shared" si="77"/>
        <v>209.99</v>
      </c>
      <c r="Q1004" s="3">
        <f t="shared" si="78"/>
        <v>174.29</v>
      </c>
      <c r="R1004" s="4">
        <f t="shared" si="79"/>
        <v>0.45350000000000001</v>
      </c>
      <c r="S1004" s="2">
        <v>13</v>
      </c>
      <c r="T1004" t="s">
        <v>30</v>
      </c>
      <c r="U1004">
        <v>5</v>
      </c>
    </row>
    <row r="1005" spans="1:21" x14ac:dyDescent="0.25">
      <c r="A1005" s="1">
        <v>46135</v>
      </c>
      <c r="B1005" t="s">
        <v>1200</v>
      </c>
      <c r="C1005" t="s">
        <v>286</v>
      </c>
      <c r="D1005" t="s">
        <v>34</v>
      </c>
      <c r="E1005" t="s">
        <v>35</v>
      </c>
      <c r="F1005" t="s">
        <v>36</v>
      </c>
      <c r="G1005" t="s">
        <v>44</v>
      </c>
      <c r="H1005" t="s">
        <v>73</v>
      </c>
      <c r="I1005" t="s">
        <v>87</v>
      </c>
      <c r="J1005" s="2">
        <v>6</v>
      </c>
      <c r="K1005" s="3">
        <v>1618.62</v>
      </c>
      <c r="L1005" s="3">
        <v>1102.46</v>
      </c>
      <c r="M1005" s="4">
        <v>0</v>
      </c>
      <c r="N1005" s="3">
        <f t="shared" si="75"/>
        <v>9711.7199999999993</v>
      </c>
      <c r="O1005" s="3">
        <f t="shared" si="76"/>
        <v>9711.7199999999993</v>
      </c>
      <c r="P1005" s="3">
        <f t="shared" si="77"/>
        <v>6614.76</v>
      </c>
      <c r="Q1005" s="3">
        <f t="shared" si="78"/>
        <v>3096.96</v>
      </c>
      <c r="R1005" s="4">
        <f t="shared" si="79"/>
        <v>0.31890000000000002</v>
      </c>
      <c r="S1005" s="2">
        <v>6</v>
      </c>
      <c r="T1005" t="s">
        <v>46</v>
      </c>
      <c r="U1005">
        <v>2</v>
      </c>
    </row>
    <row r="1006" spans="1:21" x14ac:dyDescent="0.25">
      <c r="A1006" s="1">
        <v>46157</v>
      </c>
      <c r="B1006" t="s">
        <v>1201</v>
      </c>
      <c r="C1006" t="s">
        <v>62</v>
      </c>
      <c r="D1006" t="s">
        <v>207</v>
      </c>
      <c r="E1006" t="s">
        <v>35</v>
      </c>
      <c r="F1006" t="s">
        <v>36</v>
      </c>
      <c r="G1006" t="s">
        <v>44</v>
      </c>
      <c r="H1006" t="s">
        <v>124</v>
      </c>
      <c r="I1006" t="s">
        <v>53</v>
      </c>
      <c r="J1006" s="2">
        <v>3</v>
      </c>
      <c r="K1006" s="3">
        <v>5583.34</v>
      </c>
      <c r="L1006" s="3">
        <v>4495.5600000000004</v>
      </c>
      <c r="M1006" s="4">
        <v>8.7999999999999995E-2</v>
      </c>
      <c r="N1006" s="3">
        <f t="shared" si="75"/>
        <v>16750.02</v>
      </c>
      <c r="O1006" s="3">
        <f t="shared" si="76"/>
        <v>15276.02</v>
      </c>
      <c r="P1006" s="3">
        <f t="shared" si="77"/>
        <v>13486.68</v>
      </c>
      <c r="Q1006" s="3">
        <f t="shared" si="78"/>
        <v>1789.34</v>
      </c>
      <c r="R1006" s="4">
        <f t="shared" si="79"/>
        <v>0.1171</v>
      </c>
      <c r="S1006" s="2">
        <v>2</v>
      </c>
      <c r="T1006" t="s">
        <v>46</v>
      </c>
      <c r="U1006">
        <v>3</v>
      </c>
    </row>
    <row r="1007" spans="1:21" x14ac:dyDescent="0.25">
      <c r="A1007" s="1">
        <v>46230</v>
      </c>
      <c r="B1007" t="s">
        <v>1202</v>
      </c>
      <c r="C1007" t="s">
        <v>235</v>
      </c>
      <c r="D1007" t="s">
        <v>49</v>
      </c>
      <c r="E1007" t="s">
        <v>50</v>
      </c>
      <c r="F1007" t="s">
        <v>58</v>
      </c>
      <c r="G1007" t="s">
        <v>27</v>
      </c>
      <c r="H1007" t="s">
        <v>86</v>
      </c>
      <c r="I1007" t="s">
        <v>74</v>
      </c>
      <c r="J1007" s="2">
        <v>3</v>
      </c>
      <c r="K1007" s="3">
        <v>1889.24</v>
      </c>
      <c r="L1007" s="3">
        <v>1225.6600000000001</v>
      </c>
      <c r="M1007" s="4">
        <v>3.5000000000000003E-2</v>
      </c>
      <c r="N1007" s="3">
        <f t="shared" si="75"/>
        <v>5667.72</v>
      </c>
      <c r="O1007" s="3">
        <f t="shared" si="76"/>
        <v>5469.35</v>
      </c>
      <c r="P1007" s="3">
        <f t="shared" si="77"/>
        <v>3676.98</v>
      </c>
      <c r="Q1007" s="3">
        <f t="shared" si="78"/>
        <v>1792.37</v>
      </c>
      <c r="R1007" s="4">
        <f t="shared" si="79"/>
        <v>0.32769999999999999</v>
      </c>
      <c r="S1007" s="2">
        <v>6</v>
      </c>
      <c r="T1007" t="s">
        <v>46</v>
      </c>
      <c r="U1007">
        <v>2</v>
      </c>
    </row>
    <row r="1008" spans="1:21" x14ac:dyDescent="0.25">
      <c r="A1008" s="1">
        <v>46086</v>
      </c>
      <c r="B1008" t="s">
        <v>1203</v>
      </c>
      <c r="C1008" t="s">
        <v>464</v>
      </c>
      <c r="D1008" t="s">
        <v>113</v>
      </c>
      <c r="E1008" t="s">
        <v>50</v>
      </c>
      <c r="F1008" t="s">
        <v>64</v>
      </c>
      <c r="G1008" t="s">
        <v>37</v>
      </c>
      <c r="H1008" t="s">
        <v>178</v>
      </c>
      <c r="I1008" t="s">
        <v>60</v>
      </c>
      <c r="J1008" s="2">
        <v>7</v>
      </c>
      <c r="K1008" s="3">
        <v>494.04</v>
      </c>
      <c r="L1008" s="3">
        <v>248.73</v>
      </c>
      <c r="M1008" s="4">
        <v>0</v>
      </c>
      <c r="N1008" s="3">
        <f t="shared" si="75"/>
        <v>3458.28</v>
      </c>
      <c r="O1008" s="3">
        <f t="shared" si="76"/>
        <v>3458.28</v>
      </c>
      <c r="P1008" s="3">
        <f t="shared" si="77"/>
        <v>1741.11</v>
      </c>
      <c r="Q1008" s="3">
        <f t="shared" si="78"/>
        <v>1717.17</v>
      </c>
      <c r="R1008" s="4">
        <f t="shared" si="79"/>
        <v>0.4965</v>
      </c>
      <c r="S1008" s="2">
        <v>14</v>
      </c>
      <c r="T1008" t="s">
        <v>30</v>
      </c>
      <c r="U1008">
        <v>4</v>
      </c>
    </row>
    <row r="1009" spans="1:22" x14ac:dyDescent="0.25">
      <c r="A1009" s="1">
        <v>46035</v>
      </c>
      <c r="B1009" t="s">
        <v>1204</v>
      </c>
      <c r="C1009" t="s">
        <v>329</v>
      </c>
      <c r="D1009" t="s">
        <v>113</v>
      </c>
      <c r="E1009" t="s">
        <v>50</v>
      </c>
      <c r="F1009" t="s">
        <v>26</v>
      </c>
      <c r="G1009" t="s">
        <v>51</v>
      </c>
      <c r="H1009" t="s">
        <v>59</v>
      </c>
      <c r="I1009" t="s">
        <v>92</v>
      </c>
      <c r="J1009" s="2">
        <v>3</v>
      </c>
      <c r="K1009" s="3">
        <v>2283.8000000000002</v>
      </c>
      <c r="L1009" s="3">
        <v>1410.29</v>
      </c>
      <c r="M1009" s="4">
        <v>0</v>
      </c>
      <c r="N1009" s="3">
        <f t="shared" si="75"/>
        <v>6851.4</v>
      </c>
      <c r="O1009" s="3">
        <f t="shared" si="76"/>
        <v>6851.4</v>
      </c>
      <c r="P1009" s="3">
        <f t="shared" si="77"/>
        <v>4230.87</v>
      </c>
      <c r="Q1009" s="3">
        <f t="shared" si="78"/>
        <v>2620.5300000000002</v>
      </c>
      <c r="R1009" s="4">
        <f t="shared" si="79"/>
        <v>0.38250000000000001</v>
      </c>
      <c r="S1009" s="2">
        <v>3</v>
      </c>
      <c r="T1009" t="s">
        <v>46</v>
      </c>
      <c r="U1009">
        <v>2</v>
      </c>
    </row>
    <row r="1010" spans="1:22" x14ac:dyDescent="0.25">
      <c r="A1010" s="1">
        <v>46085</v>
      </c>
      <c r="B1010" t="s">
        <v>1205</v>
      </c>
      <c r="C1010" t="s">
        <v>466</v>
      </c>
      <c r="D1010" t="s">
        <v>49</v>
      </c>
      <c r="E1010" t="s">
        <v>50</v>
      </c>
      <c r="F1010" t="s">
        <v>26</v>
      </c>
      <c r="G1010" t="s">
        <v>44</v>
      </c>
      <c r="H1010" t="s">
        <v>124</v>
      </c>
      <c r="I1010" t="s">
        <v>39</v>
      </c>
      <c r="J1010" s="2">
        <v>4</v>
      </c>
      <c r="K1010" s="3">
        <v>5988.11</v>
      </c>
      <c r="L1010" s="3">
        <v>4416.92</v>
      </c>
      <c r="M1010" s="4">
        <v>0.10009999999999999</v>
      </c>
      <c r="N1010" s="3">
        <f t="shared" si="75"/>
        <v>23952.44</v>
      </c>
      <c r="O1010" s="3">
        <f t="shared" si="76"/>
        <v>21554.799999999999</v>
      </c>
      <c r="P1010" s="3">
        <f t="shared" si="77"/>
        <v>17667.68</v>
      </c>
      <c r="Q1010" s="3">
        <f t="shared" si="78"/>
        <v>3887.12</v>
      </c>
      <c r="R1010" s="4">
        <f t="shared" si="79"/>
        <v>0.18029999999999999</v>
      </c>
      <c r="S1010" s="2">
        <v>14</v>
      </c>
      <c r="T1010" t="s">
        <v>30</v>
      </c>
      <c r="U1010">
        <v>3</v>
      </c>
    </row>
    <row r="1011" spans="1:22" x14ac:dyDescent="0.25">
      <c r="A1011" s="1">
        <v>46149</v>
      </c>
      <c r="B1011" t="s">
        <v>1206</v>
      </c>
      <c r="C1011" t="s">
        <v>110</v>
      </c>
      <c r="D1011" t="s">
        <v>85</v>
      </c>
      <c r="E1011" t="s">
        <v>50</v>
      </c>
      <c r="F1011" t="s">
        <v>26</v>
      </c>
      <c r="G1011" t="s">
        <v>44</v>
      </c>
      <c r="H1011" t="s">
        <v>73</v>
      </c>
      <c r="I1011" t="s">
        <v>65</v>
      </c>
      <c r="J1011" s="2">
        <v>2</v>
      </c>
      <c r="K1011" s="3">
        <v>1660.68</v>
      </c>
      <c r="L1011" s="3">
        <v>1095.73</v>
      </c>
      <c r="M1011" s="4">
        <v>5.8400000000000001E-2</v>
      </c>
      <c r="N1011" s="3">
        <f t="shared" si="75"/>
        <v>3321.36</v>
      </c>
      <c r="O1011" s="3">
        <f t="shared" si="76"/>
        <v>3127.39</v>
      </c>
      <c r="P1011" s="3">
        <f t="shared" si="77"/>
        <v>2191.46</v>
      </c>
      <c r="Q1011" s="3">
        <f t="shared" si="78"/>
        <v>935.93</v>
      </c>
      <c r="R1011" s="4">
        <f t="shared" si="79"/>
        <v>0.29930000000000001</v>
      </c>
      <c r="S1011" s="2">
        <v>5</v>
      </c>
      <c r="T1011" t="s">
        <v>46</v>
      </c>
      <c r="U1011">
        <v>2</v>
      </c>
    </row>
    <row r="1012" spans="1:22" x14ac:dyDescent="0.25">
      <c r="A1012" s="1">
        <v>46080</v>
      </c>
      <c r="B1012" t="s">
        <v>1207</v>
      </c>
      <c r="C1012" t="s">
        <v>91</v>
      </c>
      <c r="D1012" t="s">
        <v>43</v>
      </c>
      <c r="E1012" t="s">
        <v>25</v>
      </c>
      <c r="F1012" t="s">
        <v>36</v>
      </c>
      <c r="G1012" t="s">
        <v>51</v>
      </c>
      <c r="H1012" t="s">
        <v>52</v>
      </c>
      <c r="I1012" t="s">
        <v>87</v>
      </c>
      <c r="J1012" s="2">
        <v>7</v>
      </c>
      <c r="K1012" s="3">
        <v>257.19</v>
      </c>
      <c r="L1012" s="3">
        <v>117.82</v>
      </c>
      <c r="M1012" s="4">
        <v>0</v>
      </c>
      <c r="N1012" s="3">
        <f t="shared" si="75"/>
        <v>1800.33</v>
      </c>
      <c r="O1012" s="3">
        <f t="shared" si="76"/>
        <v>1800.33</v>
      </c>
      <c r="P1012" s="3">
        <f t="shared" si="77"/>
        <v>824.74</v>
      </c>
      <c r="Q1012" s="3">
        <f t="shared" si="78"/>
        <v>975.59</v>
      </c>
      <c r="R1012" s="4">
        <f t="shared" si="79"/>
        <v>0.54190000000000005</v>
      </c>
      <c r="S1012" s="2">
        <v>6</v>
      </c>
      <c r="T1012" t="s">
        <v>46</v>
      </c>
      <c r="U1012">
        <v>5</v>
      </c>
    </row>
    <row r="1013" spans="1:22" x14ac:dyDescent="0.25">
      <c r="A1013" s="1">
        <v>46158</v>
      </c>
      <c r="B1013" t="s">
        <v>1208</v>
      </c>
      <c r="C1013" t="s">
        <v>162</v>
      </c>
      <c r="D1013" t="s">
        <v>56</v>
      </c>
      <c r="E1013" t="s">
        <v>57</v>
      </c>
      <c r="F1013" t="s">
        <v>26</v>
      </c>
      <c r="G1013" t="s">
        <v>44</v>
      </c>
      <c r="H1013" t="s">
        <v>45</v>
      </c>
      <c r="I1013" t="s">
        <v>87</v>
      </c>
      <c r="J1013" s="2">
        <v>3</v>
      </c>
      <c r="K1013" s="3">
        <v>370.34</v>
      </c>
      <c r="L1013" s="3">
        <v>205.73</v>
      </c>
      <c r="M1013" s="4">
        <v>0</v>
      </c>
      <c r="N1013" s="3">
        <f t="shared" si="75"/>
        <v>1111.02</v>
      </c>
      <c r="O1013" s="3">
        <f t="shared" si="76"/>
        <v>1111.02</v>
      </c>
      <c r="P1013" s="3">
        <f t="shared" si="77"/>
        <v>617.19000000000005</v>
      </c>
      <c r="Q1013" s="3">
        <f t="shared" si="78"/>
        <v>493.83</v>
      </c>
      <c r="R1013" s="4">
        <f t="shared" si="79"/>
        <v>0.44450000000000001</v>
      </c>
      <c r="S1013" s="2">
        <v>9</v>
      </c>
      <c r="T1013" t="s">
        <v>46</v>
      </c>
      <c r="U1013">
        <v>3</v>
      </c>
    </row>
    <row r="1014" spans="1:22" x14ac:dyDescent="0.25">
      <c r="A1014" s="1">
        <v>46122</v>
      </c>
      <c r="B1014" t="s">
        <v>1209</v>
      </c>
      <c r="C1014" t="s">
        <v>91</v>
      </c>
      <c r="D1014" t="s">
        <v>207</v>
      </c>
      <c r="E1014" t="s">
        <v>35</v>
      </c>
      <c r="F1014" t="s">
        <v>58</v>
      </c>
      <c r="G1014" t="s">
        <v>37</v>
      </c>
      <c r="H1014" t="s">
        <v>38</v>
      </c>
      <c r="I1014" t="s">
        <v>60</v>
      </c>
      <c r="J1014" s="2">
        <v>6</v>
      </c>
      <c r="K1014" s="3">
        <v>436.9</v>
      </c>
      <c r="L1014" s="3">
        <v>186.88</v>
      </c>
      <c r="M1014" s="4">
        <v>6.13E-2</v>
      </c>
      <c r="N1014" s="3">
        <f t="shared" si="75"/>
        <v>2621.4</v>
      </c>
      <c r="O1014" s="3">
        <f t="shared" si="76"/>
        <v>2460.71</v>
      </c>
      <c r="P1014" s="3">
        <f t="shared" si="77"/>
        <v>1121.28</v>
      </c>
      <c r="Q1014" s="3">
        <f t="shared" si="78"/>
        <v>1339.43</v>
      </c>
      <c r="R1014" s="4">
        <f t="shared" si="79"/>
        <v>0.54430000000000001</v>
      </c>
      <c r="S1014" s="2">
        <v>10</v>
      </c>
      <c r="T1014" t="s">
        <v>46</v>
      </c>
      <c r="U1014">
        <v>2</v>
      </c>
    </row>
    <row r="1015" spans="1:22" x14ac:dyDescent="0.25">
      <c r="A1015" s="1">
        <v>46228</v>
      </c>
      <c r="B1015" t="s">
        <v>1210</v>
      </c>
      <c r="C1015" t="s">
        <v>428</v>
      </c>
      <c r="D1015" t="s">
        <v>207</v>
      </c>
      <c r="E1015" t="s">
        <v>35</v>
      </c>
      <c r="F1015" t="s">
        <v>36</v>
      </c>
      <c r="G1015" t="s">
        <v>27</v>
      </c>
      <c r="H1015" t="s">
        <v>28</v>
      </c>
      <c r="I1015" t="s">
        <v>60</v>
      </c>
      <c r="J1015" s="2">
        <v>6</v>
      </c>
      <c r="K1015" s="3">
        <v>821.54</v>
      </c>
      <c r="L1015" s="3">
        <v>452.77</v>
      </c>
      <c r="M1015" s="4">
        <v>0</v>
      </c>
      <c r="N1015" s="3">
        <f t="shared" si="75"/>
        <v>4929.24</v>
      </c>
      <c r="O1015" s="3">
        <f t="shared" si="76"/>
        <v>4929.24</v>
      </c>
      <c r="P1015" s="3">
        <f t="shared" si="77"/>
        <v>2716.62</v>
      </c>
      <c r="Q1015" s="3">
        <f t="shared" si="78"/>
        <v>2212.62</v>
      </c>
      <c r="R1015" s="4">
        <f t="shared" si="79"/>
        <v>0.44890000000000002</v>
      </c>
      <c r="S1015" s="2">
        <v>8</v>
      </c>
      <c r="T1015" t="s">
        <v>46</v>
      </c>
      <c r="U1015">
        <v>3</v>
      </c>
    </row>
    <row r="1016" spans="1:22" x14ac:dyDescent="0.25">
      <c r="A1016" s="1">
        <v>46179</v>
      </c>
      <c r="B1016" t="s">
        <v>1211</v>
      </c>
      <c r="C1016" t="s">
        <v>48</v>
      </c>
      <c r="D1016" t="s">
        <v>49</v>
      </c>
      <c r="E1016" t="s">
        <v>50</v>
      </c>
      <c r="F1016" t="s">
        <v>36</v>
      </c>
      <c r="G1016" t="s">
        <v>44</v>
      </c>
      <c r="H1016" t="s">
        <v>73</v>
      </c>
      <c r="I1016" t="s">
        <v>29</v>
      </c>
      <c r="J1016" s="2">
        <v>6</v>
      </c>
      <c r="K1016" s="3">
        <v>1689.86</v>
      </c>
      <c r="L1016" s="3">
        <v>1042.1300000000001</v>
      </c>
      <c r="M1016" s="4">
        <v>0.12939999999999999</v>
      </c>
      <c r="N1016" s="3">
        <f t="shared" si="75"/>
        <v>10139.16</v>
      </c>
      <c r="O1016" s="3">
        <f t="shared" si="76"/>
        <v>8827.15</v>
      </c>
      <c r="P1016" s="3">
        <f t="shared" si="77"/>
        <v>6252.78</v>
      </c>
      <c r="Q1016" s="3">
        <f t="shared" si="78"/>
        <v>2574.37</v>
      </c>
      <c r="R1016" s="4">
        <f t="shared" si="79"/>
        <v>0.29160000000000003</v>
      </c>
      <c r="S1016" s="2">
        <v>8</v>
      </c>
      <c r="T1016" t="s">
        <v>46</v>
      </c>
      <c r="U1016">
        <v>5</v>
      </c>
    </row>
    <row r="1017" spans="1:22" x14ac:dyDescent="0.25">
      <c r="A1017" s="1">
        <v>46074</v>
      </c>
      <c r="B1017" t="s">
        <v>1212</v>
      </c>
      <c r="C1017" t="s">
        <v>84</v>
      </c>
      <c r="D1017" t="s">
        <v>113</v>
      </c>
      <c r="E1017" t="s">
        <v>50</v>
      </c>
      <c r="F1017" t="s">
        <v>36</v>
      </c>
      <c r="G1017" t="s">
        <v>44</v>
      </c>
      <c r="H1017" t="s">
        <v>73</v>
      </c>
      <c r="I1017" t="s">
        <v>39</v>
      </c>
      <c r="J1017" s="2">
        <v>7</v>
      </c>
      <c r="K1017" s="3">
        <v>1732.46</v>
      </c>
      <c r="L1017" s="3">
        <v>1126.27</v>
      </c>
      <c r="M1017" s="4">
        <v>0</v>
      </c>
      <c r="N1017" s="3">
        <f t="shared" si="75"/>
        <v>12127.22</v>
      </c>
      <c r="O1017" s="3">
        <f t="shared" si="76"/>
        <v>12127.22</v>
      </c>
      <c r="P1017" s="3">
        <f t="shared" si="77"/>
        <v>7883.89</v>
      </c>
      <c r="Q1017" s="3">
        <f t="shared" si="78"/>
        <v>4243.33</v>
      </c>
      <c r="R1017" s="4">
        <f t="shared" si="79"/>
        <v>0.34989999999999999</v>
      </c>
      <c r="S1017" s="2">
        <v>11</v>
      </c>
      <c r="T1017" t="s">
        <v>40</v>
      </c>
    </row>
    <row r="1018" spans="1:22" x14ac:dyDescent="0.25">
      <c r="A1018" s="1">
        <v>46120</v>
      </c>
      <c r="B1018" t="s">
        <v>1213</v>
      </c>
      <c r="C1018" t="s">
        <v>243</v>
      </c>
      <c r="D1018" t="s">
        <v>207</v>
      </c>
      <c r="E1018" t="s">
        <v>35</v>
      </c>
      <c r="F1018" t="s">
        <v>26</v>
      </c>
      <c r="G1018" t="s">
        <v>37</v>
      </c>
      <c r="H1018" t="s">
        <v>178</v>
      </c>
      <c r="I1018" t="s">
        <v>53</v>
      </c>
      <c r="J1018" s="2">
        <v>5</v>
      </c>
      <c r="K1018" s="3">
        <v>519.72</v>
      </c>
      <c r="L1018" s="3">
        <v>234.58</v>
      </c>
      <c r="M1018" s="4">
        <v>0</v>
      </c>
      <c r="N1018" s="3">
        <f t="shared" si="75"/>
        <v>2598.6</v>
      </c>
      <c r="O1018" s="3">
        <f t="shared" si="76"/>
        <v>2598.6</v>
      </c>
      <c r="P1018" s="3">
        <f t="shared" si="77"/>
        <v>1172.9000000000001</v>
      </c>
      <c r="Q1018" s="3">
        <f t="shared" si="78"/>
        <v>1425.7</v>
      </c>
      <c r="R1018" s="4">
        <f t="shared" si="79"/>
        <v>0.54859999999999998</v>
      </c>
      <c r="S1018" s="2">
        <v>11</v>
      </c>
      <c r="T1018" t="s">
        <v>30</v>
      </c>
      <c r="U1018">
        <v>4</v>
      </c>
    </row>
    <row r="1019" spans="1:22" x14ac:dyDescent="0.25">
      <c r="A1019" s="1">
        <v>46228</v>
      </c>
      <c r="B1019" t="s">
        <v>1214</v>
      </c>
      <c r="C1019" t="s">
        <v>609</v>
      </c>
      <c r="D1019" t="s">
        <v>101</v>
      </c>
      <c r="E1019" t="s">
        <v>35</v>
      </c>
      <c r="F1019" t="s">
        <v>64</v>
      </c>
      <c r="G1019" t="s">
        <v>51</v>
      </c>
      <c r="H1019" t="s">
        <v>116</v>
      </c>
      <c r="I1019" t="s">
        <v>65</v>
      </c>
      <c r="J1019" s="2">
        <v>5</v>
      </c>
      <c r="K1019" s="3">
        <v>2833.43</v>
      </c>
      <c r="L1019" s="3">
        <v>1740.64</v>
      </c>
      <c r="M1019" s="4">
        <v>0</v>
      </c>
      <c r="N1019" s="3">
        <f t="shared" si="75"/>
        <v>14167.15</v>
      </c>
      <c r="O1019" s="3">
        <f t="shared" si="76"/>
        <v>14167.15</v>
      </c>
      <c r="P1019" s="3">
        <f t="shared" si="77"/>
        <v>8703.2000000000007</v>
      </c>
      <c r="Q1019" s="3">
        <f t="shared" si="78"/>
        <v>5463.95</v>
      </c>
      <c r="R1019" s="4">
        <f t="shared" si="79"/>
        <v>0.38569999999999999</v>
      </c>
      <c r="S1019" s="2">
        <v>12</v>
      </c>
      <c r="T1019" t="s">
        <v>30</v>
      </c>
      <c r="U1019">
        <v>5</v>
      </c>
    </row>
    <row r="1020" spans="1:22" x14ac:dyDescent="0.25">
      <c r="A1020" s="1">
        <v>46060</v>
      </c>
      <c r="B1020" t="s">
        <v>1215</v>
      </c>
      <c r="C1020" t="s">
        <v>418</v>
      </c>
      <c r="D1020" t="s">
        <v>71</v>
      </c>
      <c r="E1020" t="s">
        <v>72</v>
      </c>
      <c r="F1020" t="s">
        <v>58</v>
      </c>
      <c r="G1020" t="s">
        <v>51</v>
      </c>
      <c r="H1020" t="s">
        <v>59</v>
      </c>
      <c r="I1020" t="s">
        <v>65</v>
      </c>
      <c r="J1020" s="2">
        <v>1</v>
      </c>
      <c r="K1020" s="3">
        <v>2271.25</v>
      </c>
      <c r="L1020" s="3">
        <v>1441.55</v>
      </c>
      <c r="M1020" s="4">
        <v>3.5000000000000003E-2</v>
      </c>
      <c r="N1020" s="3">
        <f t="shared" si="75"/>
        <v>2271.25</v>
      </c>
      <c r="O1020" s="3">
        <f t="shared" si="76"/>
        <v>2191.7600000000002</v>
      </c>
      <c r="P1020" s="3">
        <f t="shared" si="77"/>
        <v>1441.55</v>
      </c>
      <c r="Q1020" s="3">
        <f t="shared" si="78"/>
        <v>750.21</v>
      </c>
      <c r="R1020" s="4">
        <f t="shared" si="79"/>
        <v>0.34229999999999999</v>
      </c>
      <c r="S1020" s="2">
        <v>14</v>
      </c>
      <c r="T1020" t="s">
        <v>30</v>
      </c>
      <c r="U1020">
        <v>4</v>
      </c>
    </row>
    <row r="1021" spans="1:22" x14ac:dyDescent="0.25">
      <c r="A1021" s="1">
        <v>46092</v>
      </c>
      <c r="B1021" t="s">
        <v>1216</v>
      </c>
      <c r="C1021" t="s">
        <v>317</v>
      </c>
      <c r="D1021" t="s">
        <v>139</v>
      </c>
      <c r="E1021" t="s">
        <v>72</v>
      </c>
      <c r="F1021" t="s">
        <v>26</v>
      </c>
      <c r="G1021" t="s">
        <v>44</v>
      </c>
      <c r="H1021" t="s">
        <v>124</v>
      </c>
      <c r="I1021" t="s">
        <v>94</v>
      </c>
      <c r="J1021" s="2">
        <v>3</v>
      </c>
      <c r="K1021" s="3">
        <v>5577.15</v>
      </c>
      <c r="L1021" s="3">
        <v>4630.32</v>
      </c>
      <c r="M1021" s="4">
        <v>0</v>
      </c>
      <c r="N1021" s="3">
        <f t="shared" si="75"/>
        <v>16731.45</v>
      </c>
      <c r="O1021" s="3">
        <f t="shared" si="76"/>
        <v>16731.45</v>
      </c>
      <c r="P1021" s="3">
        <f t="shared" si="77"/>
        <v>13890.96</v>
      </c>
      <c r="Q1021" s="3">
        <f t="shared" si="78"/>
        <v>2840.49</v>
      </c>
      <c r="R1021" s="4">
        <f t="shared" si="79"/>
        <v>0.16980000000000001</v>
      </c>
      <c r="S1021" s="2">
        <v>11</v>
      </c>
      <c r="T1021" t="s">
        <v>30</v>
      </c>
      <c r="U1021">
        <v>2</v>
      </c>
    </row>
    <row r="1022" spans="1:22" x14ac:dyDescent="0.25">
      <c r="A1022" s="1">
        <v>46057</v>
      </c>
      <c r="B1022" t="s">
        <v>1217</v>
      </c>
      <c r="C1022" t="s">
        <v>609</v>
      </c>
      <c r="D1022" t="s">
        <v>101</v>
      </c>
      <c r="E1022" t="s">
        <v>35</v>
      </c>
      <c r="F1022" t="s">
        <v>26</v>
      </c>
      <c r="G1022" t="s">
        <v>44</v>
      </c>
      <c r="H1022" t="s">
        <v>45</v>
      </c>
      <c r="I1022" t="s">
        <v>60</v>
      </c>
      <c r="J1022" s="2">
        <v>5</v>
      </c>
      <c r="K1022" s="3">
        <v>396.8</v>
      </c>
      <c r="L1022" s="3">
        <v>206.24</v>
      </c>
      <c r="M1022" s="4">
        <v>0</v>
      </c>
      <c r="N1022" s="3">
        <f t="shared" si="75"/>
        <v>1984</v>
      </c>
      <c r="O1022" s="3">
        <f t="shared" si="76"/>
        <v>1984</v>
      </c>
      <c r="P1022" s="3">
        <f t="shared" si="77"/>
        <v>1031.2</v>
      </c>
      <c r="Q1022" s="3">
        <f t="shared" si="78"/>
        <v>952.8</v>
      </c>
      <c r="R1022" s="4">
        <f t="shared" si="79"/>
        <v>0.48020000000000002</v>
      </c>
      <c r="S1022" s="2">
        <v>5</v>
      </c>
      <c r="T1022" t="s">
        <v>46</v>
      </c>
      <c r="U1022">
        <v>4</v>
      </c>
    </row>
    <row r="1023" spans="1:22" x14ac:dyDescent="0.25">
      <c r="A1023" s="1">
        <v>46192</v>
      </c>
      <c r="B1023" t="s">
        <v>1218</v>
      </c>
      <c r="C1023" t="s">
        <v>123</v>
      </c>
      <c r="D1023" t="s">
        <v>24</v>
      </c>
      <c r="E1023" t="s">
        <v>25</v>
      </c>
      <c r="F1023" t="s">
        <v>58</v>
      </c>
      <c r="G1023" t="s">
        <v>51</v>
      </c>
      <c r="H1023" t="s">
        <v>52</v>
      </c>
      <c r="I1023" t="s">
        <v>53</v>
      </c>
      <c r="J1023" s="2">
        <v>6</v>
      </c>
      <c r="K1023" s="3">
        <v>259.43</v>
      </c>
      <c r="L1023" s="3">
        <v>124.01</v>
      </c>
      <c r="M1023" s="4">
        <v>3.5000000000000003E-2</v>
      </c>
      <c r="N1023" s="3">
        <f t="shared" si="75"/>
        <v>1556.58</v>
      </c>
      <c r="O1023" s="3">
        <f t="shared" si="76"/>
        <v>1502.1</v>
      </c>
      <c r="P1023" s="3">
        <f t="shared" si="77"/>
        <v>744.06</v>
      </c>
      <c r="Q1023" s="3">
        <f t="shared" si="78"/>
        <v>758.04</v>
      </c>
      <c r="R1023" s="4">
        <f t="shared" si="79"/>
        <v>0.50470000000000004</v>
      </c>
      <c r="S1023" s="2">
        <v>8</v>
      </c>
      <c r="T1023" t="s">
        <v>46</v>
      </c>
      <c r="U1023">
        <v>4</v>
      </c>
    </row>
    <row r="1024" spans="1:22" x14ac:dyDescent="0.25">
      <c r="A1024" s="1">
        <v>46197</v>
      </c>
      <c r="B1024" t="s">
        <v>1219</v>
      </c>
      <c r="C1024" t="s">
        <v>275</v>
      </c>
      <c r="D1024" t="s">
        <v>97</v>
      </c>
      <c r="E1024" t="s">
        <v>57</v>
      </c>
      <c r="F1024" t="s">
        <v>64</v>
      </c>
      <c r="G1024" t="s">
        <v>37</v>
      </c>
      <c r="H1024" t="s">
        <v>38</v>
      </c>
      <c r="I1024" t="s">
        <v>87</v>
      </c>
      <c r="J1024" s="2">
        <v>8</v>
      </c>
      <c r="K1024" s="3">
        <v>436.65</v>
      </c>
      <c r="L1024" s="3">
        <v>192.42</v>
      </c>
      <c r="M1024" s="4">
        <v>9.9000000000000008E-3</v>
      </c>
      <c r="N1024" s="3">
        <f t="shared" si="75"/>
        <v>3493.2</v>
      </c>
      <c r="O1024" s="3">
        <f t="shared" si="76"/>
        <v>3458.62</v>
      </c>
      <c r="P1024" s="3">
        <f t="shared" si="77"/>
        <v>1539.36</v>
      </c>
      <c r="Q1024" s="3">
        <f t="shared" si="78"/>
        <v>1919.26</v>
      </c>
      <c r="R1024" s="4">
        <f t="shared" si="79"/>
        <v>0.55489999999999995</v>
      </c>
      <c r="S1024" s="2">
        <v>23</v>
      </c>
      <c r="T1024" t="s">
        <v>30</v>
      </c>
      <c r="U1024">
        <v>1</v>
      </c>
      <c r="V1024" t="s">
        <v>208</v>
      </c>
    </row>
    <row r="1025" spans="1:21" x14ac:dyDescent="0.25">
      <c r="A1025" s="1">
        <v>46157</v>
      </c>
      <c r="B1025" t="s">
        <v>1220</v>
      </c>
      <c r="C1025" t="s">
        <v>284</v>
      </c>
      <c r="D1025" t="s">
        <v>139</v>
      </c>
      <c r="E1025" t="s">
        <v>72</v>
      </c>
      <c r="F1025" t="s">
        <v>36</v>
      </c>
      <c r="G1025" t="s">
        <v>27</v>
      </c>
      <c r="H1025" t="s">
        <v>68</v>
      </c>
      <c r="I1025" t="s">
        <v>29</v>
      </c>
      <c r="J1025" s="2">
        <v>6</v>
      </c>
      <c r="K1025" s="3">
        <v>1317.77</v>
      </c>
      <c r="L1025" s="3">
        <v>779.97</v>
      </c>
      <c r="M1025" s="4">
        <v>0</v>
      </c>
      <c r="N1025" s="3">
        <f t="shared" si="75"/>
        <v>7906.62</v>
      </c>
      <c r="O1025" s="3">
        <f t="shared" si="76"/>
        <v>7906.62</v>
      </c>
      <c r="P1025" s="3">
        <f t="shared" si="77"/>
        <v>4679.82</v>
      </c>
      <c r="Q1025" s="3">
        <f t="shared" si="78"/>
        <v>3226.8</v>
      </c>
      <c r="R1025" s="4">
        <f t="shared" si="79"/>
        <v>0.40810000000000002</v>
      </c>
      <c r="S1025" s="2">
        <v>4</v>
      </c>
      <c r="T1025" t="s">
        <v>46</v>
      </c>
      <c r="U1025">
        <v>2</v>
      </c>
    </row>
    <row r="1026" spans="1:21" x14ac:dyDescent="0.25">
      <c r="A1026" s="1">
        <v>46180</v>
      </c>
      <c r="B1026" t="s">
        <v>1221</v>
      </c>
      <c r="C1026" t="s">
        <v>349</v>
      </c>
      <c r="D1026" t="s">
        <v>101</v>
      </c>
      <c r="E1026" t="s">
        <v>35</v>
      </c>
      <c r="F1026" t="s">
        <v>58</v>
      </c>
      <c r="G1026" t="s">
        <v>37</v>
      </c>
      <c r="H1026" t="s">
        <v>178</v>
      </c>
      <c r="I1026" t="s">
        <v>29</v>
      </c>
      <c r="J1026" s="2">
        <v>8</v>
      </c>
      <c r="K1026" s="3">
        <v>533.88</v>
      </c>
      <c r="L1026" s="3">
        <v>249.5</v>
      </c>
      <c r="M1026" s="4">
        <v>0.13039999999999999</v>
      </c>
      <c r="N1026" s="3">
        <f t="shared" ref="N1026:N1089" si="80">ROUND(J1026*K1026,2)</f>
        <v>4271.04</v>
      </c>
      <c r="O1026" s="3">
        <f t="shared" ref="O1026:O1089" si="81">ROUND(N1026*(1-M1026),2)</f>
        <v>3714.1</v>
      </c>
      <c r="P1026" s="3">
        <f t="shared" ref="P1026:P1089" si="82">ROUND(J1026*L1026,2)</f>
        <v>1996</v>
      </c>
      <c r="Q1026" s="3">
        <f t="shared" ref="Q1026:Q1089" si="83">ROUND(O1026-P1026,2)</f>
        <v>1718.1</v>
      </c>
      <c r="R1026" s="4">
        <f t="shared" ref="R1026:R1089" si="84">IF(O1026=0,0,ROUND(Q1026/O1026,4))</f>
        <v>0.46260000000000001</v>
      </c>
      <c r="S1026" s="2">
        <v>6</v>
      </c>
      <c r="T1026" t="s">
        <v>46</v>
      </c>
      <c r="U1026">
        <v>5</v>
      </c>
    </row>
    <row r="1027" spans="1:21" x14ac:dyDescent="0.25">
      <c r="A1027" s="1">
        <v>46233</v>
      </c>
      <c r="B1027" t="s">
        <v>1222</v>
      </c>
      <c r="C1027" t="s">
        <v>184</v>
      </c>
      <c r="D1027" t="s">
        <v>24</v>
      </c>
      <c r="E1027" t="s">
        <v>25</v>
      </c>
      <c r="F1027" t="s">
        <v>26</v>
      </c>
      <c r="G1027" t="s">
        <v>51</v>
      </c>
      <c r="H1027" t="s">
        <v>52</v>
      </c>
      <c r="I1027" t="s">
        <v>74</v>
      </c>
      <c r="J1027" s="2">
        <v>5</v>
      </c>
      <c r="K1027" s="3">
        <v>249.71</v>
      </c>
      <c r="L1027" s="3">
        <v>128.16</v>
      </c>
      <c r="M1027" s="4">
        <v>0</v>
      </c>
      <c r="N1027" s="3">
        <f t="shared" si="80"/>
        <v>1248.55</v>
      </c>
      <c r="O1027" s="3">
        <f t="shared" si="81"/>
        <v>1248.55</v>
      </c>
      <c r="P1027" s="3">
        <f t="shared" si="82"/>
        <v>640.79999999999995</v>
      </c>
      <c r="Q1027" s="3">
        <f t="shared" si="83"/>
        <v>607.75</v>
      </c>
      <c r="R1027" s="4">
        <f t="shared" si="84"/>
        <v>0.48680000000000001</v>
      </c>
      <c r="S1027" s="2">
        <v>14</v>
      </c>
      <c r="T1027" t="s">
        <v>30</v>
      </c>
      <c r="U1027">
        <v>4</v>
      </c>
    </row>
    <row r="1028" spans="1:21" x14ac:dyDescent="0.25">
      <c r="A1028" s="1">
        <v>46121</v>
      </c>
      <c r="B1028" t="s">
        <v>1223</v>
      </c>
      <c r="C1028" t="s">
        <v>184</v>
      </c>
      <c r="D1028" t="s">
        <v>101</v>
      </c>
      <c r="E1028" t="s">
        <v>35</v>
      </c>
      <c r="F1028" t="s">
        <v>36</v>
      </c>
      <c r="G1028" t="s">
        <v>27</v>
      </c>
      <c r="H1028" t="s">
        <v>86</v>
      </c>
      <c r="I1028" t="s">
        <v>29</v>
      </c>
      <c r="J1028" s="2">
        <v>6</v>
      </c>
      <c r="K1028" s="3">
        <v>1816.85</v>
      </c>
      <c r="L1028" s="3">
        <v>1201.3900000000001</v>
      </c>
      <c r="M1028" s="4">
        <v>0.12859999999999999</v>
      </c>
      <c r="N1028" s="3">
        <f t="shared" si="80"/>
        <v>10901.1</v>
      </c>
      <c r="O1028" s="3">
        <f t="shared" si="81"/>
        <v>9499.2199999999993</v>
      </c>
      <c r="P1028" s="3">
        <f t="shared" si="82"/>
        <v>7208.34</v>
      </c>
      <c r="Q1028" s="3">
        <f t="shared" si="83"/>
        <v>2290.88</v>
      </c>
      <c r="R1028" s="4">
        <f t="shared" si="84"/>
        <v>0.2412</v>
      </c>
      <c r="S1028" s="2">
        <v>2</v>
      </c>
      <c r="T1028" t="s">
        <v>46</v>
      </c>
      <c r="U1028">
        <v>5</v>
      </c>
    </row>
    <row r="1029" spans="1:21" x14ac:dyDescent="0.25">
      <c r="A1029" s="1">
        <v>46077</v>
      </c>
      <c r="B1029" t="s">
        <v>1224</v>
      </c>
      <c r="C1029" t="s">
        <v>240</v>
      </c>
      <c r="D1029" t="s">
        <v>56</v>
      </c>
      <c r="E1029" t="s">
        <v>57</v>
      </c>
      <c r="F1029" t="s">
        <v>58</v>
      </c>
      <c r="G1029" t="s">
        <v>51</v>
      </c>
      <c r="H1029" t="s">
        <v>52</v>
      </c>
      <c r="I1029" t="s">
        <v>94</v>
      </c>
      <c r="J1029" s="2">
        <v>5</v>
      </c>
      <c r="K1029" s="3">
        <v>262.37</v>
      </c>
      <c r="L1029" s="3">
        <v>115.49</v>
      </c>
      <c r="M1029" s="4">
        <v>3.5000000000000003E-2</v>
      </c>
      <c r="N1029" s="3">
        <f t="shared" si="80"/>
        <v>1311.85</v>
      </c>
      <c r="O1029" s="3">
        <f t="shared" si="81"/>
        <v>1265.94</v>
      </c>
      <c r="P1029" s="3">
        <f t="shared" si="82"/>
        <v>577.45000000000005</v>
      </c>
      <c r="Q1029" s="3">
        <f t="shared" si="83"/>
        <v>688.49</v>
      </c>
      <c r="R1029" s="4">
        <f t="shared" si="84"/>
        <v>0.54390000000000005</v>
      </c>
      <c r="S1029" s="2">
        <v>5</v>
      </c>
      <c r="T1029" t="s">
        <v>46</v>
      </c>
      <c r="U1029">
        <v>4</v>
      </c>
    </row>
    <row r="1030" spans="1:21" x14ac:dyDescent="0.25">
      <c r="A1030" s="1">
        <v>46041</v>
      </c>
      <c r="B1030" t="s">
        <v>1225</v>
      </c>
      <c r="C1030" t="s">
        <v>153</v>
      </c>
      <c r="D1030" t="s">
        <v>113</v>
      </c>
      <c r="E1030" t="s">
        <v>50</v>
      </c>
      <c r="F1030" t="s">
        <v>36</v>
      </c>
      <c r="G1030" t="s">
        <v>37</v>
      </c>
      <c r="H1030" t="s">
        <v>104</v>
      </c>
      <c r="I1030" t="s">
        <v>53</v>
      </c>
      <c r="J1030" s="2">
        <v>5</v>
      </c>
      <c r="K1030" s="3">
        <v>314.43</v>
      </c>
      <c r="L1030" s="3">
        <v>132.01</v>
      </c>
      <c r="M1030" s="4">
        <v>0</v>
      </c>
      <c r="N1030" s="3">
        <f t="shared" si="80"/>
        <v>1572.15</v>
      </c>
      <c r="O1030" s="3">
        <f t="shared" si="81"/>
        <v>1572.15</v>
      </c>
      <c r="P1030" s="3">
        <f t="shared" si="82"/>
        <v>660.05</v>
      </c>
      <c r="Q1030" s="3">
        <f t="shared" si="83"/>
        <v>912.1</v>
      </c>
      <c r="R1030" s="4">
        <f t="shared" si="84"/>
        <v>0.58020000000000005</v>
      </c>
      <c r="S1030" s="2">
        <v>8</v>
      </c>
      <c r="T1030" t="s">
        <v>46</v>
      </c>
      <c r="U1030">
        <v>5</v>
      </c>
    </row>
    <row r="1031" spans="1:21" x14ac:dyDescent="0.25">
      <c r="A1031" s="1">
        <v>46023</v>
      </c>
      <c r="B1031" t="s">
        <v>1226</v>
      </c>
      <c r="C1031" t="s">
        <v>172</v>
      </c>
      <c r="D1031" t="s">
        <v>63</v>
      </c>
      <c r="E1031" t="s">
        <v>35</v>
      </c>
      <c r="F1031" t="s">
        <v>36</v>
      </c>
      <c r="G1031" t="s">
        <v>37</v>
      </c>
      <c r="H1031" t="s">
        <v>178</v>
      </c>
      <c r="I1031" t="s">
        <v>92</v>
      </c>
      <c r="J1031" s="2">
        <v>4</v>
      </c>
      <c r="K1031" s="3">
        <v>503.33</v>
      </c>
      <c r="L1031" s="3">
        <v>241.18</v>
      </c>
      <c r="M1031" s="4">
        <v>0</v>
      </c>
      <c r="N1031" s="3">
        <f t="shared" si="80"/>
        <v>2013.32</v>
      </c>
      <c r="O1031" s="3">
        <f t="shared" si="81"/>
        <v>2013.32</v>
      </c>
      <c r="P1031" s="3">
        <f t="shared" si="82"/>
        <v>964.72</v>
      </c>
      <c r="Q1031" s="3">
        <f t="shared" si="83"/>
        <v>1048.5999999999999</v>
      </c>
      <c r="R1031" s="4">
        <f t="shared" si="84"/>
        <v>0.52080000000000004</v>
      </c>
      <c r="S1031" s="2">
        <v>14</v>
      </c>
      <c r="T1031" t="s">
        <v>30</v>
      </c>
      <c r="U1031">
        <v>3</v>
      </c>
    </row>
    <row r="1032" spans="1:21" x14ac:dyDescent="0.25">
      <c r="A1032" s="1">
        <v>46080</v>
      </c>
      <c r="B1032" t="s">
        <v>1227</v>
      </c>
      <c r="C1032" t="s">
        <v>235</v>
      </c>
      <c r="D1032" t="s">
        <v>113</v>
      </c>
      <c r="E1032" t="s">
        <v>50</v>
      </c>
      <c r="F1032" t="s">
        <v>36</v>
      </c>
      <c r="G1032" t="s">
        <v>27</v>
      </c>
      <c r="H1032" t="s">
        <v>68</v>
      </c>
      <c r="I1032" t="s">
        <v>53</v>
      </c>
      <c r="J1032" s="2">
        <v>1</v>
      </c>
      <c r="K1032" s="3">
        <v>1232.5999999999999</v>
      </c>
      <c r="L1032" s="3">
        <v>754.73</v>
      </c>
      <c r="M1032" s="4">
        <v>0.1163</v>
      </c>
      <c r="N1032" s="3">
        <f t="shared" si="80"/>
        <v>1232.5999999999999</v>
      </c>
      <c r="O1032" s="3">
        <f t="shared" si="81"/>
        <v>1089.25</v>
      </c>
      <c r="P1032" s="3">
        <f t="shared" si="82"/>
        <v>754.73</v>
      </c>
      <c r="Q1032" s="3">
        <f t="shared" si="83"/>
        <v>334.52</v>
      </c>
      <c r="R1032" s="4">
        <f t="shared" si="84"/>
        <v>0.30709999999999998</v>
      </c>
      <c r="S1032" s="2">
        <v>3</v>
      </c>
      <c r="T1032" t="s">
        <v>46</v>
      </c>
      <c r="U1032">
        <v>2</v>
      </c>
    </row>
    <row r="1033" spans="1:21" x14ac:dyDescent="0.25">
      <c r="A1033" s="1">
        <v>46047</v>
      </c>
      <c r="B1033" t="s">
        <v>1228</v>
      </c>
      <c r="C1033" t="s">
        <v>82</v>
      </c>
      <c r="D1033" t="s">
        <v>43</v>
      </c>
      <c r="E1033" t="s">
        <v>25</v>
      </c>
      <c r="F1033" t="s">
        <v>58</v>
      </c>
      <c r="G1033" t="s">
        <v>44</v>
      </c>
      <c r="H1033" t="s">
        <v>124</v>
      </c>
      <c r="I1033" t="s">
        <v>65</v>
      </c>
      <c r="J1033" s="2">
        <v>3</v>
      </c>
      <c r="K1033" s="3">
        <v>5552.15</v>
      </c>
      <c r="L1033" s="3">
        <v>4312.6099999999997</v>
      </c>
      <c r="M1033" s="4">
        <v>0.13370000000000001</v>
      </c>
      <c r="N1033" s="3">
        <f t="shared" si="80"/>
        <v>16656.45</v>
      </c>
      <c r="O1033" s="3">
        <f t="shared" si="81"/>
        <v>14429.48</v>
      </c>
      <c r="P1033" s="3">
        <f t="shared" si="82"/>
        <v>12937.83</v>
      </c>
      <c r="Q1033" s="3">
        <f t="shared" si="83"/>
        <v>1491.65</v>
      </c>
      <c r="R1033" s="4">
        <f t="shared" si="84"/>
        <v>0.10340000000000001</v>
      </c>
      <c r="S1033" s="2">
        <v>5</v>
      </c>
      <c r="T1033" t="s">
        <v>46</v>
      </c>
      <c r="U1033">
        <v>5</v>
      </c>
    </row>
    <row r="1034" spans="1:21" x14ac:dyDescent="0.25">
      <c r="A1034" s="1">
        <v>46053</v>
      </c>
      <c r="B1034" t="s">
        <v>1229</v>
      </c>
      <c r="C1034" t="s">
        <v>321</v>
      </c>
      <c r="D1034" t="s">
        <v>130</v>
      </c>
      <c r="E1034" t="s">
        <v>72</v>
      </c>
      <c r="F1034" t="s">
        <v>64</v>
      </c>
      <c r="G1034" t="s">
        <v>27</v>
      </c>
      <c r="H1034" t="s">
        <v>86</v>
      </c>
      <c r="I1034" t="s">
        <v>77</v>
      </c>
      <c r="J1034" s="2">
        <v>3</v>
      </c>
      <c r="K1034" s="3">
        <v>1851.87</v>
      </c>
      <c r="L1034" s="3">
        <v>1192.24</v>
      </c>
      <c r="M1034" s="4">
        <v>0</v>
      </c>
      <c r="N1034" s="3">
        <f t="shared" si="80"/>
        <v>5555.61</v>
      </c>
      <c r="O1034" s="3">
        <f t="shared" si="81"/>
        <v>5555.61</v>
      </c>
      <c r="P1034" s="3">
        <f t="shared" si="82"/>
        <v>3576.72</v>
      </c>
      <c r="Q1034" s="3">
        <f t="shared" si="83"/>
        <v>1978.89</v>
      </c>
      <c r="R1034" s="4">
        <f t="shared" si="84"/>
        <v>0.35620000000000002</v>
      </c>
      <c r="S1034" s="2">
        <v>12</v>
      </c>
      <c r="T1034" t="s">
        <v>30</v>
      </c>
      <c r="U1034">
        <v>4</v>
      </c>
    </row>
    <row r="1035" spans="1:21" x14ac:dyDescent="0.25">
      <c r="A1035" s="1">
        <v>46165</v>
      </c>
      <c r="B1035" t="s">
        <v>1230</v>
      </c>
      <c r="C1035" t="s">
        <v>480</v>
      </c>
      <c r="D1035" t="s">
        <v>85</v>
      </c>
      <c r="E1035" t="s">
        <v>50</v>
      </c>
      <c r="F1035" t="s">
        <v>36</v>
      </c>
      <c r="G1035" t="s">
        <v>51</v>
      </c>
      <c r="H1035" t="s">
        <v>59</v>
      </c>
      <c r="I1035" t="s">
        <v>60</v>
      </c>
      <c r="J1035" s="2">
        <v>7</v>
      </c>
      <c r="K1035" s="3">
        <v>2223.56</v>
      </c>
      <c r="L1035" s="3">
        <v>1371.34</v>
      </c>
      <c r="M1035" s="4">
        <v>0</v>
      </c>
      <c r="N1035" s="3">
        <f t="shared" si="80"/>
        <v>15564.92</v>
      </c>
      <c r="O1035" s="3">
        <f t="shared" si="81"/>
        <v>15564.92</v>
      </c>
      <c r="P1035" s="3">
        <f t="shared" si="82"/>
        <v>9599.3799999999992</v>
      </c>
      <c r="Q1035" s="3">
        <f t="shared" si="83"/>
        <v>5965.54</v>
      </c>
      <c r="R1035" s="4">
        <f t="shared" si="84"/>
        <v>0.38329999999999997</v>
      </c>
      <c r="S1035" s="2">
        <v>8</v>
      </c>
      <c r="T1035" t="s">
        <v>46</v>
      </c>
      <c r="U1035">
        <v>4</v>
      </c>
    </row>
    <row r="1036" spans="1:21" x14ac:dyDescent="0.25">
      <c r="A1036" s="1">
        <v>46208</v>
      </c>
      <c r="B1036" t="s">
        <v>1231</v>
      </c>
      <c r="C1036" t="s">
        <v>132</v>
      </c>
      <c r="D1036" t="s">
        <v>56</v>
      </c>
      <c r="E1036" t="s">
        <v>57</v>
      </c>
      <c r="F1036" t="s">
        <v>58</v>
      </c>
      <c r="G1036" t="s">
        <v>27</v>
      </c>
      <c r="H1036" t="s">
        <v>68</v>
      </c>
      <c r="I1036" t="s">
        <v>39</v>
      </c>
      <c r="J1036" s="2">
        <v>7</v>
      </c>
      <c r="K1036" s="3">
        <v>1277.1400000000001</v>
      </c>
      <c r="L1036" s="3">
        <v>749.61</v>
      </c>
      <c r="M1036" s="4">
        <v>8.0299999999999996E-2</v>
      </c>
      <c r="N1036" s="3">
        <f t="shared" si="80"/>
        <v>8939.98</v>
      </c>
      <c r="O1036" s="3">
        <f t="shared" si="81"/>
        <v>8222.1</v>
      </c>
      <c r="P1036" s="3">
        <f t="shared" si="82"/>
        <v>5247.27</v>
      </c>
      <c r="Q1036" s="3">
        <f t="shared" si="83"/>
        <v>2974.83</v>
      </c>
      <c r="R1036" s="4">
        <f t="shared" si="84"/>
        <v>0.36180000000000001</v>
      </c>
      <c r="S1036" s="2">
        <v>3</v>
      </c>
      <c r="T1036" t="s">
        <v>46</v>
      </c>
      <c r="U1036">
        <v>4</v>
      </c>
    </row>
    <row r="1037" spans="1:21" x14ac:dyDescent="0.25">
      <c r="A1037" s="1">
        <v>46110</v>
      </c>
      <c r="B1037" t="s">
        <v>1232</v>
      </c>
      <c r="C1037" t="s">
        <v>386</v>
      </c>
      <c r="D1037" t="s">
        <v>24</v>
      </c>
      <c r="E1037" t="s">
        <v>25</v>
      </c>
      <c r="F1037" t="s">
        <v>36</v>
      </c>
      <c r="G1037" t="s">
        <v>37</v>
      </c>
      <c r="H1037" t="s">
        <v>104</v>
      </c>
      <c r="I1037" t="s">
        <v>87</v>
      </c>
      <c r="J1037" s="2">
        <v>2</v>
      </c>
      <c r="K1037" s="3">
        <v>304.79000000000002</v>
      </c>
      <c r="L1037" s="3">
        <v>139.49</v>
      </c>
      <c r="M1037" s="4">
        <v>1.5E-3</v>
      </c>
      <c r="N1037" s="3">
        <f t="shared" si="80"/>
        <v>609.58000000000004</v>
      </c>
      <c r="O1037" s="3">
        <f t="shared" si="81"/>
        <v>608.66999999999996</v>
      </c>
      <c r="P1037" s="3">
        <f t="shared" si="82"/>
        <v>278.98</v>
      </c>
      <c r="Q1037" s="3">
        <f t="shared" si="83"/>
        <v>329.69</v>
      </c>
      <c r="R1037" s="4">
        <f t="shared" si="84"/>
        <v>0.54169999999999996</v>
      </c>
      <c r="S1037" s="2">
        <v>9</v>
      </c>
      <c r="T1037" t="s">
        <v>46</v>
      </c>
      <c r="U1037">
        <v>2</v>
      </c>
    </row>
    <row r="1038" spans="1:21" x14ac:dyDescent="0.25">
      <c r="A1038" s="1">
        <v>46117</v>
      </c>
      <c r="B1038" t="s">
        <v>1233</v>
      </c>
      <c r="C1038" t="s">
        <v>520</v>
      </c>
      <c r="D1038" t="s">
        <v>101</v>
      </c>
      <c r="E1038" t="s">
        <v>35</v>
      </c>
      <c r="F1038" t="s">
        <v>36</v>
      </c>
      <c r="G1038" t="s">
        <v>27</v>
      </c>
      <c r="H1038" t="s">
        <v>86</v>
      </c>
      <c r="I1038" t="s">
        <v>87</v>
      </c>
      <c r="J1038" s="2">
        <v>2</v>
      </c>
      <c r="K1038" s="3">
        <v>1945.45</v>
      </c>
      <c r="L1038" s="3">
        <v>1142.51</v>
      </c>
      <c r="M1038" s="4">
        <v>1.1900000000000001E-2</v>
      </c>
      <c r="N1038" s="3">
        <f t="shared" si="80"/>
        <v>3890.9</v>
      </c>
      <c r="O1038" s="3">
        <f t="shared" si="81"/>
        <v>3844.6</v>
      </c>
      <c r="P1038" s="3">
        <f t="shared" si="82"/>
        <v>2285.02</v>
      </c>
      <c r="Q1038" s="3">
        <f t="shared" si="83"/>
        <v>1559.58</v>
      </c>
      <c r="R1038" s="4">
        <f t="shared" si="84"/>
        <v>0.40570000000000001</v>
      </c>
      <c r="S1038" s="2">
        <v>9</v>
      </c>
      <c r="T1038" t="s">
        <v>46</v>
      </c>
      <c r="U1038">
        <v>5</v>
      </c>
    </row>
    <row r="1039" spans="1:21" x14ac:dyDescent="0.25">
      <c r="A1039" s="1">
        <v>46084</v>
      </c>
      <c r="B1039" t="s">
        <v>1234</v>
      </c>
      <c r="C1039" t="s">
        <v>447</v>
      </c>
      <c r="D1039" t="s">
        <v>85</v>
      </c>
      <c r="E1039" t="s">
        <v>50</v>
      </c>
      <c r="F1039" t="s">
        <v>64</v>
      </c>
      <c r="G1039" t="s">
        <v>51</v>
      </c>
      <c r="H1039" t="s">
        <v>59</v>
      </c>
      <c r="I1039" t="s">
        <v>65</v>
      </c>
      <c r="J1039" s="2">
        <v>3</v>
      </c>
      <c r="K1039" s="3">
        <v>2065.7600000000002</v>
      </c>
      <c r="L1039" s="3">
        <v>1356.44</v>
      </c>
      <c r="M1039" s="4">
        <v>0</v>
      </c>
      <c r="N1039" s="3">
        <f t="shared" si="80"/>
        <v>6197.28</v>
      </c>
      <c r="O1039" s="3">
        <f t="shared" si="81"/>
        <v>6197.28</v>
      </c>
      <c r="P1039" s="3">
        <f t="shared" si="82"/>
        <v>4069.32</v>
      </c>
      <c r="Q1039" s="3">
        <f t="shared" si="83"/>
        <v>2127.96</v>
      </c>
      <c r="R1039" s="4">
        <f t="shared" si="84"/>
        <v>0.34339999999999998</v>
      </c>
      <c r="S1039" s="2">
        <v>9</v>
      </c>
      <c r="T1039" t="s">
        <v>46</v>
      </c>
      <c r="U1039">
        <v>4</v>
      </c>
    </row>
    <row r="1040" spans="1:21" x14ac:dyDescent="0.25">
      <c r="A1040" s="1">
        <v>46190</v>
      </c>
      <c r="B1040" t="s">
        <v>1235</v>
      </c>
      <c r="C1040" t="s">
        <v>48</v>
      </c>
      <c r="D1040" t="s">
        <v>207</v>
      </c>
      <c r="E1040" t="s">
        <v>35</v>
      </c>
      <c r="F1040" t="s">
        <v>64</v>
      </c>
      <c r="G1040" t="s">
        <v>27</v>
      </c>
      <c r="H1040" t="s">
        <v>86</v>
      </c>
      <c r="I1040" t="s">
        <v>29</v>
      </c>
      <c r="J1040" s="2">
        <v>1</v>
      </c>
      <c r="K1040" s="3">
        <v>1992.8</v>
      </c>
      <c r="L1040" s="3">
        <v>1174.72</v>
      </c>
      <c r="M1040" s="4">
        <v>0</v>
      </c>
      <c r="N1040" s="3">
        <f t="shared" si="80"/>
        <v>1992.8</v>
      </c>
      <c r="O1040" s="3">
        <f t="shared" si="81"/>
        <v>1992.8</v>
      </c>
      <c r="P1040" s="3">
        <f t="shared" si="82"/>
        <v>1174.72</v>
      </c>
      <c r="Q1040" s="3">
        <f t="shared" si="83"/>
        <v>818.08</v>
      </c>
      <c r="R1040" s="4">
        <f t="shared" si="84"/>
        <v>0.41049999999999998</v>
      </c>
      <c r="S1040" s="2">
        <v>11</v>
      </c>
      <c r="T1040" t="s">
        <v>30</v>
      </c>
      <c r="U1040">
        <v>2</v>
      </c>
    </row>
    <row r="1041" spans="1:21" x14ac:dyDescent="0.25">
      <c r="A1041" s="1">
        <v>46159</v>
      </c>
      <c r="B1041" t="s">
        <v>1236</v>
      </c>
      <c r="C1041" t="s">
        <v>42</v>
      </c>
      <c r="D1041" t="s">
        <v>49</v>
      </c>
      <c r="E1041" t="s">
        <v>50</v>
      </c>
      <c r="F1041" t="s">
        <v>26</v>
      </c>
      <c r="G1041" t="s">
        <v>51</v>
      </c>
      <c r="H1041" t="s">
        <v>116</v>
      </c>
      <c r="I1041" t="s">
        <v>39</v>
      </c>
      <c r="J1041" s="2">
        <v>4</v>
      </c>
      <c r="K1041" s="3">
        <v>2882.35</v>
      </c>
      <c r="L1041" s="3">
        <v>1799.31</v>
      </c>
      <c r="M1041" s="4">
        <v>1.1000000000000001E-3</v>
      </c>
      <c r="N1041" s="3">
        <f t="shared" si="80"/>
        <v>11529.4</v>
      </c>
      <c r="O1041" s="3">
        <f t="shared" si="81"/>
        <v>11516.72</v>
      </c>
      <c r="P1041" s="3">
        <f t="shared" si="82"/>
        <v>7197.24</v>
      </c>
      <c r="Q1041" s="3">
        <f t="shared" si="83"/>
        <v>4319.4799999999996</v>
      </c>
      <c r="R1041" s="4">
        <f t="shared" si="84"/>
        <v>0.37509999999999999</v>
      </c>
      <c r="S1041" s="2">
        <v>3</v>
      </c>
      <c r="T1041" t="s">
        <v>46</v>
      </c>
      <c r="U1041">
        <v>2</v>
      </c>
    </row>
    <row r="1042" spans="1:21" x14ac:dyDescent="0.25">
      <c r="A1042" s="1">
        <v>46074</v>
      </c>
      <c r="B1042" t="s">
        <v>1237</v>
      </c>
      <c r="C1042" t="s">
        <v>159</v>
      </c>
      <c r="D1042" t="s">
        <v>49</v>
      </c>
      <c r="E1042" t="s">
        <v>50</v>
      </c>
      <c r="F1042" t="s">
        <v>64</v>
      </c>
      <c r="G1042" t="s">
        <v>44</v>
      </c>
      <c r="H1042" t="s">
        <v>45</v>
      </c>
      <c r="I1042" t="s">
        <v>29</v>
      </c>
      <c r="J1042" s="2">
        <v>6</v>
      </c>
      <c r="K1042" s="3">
        <v>375.69</v>
      </c>
      <c r="L1042" s="3">
        <v>216.13</v>
      </c>
      <c r="M1042" s="4">
        <v>6.2100000000000002E-2</v>
      </c>
      <c r="N1042" s="3">
        <f t="shared" si="80"/>
        <v>2254.14</v>
      </c>
      <c r="O1042" s="3">
        <f t="shared" si="81"/>
        <v>2114.16</v>
      </c>
      <c r="P1042" s="3">
        <f t="shared" si="82"/>
        <v>1296.78</v>
      </c>
      <c r="Q1042" s="3">
        <f t="shared" si="83"/>
        <v>817.38</v>
      </c>
      <c r="R1042" s="4">
        <f t="shared" si="84"/>
        <v>0.3866</v>
      </c>
      <c r="S1042" s="2">
        <v>6</v>
      </c>
      <c r="T1042" t="s">
        <v>46</v>
      </c>
      <c r="U1042">
        <v>4</v>
      </c>
    </row>
    <row r="1043" spans="1:21" x14ac:dyDescent="0.25">
      <c r="A1043" s="1">
        <v>46090</v>
      </c>
      <c r="B1043" t="s">
        <v>1238</v>
      </c>
      <c r="C1043" t="s">
        <v>62</v>
      </c>
      <c r="D1043" t="s">
        <v>63</v>
      </c>
      <c r="E1043" t="s">
        <v>35</v>
      </c>
      <c r="F1043" t="s">
        <v>36</v>
      </c>
      <c r="G1043" t="s">
        <v>37</v>
      </c>
      <c r="H1043" t="s">
        <v>38</v>
      </c>
      <c r="I1043" t="s">
        <v>29</v>
      </c>
      <c r="J1043" s="2">
        <v>4</v>
      </c>
      <c r="K1043" s="3">
        <v>442.34</v>
      </c>
      <c r="L1043" s="3">
        <v>187.68</v>
      </c>
      <c r="M1043" s="4">
        <v>0.1086</v>
      </c>
      <c r="N1043" s="3">
        <f t="shared" si="80"/>
        <v>1769.36</v>
      </c>
      <c r="O1043" s="3">
        <f t="shared" si="81"/>
        <v>1577.21</v>
      </c>
      <c r="P1043" s="3">
        <f t="shared" si="82"/>
        <v>750.72</v>
      </c>
      <c r="Q1043" s="3">
        <f t="shared" si="83"/>
        <v>826.49</v>
      </c>
      <c r="R1043" s="4">
        <f t="shared" si="84"/>
        <v>0.52400000000000002</v>
      </c>
      <c r="S1043" s="2">
        <v>8</v>
      </c>
      <c r="T1043" t="s">
        <v>46</v>
      </c>
      <c r="U1043">
        <v>5</v>
      </c>
    </row>
    <row r="1044" spans="1:21" x14ac:dyDescent="0.25">
      <c r="A1044" s="1">
        <v>46115</v>
      </c>
      <c r="B1044" t="s">
        <v>1239</v>
      </c>
      <c r="C1044" t="s">
        <v>525</v>
      </c>
      <c r="D1044" t="s">
        <v>113</v>
      </c>
      <c r="E1044" t="s">
        <v>50</v>
      </c>
      <c r="F1044" t="s">
        <v>64</v>
      </c>
      <c r="G1044" t="s">
        <v>44</v>
      </c>
      <c r="H1044" t="s">
        <v>124</v>
      </c>
      <c r="I1044" t="s">
        <v>87</v>
      </c>
      <c r="J1044" s="2">
        <v>4</v>
      </c>
      <c r="K1044" s="3">
        <v>5904.18</v>
      </c>
      <c r="L1044" s="3">
        <v>4405.6000000000004</v>
      </c>
      <c r="M1044" s="4">
        <v>3.4200000000000001E-2</v>
      </c>
      <c r="N1044" s="3">
        <f t="shared" si="80"/>
        <v>23616.720000000001</v>
      </c>
      <c r="O1044" s="3">
        <f t="shared" si="81"/>
        <v>22809.03</v>
      </c>
      <c r="P1044" s="3">
        <f t="shared" si="82"/>
        <v>17622.400000000001</v>
      </c>
      <c r="Q1044" s="3">
        <f t="shared" si="83"/>
        <v>5186.63</v>
      </c>
      <c r="R1044" s="4">
        <f t="shared" si="84"/>
        <v>0.22739999999999999</v>
      </c>
      <c r="S1044" s="2">
        <v>9</v>
      </c>
      <c r="T1044" t="s">
        <v>46</v>
      </c>
      <c r="U1044">
        <v>5</v>
      </c>
    </row>
    <row r="1045" spans="1:21" x14ac:dyDescent="0.25">
      <c r="A1045" s="1">
        <v>46158</v>
      </c>
      <c r="B1045" t="s">
        <v>1240</v>
      </c>
      <c r="C1045" t="s">
        <v>253</v>
      </c>
      <c r="D1045" t="s">
        <v>85</v>
      </c>
      <c r="E1045" t="s">
        <v>50</v>
      </c>
      <c r="F1045" t="s">
        <v>58</v>
      </c>
      <c r="G1045" t="s">
        <v>51</v>
      </c>
      <c r="H1045" t="s">
        <v>52</v>
      </c>
      <c r="I1045" t="s">
        <v>53</v>
      </c>
      <c r="J1045" s="2">
        <v>5</v>
      </c>
      <c r="K1045" s="3">
        <v>260.94</v>
      </c>
      <c r="L1045" s="3">
        <v>119.52</v>
      </c>
      <c r="M1045" s="4">
        <v>3.5000000000000003E-2</v>
      </c>
      <c r="N1045" s="3">
        <f t="shared" si="80"/>
        <v>1304.7</v>
      </c>
      <c r="O1045" s="3">
        <f t="shared" si="81"/>
        <v>1259.04</v>
      </c>
      <c r="P1045" s="3">
        <f t="shared" si="82"/>
        <v>597.6</v>
      </c>
      <c r="Q1045" s="3">
        <f t="shared" si="83"/>
        <v>661.44</v>
      </c>
      <c r="R1045" s="4">
        <f t="shared" si="84"/>
        <v>0.52539999999999998</v>
      </c>
      <c r="S1045" s="2">
        <v>10</v>
      </c>
      <c r="T1045" t="s">
        <v>46</v>
      </c>
      <c r="U1045">
        <v>3</v>
      </c>
    </row>
    <row r="1046" spans="1:21" x14ac:dyDescent="0.25">
      <c r="A1046" s="1">
        <v>46129</v>
      </c>
      <c r="B1046" t="s">
        <v>1241</v>
      </c>
      <c r="C1046" t="s">
        <v>358</v>
      </c>
      <c r="D1046" t="s">
        <v>126</v>
      </c>
      <c r="E1046" t="s">
        <v>57</v>
      </c>
      <c r="F1046" t="s">
        <v>26</v>
      </c>
      <c r="G1046" t="s">
        <v>44</v>
      </c>
      <c r="H1046" t="s">
        <v>124</v>
      </c>
      <c r="I1046" t="s">
        <v>53</v>
      </c>
      <c r="J1046" s="2">
        <v>1</v>
      </c>
      <c r="K1046" s="3">
        <v>5957.41</v>
      </c>
      <c r="L1046" s="3">
        <v>4460</v>
      </c>
      <c r="M1046" s="4">
        <v>5.3900000000000003E-2</v>
      </c>
      <c r="N1046" s="3">
        <f t="shared" si="80"/>
        <v>5957.41</v>
      </c>
      <c r="O1046" s="3">
        <f t="shared" si="81"/>
        <v>5636.31</v>
      </c>
      <c r="P1046" s="3">
        <f t="shared" si="82"/>
        <v>4460</v>
      </c>
      <c r="Q1046" s="3">
        <f t="shared" si="83"/>
        <v>1176.31</v>
      </c>
      <c r="R1046" s="4">
        <f t="shared" si="84"/>
        <v>0.2087</v>
      </c>
      <c r="S1046" s="2">
        <v>11</v>
      </c>
      <c r="T1046" t="s">
        <v>30</v>
      </c>
      <c r="U1046">
        <v>4</v>
      </c>
    </row>
    <row r="1047" spans="1:21" x14ac:dyDescent="0.25">
      <c r="A1047" s="1">
        <v>46104</v>
      </c>
      <c r="B1047" t="s">
        <v>1242</v>
      </c>
      <c r="C1047" t="s">
        <v>247</v>
      </c>
      <c r="D1047" t="s">
        <v>207</v>
      </c>
      <c r="E1047" t="s">
        <v>35</v>
      </c>
      <c r="F1047" t="s">
        <v>64</v>
      </c>
      <c r="G1047" t="s">
        <v>44</v>
      </c>
      <c r="H1047" t="s">
        <v>124</v>
      </c>
      <c r="I1047" t="s">
        <v>29</v>
      </c>
      <c r="J1047" s="2">
        <v>2</v>
      </c>
      <c r="K1047" s="3">
        <v>6218.93</v>
      </c>
      <c r="L1047" s="3">
        <v>4371.3</v>
      </c>
      <c r="M1047" s="4">
        <v>0.12920000000000001</v>
      </c>
      <c r="N1047" s="3">
        <f t="shared" si="80"/>
        <v>12437.86</v>
      </c>
      <c r="O1047" s="3">
        <f t="shared" si="81"/>
        <v>10830.89</v>
      </c>
      <c r="P1047" s="3">
        <f t="shared" si="82"/>
        <v>8742.6</v>
      </c>
      <c r="Q1047" s="3">
        <f t="shared" si="83"/>
        <v>2088.29</v>
      </c>
      <c r="R1047" s="4">
        <f t="shared" si="84"/>
        <v>0.1928</v>
      </c>
      <c r="S1047" s="2">
        <v>2</v>
      </c>
      <c r="T1047" t="s">
        <v>46</v>
      </c>
      <c r="U1047">
        <v>5</v>
      </c>
    </row>
    <row r="1048" spans="1:21" x14ac:dyDescent="0.25">
      <c r="A1048" s="1">
        <v>46233</v>
      </c>
      <c r="B1048" t="s">
        <v>1243</v>
      </c>
      <c r="C1048" t="s">
        <v>201</v>
      </c>
      <c r="D1048" t="s">
        <v>85</v>
      </c>
      <c r="E1048" t="s">
        <v>50</v>
      </c>
      <c r="F1048" t="s">
        <v>26</v>
      </c>
      <c r="G1048" t="s">
        <v>27</v>
      </c>
      <c r="H1048" t="s">
        <v>86</v>
      </c>
      <c r="I1048" t="s">
        <v>53</v>
      </c>
      <c r="J1048" s="2">
        <v>6</v>
      </c>
      <c r="K1048" s="3">
        <v>1816.91</v>
      </c>
      <c r="L1048" s="3">
        <v>1219.77</v>
      </c>
      <c r="M1048" s="4">
        <v>0</v>
      </c>
      <c r="N1048" s="3">
        <f t="shared" si="80"/>
        <v>10901.46</v>
      </c>
      <c r="O1048" s="3">
        <f t="shared" si="81"/>
        <v>10901.46</v>
      </c>
      <c r="P1048" s="3">
        <f t="shared" si="82"/>
        <v>7318.62</v>
      </c>
      <c r="Q1048" s="3">
        <f t="shared" si="83"/>
        <v>3582.84</v>
      </c>
      <c r="R1048" s="4">
        <f t="shared" si="84"/>
        <v>0.32869999999999999</v>
      </c>
      <c r="S1048" s="2">
        <v>10</v>
      </c>
      <c r="T1048" t="s">
        <v>46</v>
      </c>
      <c r="U1048">
        <v>3</v>
      </c>
    </row>
    <row r="1049" spans="1:21" x14ac:dyDescent="0.25">
      <c r="A1049" s="1">
        <v>46132</v>
      </c>
      <c r="B1049" t="s">
        <v>1244</v>
      </c>
      <c r="C1049" t="s">
        <v>297</v>
      </c>
      <c r="D1049" t="s">
        <v>139</v>
      </c>
      <c r="E1049" t="s">
        <v>72</v>
      </c>
      <c r="F1049" t="s">
        <v>26</v>
      </c>
      <c r="G1049" t="s">
        <v>51</v>
      </c>
      <c r="H1049" t="s">
        <v>116</v>
      </c>
      <c r="I1049" t="s">
        <v>53</v>
      </c>
      <c r="J1049" s="2">
        <v>3</v>
      </c>
      <c r="K1049" s="3">
        <v>2752.85</v>
      </c>
      <c r="L1049" s="3">
        <v>1940.17</v>
      </c>
      <c r="M1049" s="4">
        <v>9.0499999999999997E-2</v>
      </c>
      <c r="N1049" s="3">
        <f t="shared" si="80"/>
        <v>8258.5499999999993</v>
      </c>
      <c r="O1049" s="3">
        <f t="shared" si="81"/>
        <v>7511.15</v>
      </c>
      <c r="P1049" s="3">
        <f t="shared" si="82"/>
        <v>5820.51</v>
      </c>
      <c r="Q1049" s="3">
        <f t="shared" si="83"/>
        <v>1690.64</v>
      </c>
      <c r="R1049" s="4">
        <f t="shared" si="84"/>
        <v>0.22509999999999999</v>
      </c>
      <c r="S1049" s="2">
        <v>6</v>
      </c>
      <c r="T1049" t="s">
        <v>46</v>
      </c>
      <c r="U1049">
        <v>5</v>
      </c>
    </row>
    <row r="1050" spans="1:21" x14ac:dyDescent="0.25">
      <c r="A1050" s="1">
        <v>46038</v>
      </c>
      <c r="B1050" t="s">
        <v>1245</v>
      </c>
      <c r="C1050" t="s">
        <v>96</v>
      </c>
      <c r="D1050" t="s">
        <v>56</v>
      </c>
      <c r="E1050" t="s">
        <v>57</v>
      </c>
      <c r="F1050" t="s">
        <v>26</v>
      </c>
      <c r="G1050" t="s">
        <v>27</v>
      </c>
      <c r="H1050" t="s">
        <v>86</v>
      </c>
      <c r="I1050" t="s">
        <v>65</v>
      </c>
      <c r="J1050" s="2">
        <v>3</v>
      </c>
      <c r="K1050" s="3">
        <v>1892.45</v>
      </c>
      <c r="L1050" s="3">
        <v>1181.53</v>
      </c>
      <c r="M1050" s="4">
        <v>0</v>
      </c>
      <c r="N1050" s="3">
        <f t="shared" si="80"/>
        <v>5677.35</v>
      </c>
      <c r="O1050" s="3">
        <f t="shared" si="81"/>
        <v>5677.35</v>
      </c>
      <c r="P1050" s="3">
        <f t="shared" si="82"/>
        <v>3544.59</v>
      </c>
      <c r="Q1050" s="3">
        <f t="shared" si="83"/>
        <v>2132.7600000000002</v>
      </c>
      <c r="R1050" s="4">
        <f t="shared" si="84"/>
        <v>0.37569999999999998</v>
      </c>
      <c r="S1050" s="2">
        <v>14</v>
      </c>
      <c r="T1050" t="s">
        <v>30</v>
      </c>
      <c r="U1050">
        <v>2</v>
      </c>
    </row>
    <row r="1051" spans="1:21" x14ac:dyDescent="0.25">
      <c r="A1051" s="1">
        <v>46095</v>
      </c>
      <c r="B1051" t="s">
        <v>1246</v>
      </c>
      <c r="C1051" t="s">
        <v>155</v>
      </c>
      <c r="D1051" t="s">
        <v>130</v>
      </c>
      <c r="E1051" t="s">
        <v>72</v>
      </c>
      <c r="F1051" t="s">
        <v>64</v>
      </c>
      <c r="G1051" t="s">
        <v>51</v>
      </c>
      <c r="H1051" t="s">
        <v>59</v>
      </c>
      <c r="I1051" t="s">
        <v>39</v>
      </c>
      <c r="J1051" s="2">
        <v>6</v>
      </c>
      <c r="K1051" s="3">
        <v>2073.31</v>
      </c>
      <c r="L1051" s="3">
        <v>1448.51</v>
      </c>
      <c r="M1051" s="4">
        <v>6.7199999999999996E-2</v>
      </c>
      <c r="N1051" s="3">
        <f t="shared" si="80"/>
        <v>12439.86</v>
      </c>
      <c r="O1051" s="3">
        <f t="shared" si="81"/>
        <v>11603.9</v>
      </c>
      <c r="P1051" s="3">
        <f t="shared" si="82"/>
        <v>8691.06</v>
      </c>
      <c r="Q1051" s="3">
        <f t="shared" si="83"/>
        <v>2912.84</v>
      </c>
      <c r="R1051" s="4">
        <f t="shared" si="84"/>
        <v>0.251</v>
      </c>
      <c r="S1051" s="2">
        <v>6</v>
      </c>
      <c r="T1051" t="s">
        <v>46</v>
      </c>
      <c r="U1051">
        <v>2</v>
      </c>
    </row>
    <row r="1052" spans="1:21" x14ac:dyDescent="0.25">
      <c r="A1052" s="1">
        <v>46227</v>
      </c>
      <c r="B1052" t="s">
        <v>1247</v>
      </c>
      <c r="C1052" t="s">
        <v>134</v>
      </c>
      <c r="D1052" t="s">
        <v>101</v>
      </c>
      <c r="E1052" t="s">
        <v>35</v>
      </c>
      <c r="F1052" t="s">
        <v>58</v>
      </c>
      <c r="G1052" t="s">
        <v>44</v>
      </c>
      <c r="H1052" t="s">
        <v>45</v>
      </c>
      <c r="I1052" t="s">
        <v>29</v>
      </c>
      <c r="J1052" s="2">
        <v>2</v>
      </c>
      <c r="K1052" s="3">
        <v>380.97</v>
      </c>
      <c r="L1052" s="3">
        <v>207.76</v>
      </c>
      <c r="M1052" s="4">
        <v>6.0100000000000001E-2</v>
      </c>
      <c r="N1052" s="3">
        <f t="shared" si="80"/>
        <v>761.94</v>
      </c>
      <c r="O1052" s="3">
        <f t="shared" si="81"/>
        <v>716.15</v>
      </c>
      <c r="P1052" s="3">
        <f t="shared" si="82"/>
        <v>415.52</v>
      </c>
      <c r="Q1052" s="3">
        <f t="shared" si="83"/>
        <v>300.63</v>
      </c>
      <c r="R1052" s="4">
        <f t="shared" si="84"/>
        <v>0.41980000000000001</v>
      </c>
      <c r="S1052" s="2">
        <v>11</v>
      </c>
      <c r="T1052" t="s">
        <v>30</v>
      </c>
      <c r="U1052">
        <v>4</v>
      </c>
    </row>
    <row r="1053" spans="1:21" x14ac:dyDescent="0.25">
      <c r="A1053" s="1">
        <v>46214</v>
      </c>
      <c r="B1053" t="s">
        <v>1248</v>
      </c>
      <c r="C1053" t="s">
        <v>176</v>
      </c>
      <c r="D1053" t="s">
        <v>49</v>
      </c>
      <c r="E1053" t="s">
        <v>50</v>
      </c>
      <c r="F1053" t="s">
        <v>26</v>
      </c>
      <c r="G1053" t="s">
        <v>37</v>
      </c>
      <c r="H1053" t="s">
        <v>38</v>
      </c>
      <c r="I1053" t="s">
        <v>87</v>
      </c>
      <c r="J1053" s="2">
        <v>2</v>
      </c>
      <c r="K1053" s="3">
        <v>444.3</v>
      </c>
      <c r="L1053" s="3">
        <v>195.43</v>
      </c>
      <c r="M1053" s="4">
        <v>3.5200000000000002E-2</v>
      </c>
      <c r="N1053" s="3">
        <f t="shared" si="80"/>
        <v>888.6</v>
      </c>
      <c r="O1053" s="3">
        <f t="shared" si="81"/>
        <v>857.32</v>
      </c>
      <c r="P1053" s="3">
        <f t="shared" si="82"/>
        <v>390.86</v>
      </c>
      <c r="Q1053" s="3">
        <f t="shared" si="83"/>
        <v>466.46</v>
      </c>
      <c r="R1053" s="4">
        <f t="shared" si="84"/>
        <v>0.54410000000000003</v>
      </c>
      <c r="S1053" s="2">
        <v>12</v>
      </c>
      <c r="T1053" t="s">
        <v>30</v>
      </c>
      <c r="U1053">
        <v>5</v>
      </c>
    </row>
    <row r="1054" spans="1:21" x14ac:dyDescent="0.25">
      <c r="A1054" s="1">
        <v>46221</v>
      </c>
      <c r="B1054" t="s">
        <v>1249</v>
      </c>
      <c r="C1054" t="s">
        <v>260</v>
      </c>
      <c r="D1054" t="s">
        <v>63</v>
      </c>
      <c r="E1054" t="s">
        <v>35</v>
      </c>
      <c r="F1054" t="s">
        <v>26</v>
      </c>
      <c r="G1054" t="s">
        <v>51</v>
      </c>
      <c r="H1054" t="s">
        <v>52</v>
      </c>
      <c r="I1054" t="s">
        <v>77</v>
      </c>
      <c r="J1054" s="2">
        <v>4</v>
      </c>
      <c r="K1054" s="3">
        <v>253.84</v>
      </c>
      <c r="L1054" s="3">
        <v>123.81</v>
      </c>
      <c r="M1054" s="4">
        <v>0</v>
      </c>
      <c r="N1054" s="3">
        <f t="shared" si="80"/>
        <v>1015.36</v>
      </c>
      <c r="O1054" s="3">
        <f t="shared" si="81"/>
        <v>1015.36</v>
      </c>
      <c r="P1054" s="3">
        <f t="shared" si="82"/>
        <v>495.24</v>
      </c>
      <c r="Q1054" s="3">
        <f t="shared" si="83"/>
        <v>520.12</v>
      </c>
      <c r="R1054" s="4">
        <f t="shared" si="84"/>
        <v>0.51229999999999998</v>
      </c>
      <c r="S1054" s="2">
        <v>11</v>
      </c>
      <c r="T1054" t="s">
        <v>30</v>
      </c>
      <c r="U1054">
        <v>5</v>
      </c>
    </row>
    <row r="1055" spans="1:21" x14ac:dyDescent="0.25">
      <c r="A1055" s="1">
        <v>46040</v>
      </c>
      <c r="B1055" t="s">
        <v>1250</v>
      </c>
      <c r="C1055" t="s">
        <v>464</v>
      </c>
      <c r="D1055" t="s">
        <v>71</v>
      </c>
      <c r="E1055" t="s">
        <v>72</v>
      </c>
      <c r="F1055" t="s">
        <v>36</v>
      </c>
      <c r="G1055" t="s">
        <v>51</v>
      </c>
      <c r="H1055" t="s">
        <v>116</v>
      </c>
      <c r="I1055" t="s">
        <v>77</v>
      </c>
      <c r="J1055" s="2">
        <v>7</v>
      </c>
      <c r="K1055" s="3">
        <v>2896.55</v>
      </c>
      <c r="L1055" s="3">
        <v>1864.9</v>
      </c>
      <c r="M1055" s="4">
        <v>0</v>
      </c>
      <c r="N1055" s="3">
        <f t="shared" si="80"/>
        <v>20275.849999999999</v>
      </c>
      <c r="O1055" s="3">
        <f t="shared" si="81"/>
        <v>20275.849999999999</v>
      </c>
      <c r="P1055" s="3">
        <f t="shared" si="82"/>
        <v>13054.3</v>
      </c>
      <c r="Q1055" s="3">
        <f t="shared" si="83"/>
        <v>7221.55</v>
      </c>
      <c r="R1055" s="4">
        <f t="shared" si="84"/>
        <v>0.35620000000000002</v>
      </c>
      <c r="S1055" s="2">
        <v>11</v>
      </c>
      <c r="T1055" t="s">
        <v>30</v>
      </c>
      <c r="U1055">
        <v>2</v>
      </c>
    </row>
    <row r="1056" spans="1:21" x14ac:dyDescent="0.25">
      <c r="A1056" s="1">
        <v>46065</v>
      </c>
      <c r="B1056" t="s">
        <v>1251</v>
      </c>
      <c r="C1056" t="s">
        <v>33</v>
      </c>
      <c r="D1056" t="s">
        <v>97</v>
      </c>
      <c r="E1056" t="s">
        <v>57</v>
      </c>
      <c r="F1056" t="s">
        <v>64</v>
      </c>
      <c r="G1056" t="s">
        <v>44</v>
      </c>
      <c r="H1056" t="s">
        <v>124</v>
      </c>
      <c r="I1056" t="s">
        <v>60</v>
      </c>
      <c r="J1056" s="2">
        <v>8</v>
      </c>
      <c r="K1056" s="3">
        <v>5904.51</v>
      </c>
      <c r="L1056" s="3">
        <v>4290.49</v>
      </c>
      <c r="M1056" s="4">
        <v>5.8900000000000001E-2</v>
      </c>
      <c r="N1056" s="3">
        <f t="shared" si="80"/>
        <v>47236.08</v>
      </c>
      <c r="O1056" s="3">
        <f t="shared" si="81"/>
        <v>44453.87</v>
      </c>
      <c r="P1056" s="3">
        <f t="shared" si="82"/>
        <v>34323.919999999998</v>
      </c>
      <c r="Q1056" s="3">
        <f t="shared" si="83"/>
        <v>10129.950000000001</v>
      </c>
      <c r="R1056" s="4">
        <f t="shared" si="84"/>
        <v>0.22789999999999999</v>
      </c>
      <c r="S1056" s="2">
        <v>12</v>
      </c>
      <c r="T1056" t="s">
        <v>30</v>
      </c>
      <c r="U1056">
        <v>3</v>
      </c>
    </row>
    <row r="1057" spans="1:22" x14ac:dyDescent="0.25">
      <c r="A1057" s="1">
        <v>46180</v>
      </c>
      <c r="B1057" t="s">
        <v>1252</v>
      </c>
      <c r="C1057" t="s">
        <v>144</v>
      </c>
      <c r="D1057" t="s">
        <v>71</v>
      </c>
      <c r="E1057" t="s">
        <v>72</v>
      </c>
      <c r="F1057" t="s">
        <v>58</v>
      </c>
      <c r="G1057" t="s">
        <v>44</v>
      </c>
      <c r="H1057" t="s">
        <v>73</v>
      </c>
      <c r="I1057" t="s">
        <v>65</v>
      </c>
      <c r="J1057" s="2">
        <v>5</v>
      </c>
      <c r="K1057" s="3">
        <v>1595.65</v>
      </c>
      <c r="L1057" s="3">
        <v>1768.62</v>
      </c>
      <c r="M1057" s="4">
        <v>0.1036</v>
      </c>
      <c r="N1057" s="3">
        <f t="shared" si="80"/>
        <v>7978.25</v>
      </c>
      <c r="O1057" s="3">
        <f t="shared" si="81"/>
        <v>7151.7</v>
      </c>
      <c r="P1057" s="3">
        <f t="shared" si="82"/>
        <v>8843.1</v>
      </c>
      <c r="Q1057" s="3">
        <f t="shared" si="83"/>
        <v>-1691.4</v>
      </c>
      <c r="R1057" s="4">
        <f t="shared" si="84"/>
        <v>-0.23649999999999999</v>
      </c>
      <c r="S1057" s="2">
        <v>6</v>
      </c>
      <c r="T1057" t="s">
        <v>46</v>
      </c>
      <c r="U1057">
        <v>2</v>
      </c>
      <c r="V1057" t="s">
        <v>388</v>
      </c>
    </row>
    <row r="1058" spans="1:22" x14ac:dyDescent="0.25">
      <c r="A1058" s="1">
        <v>46028</v>
      </c>
      <c r="B1058" t="s">
        <v>1253</v>
      </c>
      <c r="C1058" t="s">
        <v>138</v>
      </c>
      <c r="D1058" t="s">
        <v>71</v>
      </c>
      <c r="E1058" t="s">
        <v>72</v>
      </c>
      <c r="F1058" t="s">
        <v>64</v>
      </c>
      <c r="G1058" t="s">
        <v>44</v>
      </c>
      <c r="H1058" t="s">
        <v>45</v>
      </c>
      <c r="I1058" t="s">
        <v>65</v>
      </c>
      <c r="J1058" s="2">
        <v>8</v>
      </c>
      <c r="K1058" s="3">
        <v>389.86</v>
      </c>
      <c r="L1058" s="3">
        <v>226.69</v>
      </c>
      <c r="M1058" s="4">
        <v>0</v>
      </c>
      <c r="N1058" s="3">
        <f t="shared" si="80"/>
        <v>3118.88</v>
      </c>
      <c r="O1058" s="3">
        <f t="shared" si="81"/>
        <v>3118.88</v>
      </c>
      <c r="P1058" s="3">
        <f t="shared" si="82"/>
        <v>1813.52</v>
      </c>
      <c r="Q1058" s="3">
        <f t="shared" si="83"/>
        <v>1305.3599999999999</v>
      </c>
      <c r="R1058" s="4">
        <f t="shared" si="84"/>
        <v>0.41849999999999998</v>
      </c>
      <c r="S1058" s="2">
        <v>12</v>
      </c>
      <c r="T1058" t="s">
        <v>30</v>
      </c>
      <c r="U1058">
        <v>3</v>
      </c>
    </row>
    <row r="1059" spans="1:22" x14ac:dyDescent="0.25">
      <c r="A1059" s="1">
        <v>46133</v>
      </c>
      <c r="B1059" t="s">
        <v>1254</v>
      </c>
      <c r="C1059" t="s">
        <v>172</v>
      </c>
      <c r="D1059" t="s">
        <v>101</v>
      </c>
      <c r="E1059" t="s">
        <v>35</v>
      </c>
      <c r="F1059" t="s">
        <v>58</v>
      </c>
      <c r="G1059" t="s">
        <v>44</v>
      </c>
      <c r="H1059" t="s">
        <v>45</v>
      </c>
      <c r="I1059" t="s">
        <v>87</v>
      </c>
      <c r="J1059" s="2">
        <v>6</v>
      </c>
      <c r="K1059" s="3">
        <v>372.51</v>
      </c>
      <c r="L1059" s="3">
        <v>207.25</v>
      </c>
      <c r="M1059" s="4">
        <v>0.10199999999999999</v>
      </c>
      <c r="N1059" s="3">
        <f t="shared" si="80"/>
        <v>2235.06</v>
      </c>
      <c r="O1059" s="3">
        <f t="shared" si="81"/>
        <v>2007.08</v>
      </c>
      <c r="P1059" s="3">
        <f t="shared" si="82"/>
        <v>1243.5</v>
      </c>
      <c r="Q1059" s="3">
        <f t="shared" si="83"/>
        <v>763.58</v>
      </c>
      <c r="R1059" s="4">
        <f t="shared" si="84"/>
        <v>0.38040000000000002</v>
      </c>
      <c r="S1059" s="2">
        <v>10</v>
      </c>
      <c r="T1059" t="s">
        <v>46</v>
      </c>
      <c r="U1059">
        <v>5</v>
      </c>
    </row>
    <row r="1060" spans="1:22" x14ac:dyDescent="0.25">
      <c r="A1060" s="1">
        <v>46201</v>
      </c>
      <c r="B1060" t="s">
        <v>1255</v>
      </c>
      <c r="C1060" t="s">
        <v>401</v>
      </c>
      <c r="D1060" t="s">
        <v>126</v>
      </c>
      <c r="E1060" t="s">
        <v>57</v>
      </c>
      <c r="F1060" t="s">
        <v>26</v>
      </c>
      <c r="G1060" t="s">
        <v>27</v>
      </c>
      <c r="H1060" t="s">
        <v>68</v>
      </c>
      <c r="I1060" t="s">
        <v>74</v>
      </c>
      <c r="J1060" s="2">
        <v>3</v>
      </c>
      <c r="K1060" s="3">
        <v>1335.07</v>
      </c>
      <c r="L1060" s="3">
        <v>775.22</v>
      </c>
      <c r="M1060" s="4">
        <v>0</v>
      </c>
      <c r="N1060" s="3">
        <f t="shared" si="80"/>
        <v>4005.21</v>
      </c>
      <c r="O1060" s="3">
        <f t="shared" si="81"/>
        <v>4005.21</v>
      </c>
      <c r="P1060" s="3">
        <f t="shared" si="82"/>
        <v>2325.66</v>
      </c>
      <c r="Q1060" s="3">
        <f t="shared" si="83"/>
        <v>1679.55</v>
      </c>
      <c r="R1060" s="4">
        <f t="shared" si="84"/>
        <v>0.41930000000000001</v>
      </c>
      <c r="S1060" s="2">
        <v>12</v>
      </c>
      <c r="T1060" t="s">
        <v>30</v>
      </c>
      <c r="U1060">
        <v>5</v>
      </c>
    </row>
    <row r="1061" spans="1:22" x14ac:dyDescent="0.25">
      <c r="A1061" s="1">
        <v>46089</v>
      </c>
      <c r="B1061" t="s">
        <v>1256</v>
      </c>
      <c r="C1061" t="s">
        <v>560</v>
      </c>
      <c r="D1061" t="s">
        <v>34</v>
      </c>
      <c r="E1061" t="s">
        <v>35</v>
      </c>
      <c r="F1061" t="s">
        <v>64</v>
      </c>
      <c r="G1061" t="s">
        <v>37</v>
      </c>
      <c r="H1061" t="s">
        <v>104</v>
      </c>
      <c r="I1061" t="s">
        <v>29</v>
      </c>
      <c r="J1061" s="2">
        <v>2</v>
      </c>
      <c r="K1061" s="3">
        <v>330.45</v>
      </c>
      <c r="L1061" s="3">
        <v>138.07</v>
      </c>
      <c r="M1061" s="4">
        <v>0</v>
      </c>
      <c r="N1061" s="3">
        <f t="shared" si="80"/>
        <v>660.9</v>
      </c>
      <c r="O1061" s="3">
        <f t="shared" si="81"/>
        <v>660.9</v>
      </c>
      <c r="P1061" s="3">
        <f t="shared" si="82"/>
        <v>276.14</v>
      </c>
      <c r="Q1061" s="3">
        <f t="shared" si="83"/>
        <v>384.76</v>
      </c>
      <c r="R1061" s="4">
        <f t="shared" si="84"/>
        <v>0.58220000000000005</v>
      </c>
      <c r="S1061" s="2">
        <v>6</v>
      </c>
      <c r="T1061" t="s">
        <v>46</v>
      </c>
      <c r="U1061">
        <v>2</v>
      </c>
    </row>
    <row r="1062" spans="1:22" x14ac:dyDescent="0.25">
      <c r="A1062" s="1">
        <v>46161</v>
      </c>
      <c r="B1062" t="s">
        <v>1257</v>
      </c>
      <c r="C1062" t="s">
        <v>606</v>
      </c>
      <c r="D1062" t="s">
        <v>101</v>
      </c>
      <c r="E1062" t="s">
        <v>35</v>
      </c>
      <c r="F1062" t="s">
        <v>36</v>
      </c>
      <c r="G1062" t="s">
        <v>37</v>
      </c>
      <c r="H1062" t="s">
        <v>38</v>
      </c>
      <c r="I1062" t="s">
        <v>94</v>
      </c>
      <c r="J1062" s="2">
        <v>5</v>
      </c>
      <c r="K1062" s="3">
        <v>440.74</v>
      </c>
      <c r="L1062" s="3">
        <v>186.2</v>
      </c>
      <c r="M1062" s="4">
        <v>5.4899999999999997E-2</v>
      </c>
      <c r="N1062" s="3">
        <f t="shared" si="80"/>
        <v>2203.6999999999998</v>
      </c>
      <c r="O1062" s="3">
        <f t="shared" si="81"/>
        <v>2082.7199999999998</v>
      </c>
      <c r="P1062" s="3">
        <f t="shared" si="82"/>
        <v>931</v>
      </c>
      <c r="Q1062" s="3">
        <f t="shared" si="83"/>
        <v>1151.72</v>
      </c>
      <c r="R1062" s="4">
        <f t="shared" si="84"/>
        <v>0.55300000000000005</v>
      </c>
      <c r="S1062" s="2">
        <v>9</v>
      </c>
      <c r="T1062" t="s">
        <v>46</v>
      </c>
      <c r="U1062">
        <v>3</v>
      </c>
    </row>
    <row r="1063" spans="1:22" x14ac:dyDescent="0.25">
      <c r="A1063" s="1">
        <v>46066</v>
      </c>
      <c r="B1063" t="s">
        <v>1258</v>
      </c>
      <c r="C1063" t="s">
        <v>206</v>
      </c>
      <c r="D1063" t="s">
        <v>43</v>
      </c>
      <c r="E1063" t="s">
        <v>25</v>
      </c>
      <c r="F1063" t="s">
        <v>64</v>
      </c>
      <c r="G1063" t="s">
        <v>44</v>
      </c>
      <c r="H1063" t="s">
        <v>45</v>
      </c>
      <c r="I1063" t="s">
        <v>60</v>
      </c>
      <c r="J1063" s="2">
        <v>8</v>
      </c>
      <c r="K1063" s="3">
        <v>406.64</v>
      </c>
      <c r="L1063" s="3">
        <v>209.31</v>
      </c>
      <c r="M1063" s="4">
        <v>0</v>
      </c>
      <c r="N1063" s="3">
        <f t="shared" si="80"/>
        <v>3253.12</v>
      </c>
      <c r="O1063" s="3">
        <f t="shared" si="81"/>
        <v>3253.12</v>
      </c>
      <c r="P1063" s="3">
        <f t="shared" si="82"/>
        <v>1674.48</v>
      </c>
      <c r="Q1063" s="3">
        <f t="shared" si="83"/>
        <v>1578.64</v>
      </c>
      <c r="R1063" s="4">
        <f t="shared" si="84"/>
        <v>0.48530000000000001</v>
      </c>
      <c r="S1063" s="2">
        <v>14</v>
      </c>
      <c r="T1063" t="s">
        <v>30</v>
      </c>
      <c r="U1063">
        <v>3</v>
      </c>
    </row>
    <row r="1064" spans="1:22" x14ac:dyDescent="0.25">
      <c r="A1064" s="1">
        <v>46073</v>
      </c>
      <c r="B1064" t="s">
        <v>1259</v>
      </c>
      <c r="C1064" t="s">
        <v>253</v>
      </c>
      <c r="D1064" t="s">
        <v>121</v>
      </c>
      <c r="E1064" t="s">
        <v>72</v>
      </c>
      <c r="F1064" t="s">
        <v>36</v>
      </c>
      <c r="G1064" t="s">
        <v>37</v>
      </c>
      <c r="H1064" t="s">
        <v>178</v>
      </c>
      <c r="I1064" t="s">
        <v>29</v>
      </c>
      <c r="J1064" s="2">
        <v>8</v>
      </c>
      <c r="K1064" s="3">
        <v>523.53</v>
      </c>
      <c r="L1064" s="3">
        <v>241.48</v>
      </c>
      <c r="M1064" s="4">
        <v>0</v>
      </c>
      <c r="N1064" s="3">
        <f t="shared" si="80"/>
        <v>4188.24</v>
      </c>
      <c r="O1064" s="3">
        <f t="shared" si="81"/>
        <v>4188.24</v>
      </c>
      <c r="P1064" s="3">
        <f t="shared" si="82"/>
        <v>1931.84</v>
      </c>
      <c r="Q1064" s="3">
        <f t="shared" si="83"/>
        <v>2256.4</v>
      </c>
      <c r="R1064" s="4">
        <f t="shared" si="84"/>
        <v>0.53869999999999996</v>
      </c>
      <c r="S1064" s="2">
        <v>6</v>
      </c>
      <c r="T1064" t="s">
        <v>46</v>
      </c>
      <c r="U1064">
        <v>3</v>
      </c>
    </row>
    <row r="1065" spans="1:22" x14ac:dyDescent="0.25">
      <c r="A1065" s="1">
        <v>46034</v>
      </c>
      <c r="B1065" t="s">
        <v>1260</v>
      </c>
      <c r="C1065" t="s">
        <v>100</v>
      </c>
      <c r="D1065" t="s">
        <v>49</v>
      </c>
      <c r="E1065" t="s">
        <v>50</v>
      </c>
      <c r="F1065" t="s">
        <v>36</v>
      </c>
      <c r="G1065" t="s">
        <v>44</v>
      </c>
      <c r="H1065" t="s">
        <v>124</v>
      </c>
      <c r="I1065" t="s">
        <v>65</v>
      </c>
      <c r="J1065" s="2">
        <v>5</v>
      </c>
      <c r="K1065" s="3">
        <v>5763.48</v>
      </c>
      <c r="L1065" s="3">
        <v>4440.82</v>
      </c>
      <c r="M1065" s="4">
        <v>5.0000000000000001E-3</v>
      </c>
      <c r="N1065" s="3">
        <f t="shared" si="80"/>
        <v>28817.4</v>
      </c>
      <c r="O1065" s="3">
        <f t="shared" si="81"/>
        <v>28673.31</v>
      </c>
      <c r="P1065" s="3">
        <f t="shared" si="82"/>
        <v>22204.1</v>
      </c>
      <c r="Q1065" s="3">
        <f t="shared" si="83"/>
        <v>6469.21</v>
      </c>
      <c r="R1065" s="4">
        <f t="shared" si="84"/>
        <v>0.22559999999999999</v>
      </c>
      <c r="S1065" s="2">
        <v>7</v>
      </c>
      <c r="T1065" t="s">
        <v>46</v>
      </c>
      <c r="U1065">
        <v>2</v>
      </c>
    </row>
    <row r="1066" spans="1:22" x14ac:dyDescent="0.25">
      <c r="A1066" s="1">
        <v>46161</v>
      </c>
      <c r="B1066" t="s">
        <v>1261</v>
      </c>
      <c r="C1066" t="s">
        <v>134</v>
      </c>
      <c r="D1066" t="s">
        <v>85</v>
      </c>
      <c r="E1066" t="s">
        <v>50</v>
      </c>
      <c r="F1066" t="s">
        <v>36</v>
      </c>
      <c r="G1066" t="s">
        <v>37</v>
      </c>
      <c r="H1066" t="s">
        <v>178</v>
      </c>
      <c r="I1066" t="s">
        <v>29</v>
      </c>
      <c r="J1066" s="2">
        <v>6</v>
      </c>
      <c r="K1066" s="3">
        <v>512.16999999999996</v>
      </c>
      <c r="L1066" s="3">
        <v>248.18</v>
      </c>
      <c r="M1066" s="4">
        <v>8.4900000000000003E-2</v>
      </c>
      <c r="N1066" s="3">
        <f t="shared" si="80"/>
        <v>3073.02</v>
      </c>
      <c r="O1066" s="3">
        <f t="shared" si="81"/>
        <v>2812.12</v>
      </c>
      <c r="P1066" s="3">
        <f t="shared" si="82"/>
        <v>1489.08</v>
      </c>
      <c r="Q1066" s="3">
        <f t="shared" si="83"/>
        <v>1323.04</v>
      </c>
      <c r="R1066" s="4">
        <f t="shared" si="84"/>
        <v>0.47049999999999997</v>
      </c>
      <c r="S1066" s="2">
        <v>13</v>
      </c>
      <c r="T1066" t="s">
        <v>30</v>
      </c>
      <c r="U1066">
        <v>4</v>
      </c>
    </row>
    <row r="1067" spans="1:22" x14ac:dyDescent="0.25">
      <c r="A1067" s="1">
        <v>46107</v>
      </c>
      <c r="B1067" t="s">
        <v>1262</v>
      </c>
      <c r="C1067" t="s">
        <v>514</v>
      </c>
      <c r="D1067" t="s">
        <v>56</v>
      </c>
      <c r="E1067" t="s">
        <v>57</v>
      </c>
      <c r="F1067" t="s">
        <v>36</v>
      </c>
      <c r="G1067" t="s">
        <v>37</v>
      </c>
      <c r="H1067" t="s">
        <v>178</v>
      </c>
      <c r="I1067" t="s">
        <v>60</v>
      </c>
      <c r="J1067" s="2">
        <v>5</v>
      </c>
      <c r="K1067" s="3">
        <v>503.36</v>
      </c>
      <c r="L1067" s="3">
        <v>247.3</v>
      </c>
      <c r="M1067" s="4">
        <v>0</v>
      </c>
      <c r="N1067" s="3">
        <f t="shared" si="80"/>
        <v>2516.8000000000002</v>
      </c>
      <c r="O1067" s="3">
        <f t="shared" si="81"/>
        <v>2516.8000000000002</v>
      </c>
      <c r="P1067" s="3">
        <f t="shared" si="82"/>
        <v>1236.5</v>
      </c>
      <c r="Q1067" s="3">
        <f t="shared" si="83"/>
        <v>1280.3</v>
      </c>
      <c r="R1067" s="4">
        <f t="shared" si="84"/>
        <v>0.50870000000000004</v>
      </c>
      <c r="S1067" s="2">
        <v>11</v>
      </c>
      <c r="T1067" t="s">
        <v>30</v>
      </c>
      <c r="U1067">
        <v>5</v>
      </c>
    </row>
    <row r="1068" spans="1:22" x14ac:dyDescent="0.25">
      <c r="A1068" s="1">
        <v>46113</v>
      </c>
      <c r="B1068" t="s">
        <v>1263</v>
      </c>
      <c r="C1068" t="s">
        <v>136</v>
      </c>
      <c r="D1068" t="s">
        <v>85</v>
      </c>
      <c r="E1068" t="s">
        <v>50</v>
      </c>
      <c r="F1068" t="s">
        <v>26</v>
      </c>
      <c r="G1068" t="s">
        <v>37</v>
      </c>
      <c r="H1068" t="s">
        <v>38</v>
      </c>
      <c r="I1068" t="s">
        <v>39</v>
      </c>
      <c r="J1068" s="2">
        <v>5</v>
      </c>
      <c r="K1068" s="3">
        <v>409.06</v>
      </c>
      <c r="L1068" s="3">
        <v>192.47</v>
      </c>
      <c r="M1068" s="4">
        <v>0.129</v>
      </c>
      <c r="N1068" s="3">
        <f t="shared" si="80"/>
        <v>2045.3</v>
      </c>
      <c r="O1068" s="3">
        <f t="shared" si="81"/>
        <v>1781.46</v>
      </c>
      <c r="P1068" s="3">
        <f t="shared" si="82"/>
        <v>962.35</v>
      </c>
      <c r="Q1068" s="3">
        <f t="shared" si="83"/>
        <v>819.11</v>
      </c>
      <c r="R1068" s="4">
        <f t="shared" si="84"/>
        <v>0.45979999999999999</v>
      </c>
      <c r="S1068" s="2">
        <v>3</v>
      </c>
      <c r="T1068" t="s">
        <v>46</v>
      </c>
      <c r="U1068">
        <v>2</v>
      </c>
    </row>
    <row r="1069" spans="1:22" x14ac:dyDescent="0.25">
      <c r="A1069" s="1">
        <v>46177</v>
      </c>
      <c r="B1069" t="s">
        <v>1264</v>
      </c>
      <c r="C1069" t="s">
        <v>79</v>
      </c>
      <c r="D1069" t="s">
        <v>97</v>
      </c>
      <c r="E1069" t="s">
        <v>57</v>
      </c>
      <c r="F1069" t="s">
        <v>64</v>
      </c>
      <c r="G1069" t="s">
        <v>44</v>
      </c>
      <c r="H1069" t="s">
        <v>45</v>
      </c>
      <c r="I1069" t="s">
        <v>92</v>
      </c>
      <c r="J1069" s="2">
        <v>3</v>
      </c>
      <c r="K1069" s="3">
        <v>368.88</v>
      </c>
      <c r="L1069" s="3">
        <v>202.5</v>
      </c>
      <c r="M1069" s="4">
        <v>0</v>
      </c>
      <c r="N1069" s="3">
        <f t="shared" si="80"/>
        <v>1106.6400000000001</v>
      </c>
      <c r="O1069" s="3">
        <f t="shared" si="81"/>
        <v>1106.6400000000001</v>
      </c>
      <c r="P1069" s="3">
        <f t="shared" si="82"/>
        <v>607.5</v>
      </c>
      <c r="Q1069" s="3">
        <f t="shared" si="83"/>
        <v>499.14</v>
      </c>
      <c r="R1069" s="4">
        <f t="shared" si="84"/>
        <v>0.45100000000000001</v>
      </c>
      <c r="S1069" s="2">
        <v>2</v>
      </c>
      <c r="T1069" t="s">
        <v>46</v>
      </c>
      <c r="U1069">
        <v>2</v>
      </c>
    </row>
    <row r="1070" spans="1:22" x14ac:dyDescent="0.25">
      <c r="A1070" s="1">
        <v>46152</v>
      </c>
      <c r="B1070" t="s">
        <v>1265</v>
      </c>
      <c r="C1070" t="s">
        <v>433</v>
      </c>
      <c r="D1070" t="s">
        <v>207</v>
      </c>
      <c r="E1070" t="s">
        <v>35</v>
      </c>
      <c r="F1070" t="s">
        <v>64</v>
      </c>
      <c r="G1070" t="s">
        <v>51</v>
      </c>
      <c r="H1070" t="s">
        <v>52</v>
      </c>
      <c r="I1070" t="s">
        <v>65</v>
      </c>
      <c r="J1070" s="2">
        <v>4</v>
      </c>
      <c r="K1070" s="3">
        <v>266.52</v>
      </c>
      <c r="L1070" s="3">
        <v>119.39</v>
      </c>
      <c r="M1070" s="4">
        <v>0.1046</v>
      </c>
      <c r="N1070" s="3">
        <f t="shared" si="80"/>
        <v>1066.08</v>
      </c>
      <c r="O1070" s="3">
        <f t="shared" si="81"/>
        <v>954.57</v>
      </c>
      <c r="P1070" s="3">
        <f t="shared" si="82"/>
        <v>477.56</v>
      </c>
      <c r="Q1070" s="3">
        <f t="shared" si="83"/>
        <v>477.01</v>
      </c>
      <c r="R1070" s="4">
        <f t="shared" si="84"/>
        <v>0.49969999999999998</v>
      </c>
      <c r="S1070" s="2">
        <v>2</v>
      </c>
      <c r="T1070" t="s">
        <v>46</v>
      </c>
      <c r="U1070">
        <v>3</v>
      </c>
    </row>
    <row r="1071" spans="1:22" x14ac:dyDescent="0.25">
      <c r="A1071" s="1">
        <v>46201</v>
      </c>
      <c r="B1071" t="s">
        <v>1266</v>
      </c>
      <c r="C1071" t="s">
        <v>176</v>
      </c>
      <c r="D1071" t="s">
        <v>126</v>
      </c>
      <c r="E1071" t="s">
        <v>57</v>
      </c>
      <c r="F1071" t="s">
        <v>26</v>
      </c>
      <c r="G1071" t="s">
        <v>37</v>
      </c>
      <c r="H1071" t="s">
        <v>38</v>
      </c>
      <c r="I1071" t="s">
        <v>60</v>
      </c>
      <c r="J1071" s="2">
        <v>1</v>
      </c>
      <c r="K1071" s="3">
        <v>451.94</v>
      </c>
      <c r="L1071" s="3">
        <v>194.25</v>
      </c>
      <c r="M1071" s="4">
        <v>0</v>
      </c>
      <c r="N1071" s="3">
        <f t="shared" si="80"/>
        <v>451.94</v>
      </c>
      <c r="O1071" s="3">
        <f t="shared" si="81"/>
        <v>451.94</v>
      </c>
      <c r="P1071" s="3">
        <f t="shared" si="82"/>
        <v>194.25</v>
      </c>
      <c r="Q1071" s="3">
        <f t="shared" si="83"/>
        <v>257.69</v>
      </c>
      <c r="R1071" s="4">
        <f t="shared" si="84"/>
        <v>0.57020000000000004</v>
      </c>
      <c r="S1071" s="2">
        <v>11</v>
      </c>
      <c r="T1071" t="s">
        <v>30</v>
      </c>
      <c r="U1071">
        <v>5</v>
      </c>
    </row>
    <row r="1072" spans="1:22" x14ac:dyDescent="0.25">
      <c r="A1072" s="1">
        <v>46181</v>
      </c>
      <c r="B1072" t="s">
        <v>1267</v>
      </c>
      <c r="C1072" t="s">
        <v>476</v>
      </c>
      <c r="D1072" t="s">
        <v>71</v>
      </c>
      <c r="E1072" t="s">
        <v>72</v>
      </c>
      <c r="F1072" t="s">
        <v>26</v>
      </c>
      <c r="G1072" t="s">
        <v>51</v>
      </c>
      <c r="H1072" t="s">
        <v>52</v>
      </c>
      <c r="I1072" t="s">
        <v>65</v>
      </c>
      <c r="J1072" s="2">
        <v>6</v>
      </c>
      <c r="K1072" s="3">
        <v>248.55</v>
      </c>
      <c r="L1072" s="3">
        <v>122.84</v>
      </c>
      <c r="M1072" s="4">
        <v>2.5000000000000001E-3</v>
      </c>
      <c r="N1072" s="3">
        <f t="shared" si="80"/>
        <v>1491.3</v>
      </c>
      <c r="O1072" s="3">
        <f t="shared" si="81"/>
        <v>1487.57</v>
      </c>
      <c r="P1072" s="3">
        <f t="shared" si="82"/>
        <v>737.04</v>
      </c>
      <c r="Q1072" s="3">
        <f t="shared" si="83"/>
        <v>750.53</v>
      </c>
      <c r="R1072" s="4">
        <f t="shared" si="84"/>
        <v>0.50449999999999995</v>
      </c>
      <c r="S1072" s="2">
        <v>8</v>
      </c>
      <c r="T1072" t="s">
        <v>46</v>
      </c>
      <c r="U1072">
        <v>3</v>
      </c>
    </row>
    <row r="1073" spans="1:21" x14ac:dyDescent="0.25">
      <c r="A1073" s="1">
        <v>46198</v>
      </c>
      <c r="B1073" t="s">
        <v>1268</v>
      </c>
      <c r="C1073" t="s">
        <v>260</v>
      </c>
      <c r="D1073" t="s">
        <v>85</v>
      </c>
      <c r="E1073" t="s">
        <v>50</v>
      </c>
      <c r="F1073" t="s">
        <v>36</v>
      </c>
      <c r="G1073" t="s">
        <v>44</v>
      </c>
      <c r="H1073" t="s">
        <v>45</v>
      </c>
      <c r="I1073" t="s">
        <v>65</v>
      </c>
      <c r="J1073" s="2">
        <v>2</v>
      </c>
      <c r="K1073" s="3">
        <v>367.39</v>
      </c>
      <c r="L1073" s="3">
        <v>219.27</v>
      </c>
      <c r="M1073" s="4">
        <v>7.3800000000000004E-2</v>
      </c>
      <c r="N1073" s="3">
        <f t="shared" si="80"/>
        <v>734.78</v>
      </c>
      <c r="O1073" s="3">
        <f t="shared" si="81"/>
        <v>680.55</v>
      </c>
      <c r="P1073" s="3">
        <f t="shared" si="82"/>
        <v>438.54</v>
      </c>
      <c r="Q1073" s="3">
        <f t="shared" si="83"/>
        <v>242.01</v>
      </c>
      <c r="R1073" s="4">
        <f t="shared" si="84"/>
        <v>0.35560000000000003</v>
      </c>
      <c r="S1073" s="2">
        <v>3</v>
      </c>
      <c r="T1073" t="s">
        <v>46</v>
      </c>
      <c r="U1073">
        <v>3</v>
      </c>
    </row>
    <row r="1074" spans="1:21" x14ac:dyDescent="0.25">
      <c r="A1074" s="1">
        <v>46117</v>
      </c>
      <c r="B1074" t="s">
        <v>1269</v>
      </c>
      <c r="C1074" t="s">
        <v>182</v>
      </c>
      <c r="D1074" t="s">
        <v>101</v>
      </c>
      <c r="E1074" t="s">
        <v>35</v>
      </c>
      <c r="F1074" t="s">
        <v>36</v>
      </c>
      <c r="G1074" t="s">
        <v>44</v>
      </c>
      <c r="H1074" t="s">
        <v>124</v>
      </c>
      <c r="I1074" t="s">
        <v>77</v>
      </c>
      <c r="J1074" s="2">
        <v>2</v>
      </c>
      <c r="K1074" s="3">
        <v>5688.11</v>
      </c>
      <c r="L1074" s="3">
        <v>4501.1000000000004</v>
      </c>
      <c r="M1074" s="4">
        <v>0</v>
      </c>
      <c r="N1074" s="3">
        <f t="shared" si="80"/>
        <v>11376.22</v>
      </c>
      <c r="O1074" s="3">
        <f t="shared" si="81"/>
        <v>11376.22</v>
      </c>
      <c r="P1074" s="3">
        <f t="shared" si="82"/>
        <v>9002.2000000000007</v>
      </c>
      <c r="Q1074" s="3">
        <f t="shared" si="83"/>
        <v>2374.02</v>
      </c>
      <c r="R1074" s="4">
        <f t="shared" si="84"/>
        <v>0.2087</v>
      </c>
      <c r="S1074" s="2">
        <v>5</v>
      </c>
      <c r="T1074" t="s">
        <v>46</v>
      </c>
      <c r="U1074">
        <v>4</v>
      </c>
    </row>
    <row r="1075" spans="1:21" x14ac:dyDescent="0.25">
      <c r="A1075" s="1">
        <v>46215</v>
      </c>
      <c r="B1075" t="s">
        <v>1270</v>
      </c>
      <c r="C1075" t="s">
        <v>224</v>
      </c>
      <c r="D1075" t="s">
        <v>113</v>
      </c>
      <c r="E1075" t="s">
        <v>50</v>
      </c>
      <c r="F1075" t="s">
        <v>36</v>
      </c>
      <c r="G1075" t="s">
        <v>27</v>
      </c>
      <c r="H1075" t="s">
        <v>28</v>
      </c>
      <c r="I1075" t="s">
        <v>39</v>
      </c>
      <c r="J1075" s="2">
        <v>2</v>
      </c>
      <c r="K1075" s="3">
        <v>753.8</v>
      </c>
      <c r="L1075" s="3">
        <v>463.42</v>
      </c>
      <c r="M1075" s="4">
        <v>0.1111</v>
      </c>
      <c r="N1075" s="3">
        <f t="shared" si="80"/>
        <v>1507.6</v>
      </c>
      <c r="O1075" s="3">
        <f t="shared" si="81"/>
        <v>1340.11</v>
      </c>
      <c r="P1075" s="3">
        <f t="shared" si="82"/>
        <v>926.84</v>
      </c>
      <c r="Q1075" s="3">
        <f t="shared" si="83"/>
        <v>413.27</v>
      </c>
      <c r="R1075" s="4">
        <f t="shared" si="84"/>
        <v>0.30840000000000001</v>
      </c>
      <c r="S1075" s="2">
        <v>14</v>
      </c>
      <c r="T1075" t="s">
        <v>30</v>
      </c>
      <c r="U1075">
        <v>3</v>
      </c>
    </row>
    <row r="1076" spans="1:21" x14ac:dyDescent="0.25">
      <c r="A1076" s="1">
        <v>46074</v>
      </c>
      <c r="B1076" t="s">
        <v>1271</v>
      </c>
      <c r="C1076" t="s">
        <v>288</v>
      </c>
      <c r="D1076" t="s">
        <v>113</v>
      </c>
      <c r="E1076" t="s">
        <v>50</v>
      </c>
      <c r="F1076" t="s">
        <v>58</v>
      </c>
      <c r="G1076" t="s">
        <v>51</v>
      </c>
      <c r="H1076" t="s">
        <v>52</v>
      </c>
      <c r="I1076" t="s">
        <v>60</v>
      </c>
      <c r="J1076" s="2">
        <v>4</v>
      </c>
      <c r="K1076" s="3">
        <v>251.32</v>
      </c>
      <c r="L1076" s="3">
        <v>116.41</v>
      </c>
      <c r="M1076" s="4">
        <v>7.0000000000000007E-2</v>
      </c>
      <c r="N1076" s="3">
        <f t="shared" si="80"/>
        <v>1005.28</v>
      </c>
      <c r="O1076" s="3">
        <f t="shared" si="81"/>
        <v>934.91</v>
      </c>
      <c r="P1076" s="3">
        <f t="shared" si="82"/>
        <v>465.64</v>
      </c>
      <c r="Q1076" s="3">
        <f t="shared" si="83"/>
        <v>469.27</v>
      </c>
      <c r="R1076" s="4">
        <f t="shared" si="84"/>
        <v>0.50190000000000001</v>
      </c>
      <c r="S1076" s="2">
        <v>6</v>
      </c>
      <c r="T1076" t="s">
        <v>46</v>
      </c>
      <c r="U1076">
        <v>3</v>
      </c>
    </row>
    <row r="1077" spans="1:21" x14ac:dyDescent="0.25">
      <c r="A1077" s="1">
        <v>46116</v>
      </c>
      <c r="B1077" t="s">
        <v>1272</v>
      </c>
      <c r="C1077" t="s">
        <v>91</v>
      </c>
      <c r="D1077" t="s">
        <v>207</v>
      </c>
      <c r="E1077" t="s">
        <v>35</v>
      </c>
      <c r="F1077" t="s">
        <v>64</v>
      </c>
      <c r="G1077" t="s">
        <v>37</v>
      </c>
      <c r="H1077" t="s">
        <v>38</v>
      </c>
      <c r="I1077" t="s">
        <v>65</v>
      </c>
      <c r="J1077" s="2">
        <v>3</v>
      </c>
      <c r="K1077" s="3">
        <v>447.95</v>
      </c>
      <c r="L1077" s="3">
        <v>188.69</v>
      </c>
      <c r="M1077" s="4">
        <v>8.6999999999999994E-3</v>
      </c>
      <c r="N1077" s="3">
        <f t="shared" si="80"/>
        <v>1343.85</v>
      </c>
      <c r="O1077" s="3">
        <f t="shared" si="81"/>
        <v>1332.16</v>
      </c>
      <c r="P1077" s="3">
        <f t="shared" si="82"/>
        <v>566.07000000000005</v>
      </c>
      <c r="Q1077" s="3">
        <f t="shared" si="83"/>
        <v>766.09</v>
      </c>
      <c r="R1077" s="4">
        <f t="shared" si="84"/>
        <v>0.57509999999999994</v>
      </c>
      <c r="S1077" s="2">
        <v>6</v>
      </c>
      <c r="T1077" t="s">
        <v>40</v>
      </c>
    </row>
    <row r="1078" spans="1:21" x14ac:dyDescent="0.25">
      <c r="A1078" s="1">
        <v>46194</v>
      </c>
      <c r="B1078" t="s">
        <v>1273</v>
      </c>
      <c r="C1078" t="s">
        <v>206</v>
      </c>
      <c r="D1078" t="s">
        <v>71</v>
      </c>
      <c r="E1078" t="s">
        <v>72</v>
      </c>
      <c r="F1078" t="s">
        <v>58</v>
      </c>
      <c r="G1078" t="s">
        <v>51</v>
      </c>
      <c r="H1078" t="s">
        <v>52</v>
      </c>
      <c r="I1078" t="s">
        <v>29</v>
      </c>
      <c r="J1078" s="2">
        <v>5</v>
      </c>
      <c r="K1078" s="3">
        <v>258.73</v>
      </c>
      <c r="L1078" s="3">
        <v>119.12</v>
      </c>
      <c r="M1078" s="4">
        <v>5.6500000000000002E-2</v>
      </c>
      <c r="N1078" s="3">
        <f t="shared" si="80"/>
        <v>1293.6500000000001</v>
      </c>
      <c r="O1078" s="3">
        <f t="shared" si="81"/>
        <v>1220.56</v>
      </c>
      <c r="P1078" s="3">
        <f t="shared" si="82"/>
        <v>595.6</v>
      </c>
      <c r="Q1078" s="3">
        <f t="shared" si="83"/>
        <v>624.96</v>
      </c>
      <c r="R1078" s="4">
        <f t="shared" si="84"/>
        <v>0.51200000000000001</v>
      </c>
      <c r="S1078" s="2">
        <v>12</v>
      </c>
      <c r="T1078" t="s">
        <v>30</v>
      </c>
      <c r="U1078">
        <v>5</v>
      </c>
    </row>
    <row r="1079" spans="1:21" x14ac:dyDescent="0.25">
      <c r="A1079" s="1">
        <v>46168</v>
      </c>
      <c r="B1079" t="s">
        <v>1274</v>
      </c>
      <c r="C1079" t="s">
        <v>70</v>
      </c>
      <c r="D1079" t="s">
        <v>121</v>
      </c>
      <c r="E1079" t="s">
        <v>72</v>
      </c>
      <c r="F1079" t="s">
        <v>36</v>
      </c>
      <c r="G1079" t="s">
        <v>27</v>
      </c>
      <c r="H1079" t="s">
        <v>68</v>
      </c>
      <c r="I1079" t="s">
        <v>94</v>
      </c>
      <c r="J1079" s="2">
        <v>3</v>
      </c>
      <c r="K1079" s="3">
        <v>1285.8699999999999</v>
      </c>
      <c r="L1079" s="3">
        <v>835.35</v>
      </c>
      <c r="M1079" s="4">
        <v>0</v>
      </c>
      <c r="N1079" s="3">
        <f t="shared" si="80"/>
        <v>3857.61</v>
      </c>
      <c r="O1079" s="3">
        <f t="shared" si="81"/>
        <v>3857.61</v>
      </c>
      <c r="P1079" s="3">
        <f t="shared" si="82"/>
        <v>2506.0500000000002</v>
      </c>
      <c r="Q1079" s="3">
        <f t="shared" si="83"/>
        <v>1351.56</v>
      </c>
      <c r="R1079" s="4">
        <f t="shared" si="84"/>
        <v>0.35039999999999999</v>
      </c>
      <c r="S1079" s="2">
        <v>6</v>
      </c>
      <c r="T1079" t="s">
        <v>46</v>
      </c>
      <c r="U1079">
        <v>4</v>
      </c>
    </row>
    <row r="1080" spans="1:21" x14ac:dyDescent="0.25">
      <c r="A1080" s="1">
        <v>46177</v>
      </c>
      <c r="B1080" t="s">
        <v>1275</v>
      </c>
      <c r="C1080" t="s">
        <v>224</v>
      </c>
      <c r="D1080" t="s">
        <v>34</v>
      </c>
      <c r="E1080" t="s">
        <v>35</v>
      </c>
      <c r="F1080" t="s">
        <v>58</v>
      </c>
      <c r="G1080" t="s">
        <v>37</v>
      </c>
      <c r="H1080" t="s">
        <v>104</v>
      </c>
      <c r="I1080" t="s">
        <v>74</v>
      </c>
      <c r="J1080" s="2">
        <v>6</v>
      </c>
      <c r="K1080" s="3">
        <v>325.45</v>
      </c>
      <c r="L1080" s="3">
        <v>131.84</v>
      </c>
      <c r="M1080" s="4">
        <v>3.5000000000000003E-2</v>
      </c>
      <c r="N1080" s="3">
        <f t="shared" si="80"/>
        <v>1952.7</v>
      </c>
      <c r="O1080" s="3">
        <f t="shared" si="81"/>
        <v>1884.36</v>
      </c>
      <c r="P1080" s="3">
        <f t="shared" si="82"/>
        <v>791.04</v>
      </c>
      <c r="Q1080" s="3">
        <f t="shared" si="83"/>
        <v>1093.32</v>
      </c>
      <c r="R1080" s="4">
        <f t="shared" si="84"/>
        <v>0.58020000000000005</v>
      </c>
      <c r="S1080" s="2">
        <v>13</v>
      </c>
      <c r="T1080" t="s">
        <v>30</v>
      </c>
      <c r="U1080">
        <v>3</v>
      </c>
    </row>
    <row r="1081" spans="1:21" x14ac:dyDescent="0.25">
      <c r="A1081" s="1">
        <v>46215</v>
      </c>
      <c r="B1081" t="s">
        <v>1276</v>
      </c>
      <c r="C1081" t="s">
        <v>62</v>
      </c>
      <c r="D1081" t="s">
        <v>85</v>
      </c>
      <c r="E1081" t="s">
        <v>50</v>
      </c>
      <c r="F1081" t="s">
        <v>36</v>
      </c>
      <c r="G1081" t="s">
        <v>44</v>
      </c>
      <c r="H1081" t="s">
        <v>45</v>
      </c>
      <c r="I1081" t="s">
        <v>53</v>
      </c>
      <c r="J1081" s="2">
        <v>2</v>
      </c>
      <c r="K1081" s="3">
        <v>395.34</v>
      </c>
      <c r="L1081" s="3">
        <v>202.17</v>
      </c>
      <c r="M1081" s="4">
        <v>0</v>
      </c>
      <c r="N1081" s="3">
        <f t="shared" si="80"/>
        <v>790.68</v>
      </c>
      <c r="O1081" s="3">
        <f t="shared" si="81"/>
        <v>790.68</v>
      </c>
      <c r="P1081" s="3">
        <f t="shared" si="82"/>
        <v>404.34</v>
      </c>
      <c r="Q1081" s="3">
        <f t="shared" si="83"/>
        <v>386.34</v>
      </c>
      <c r="R1081" s="4">
        <f t="shared" si="84"/>
        <v>0.48859999999999998</v>
      </c>
      <c r="S1081" s="2">
        <v>9</v>
      </c>
      <c r="T1081" t="s">
        <v>46</v>
      </c>
      <c r="U1081">
        <v>4</v>
      </c>
    </row>
    <row r="1082" spans="1:21" x14ac:dyDescent="0.25">
      <c r="A1082" s="1">
        <v>46075</v>
      </c>
      <c r="B1082" t="s">
        <v>1277</v>
      </c>
      <c r="C1082" t="s">
        <v>157</v>
      </c>
      <c r="D1082" t="s">
        <v>97</v>
      </c>
      <c r="E1082" t="s">
        <v>57</v>
      </c>
      <c r="F1082" t="s">
        <v>26</v>
      </c>
      <c r="G1082" t="s">
        <v>44</v>
      </c>
      <c r="H1082" t="s">
        <v>45</v>
      </c>
      <c r="I1082" t="s">
        <v>87</v>
      </c>
      <c r="J1082" s="2">
        <v>8</v>
      </c>
      <c r="K1082" s="3">
        <v>396.13</v>
      </c>
      <c r="L1082" s="3">
        <v>214.58</v>
      </c>
      <c r="M1082" s="4">
        <v>0</v>
      </c>
      <c r="N1082" s="3">
        <f t="shared" si="80"/>
        <v>3169.04</v>
      </c>
      <c r="O1082" s="3">
        <f t="shared" si="81"/>
        <v>3169.04</v>
      </c>
      <c r="P1082" s="3">
        <f t="shared" si="82"/>
        <v>1716.64</v>
      </c>
      <c r="Q1082" s="3">
        <f t="shared" si="83"/>
        <v>1452.4</v>
      </c>
      <c r="R1082" s="4">
        <f t="shared" si="84"/>
        <v>0.45829999999999999</v>
      </c>
      <c r="S1082" s="2">
        <v>11</v>
      </c>
      <c r="T1082" t="s">
        <v>30</v>
      </c>
      <c r="U1082">
        <v>2</v>
      </c>
    </row>
    <row r="1083" spans="1:21" x14ac:dyDescent="0.25">
      <c r="A1083" s="1">
        <v>46052</v>
      </c>
      <c r="B1083" t="s">
        <v>1278</v>
      </c>
      <c r="C1083" t="s">
        <v>378</v>
      </c>
      <c r="D1083" t="s">
        <v>139</v>
      </c>
      <c r="E1083" t="s">
        <v>72</v>
      </c>
      <c r="F1083" t="s">
        <v>64</v>
      </c>
      <c r="G1083" t="s">
        <v>27</v>
      </c>
      <c r="H1083" t="s">
        <v>68</v>
      </c>
      <c r="I1083" t="s">
        <v>53</v>
      </c>
      <c r="J1083" s="2">
        <v>3</v>
      </c>
      <c r="K1083" s="3">
        <v>1296.42</v>
      </c>
      <c r="L1083" s="3">
        <v>777.61</v>
      </c>
      <c r="M1083" s="4">
        <v>4.1300000000000003E-2</v>
      </c>
      <c r="N1083" s="3">
        <f t="shared" si="80"/>
        <v>3889.26</v>
      </c>
      <c r="O1083" s="3">
        <f t="shared" si="81"/>
        <v>3728.63</v>
      </c>
      <c r="P1083" s="3">
        <f t="shared" si="82"/>
        <v>2332.83</v>
      </c>
      <c r="Q1083" s="3">
        <f t="shared" si="83"/>
        <v>1395.8</v>
      </c>
      <c r="R1083" s="4">
        <f t="shared" si="84"/>
        <v>0.37430000000000002</v>
      </c>
      <c r="S1083" s="2">
        <v>4</v>
      </c>
      <c r="T1083" t="s">
        <v>46</v>
      </c>
      <c r="U1083">
        <v>2</v>
      </c>
    </row>
    <row r="1084" spans="1:21" x14ac:dyDescent="0.25">
      <c r="A1084" s="1">
        <v>46076</v>
      </c>
      <c r="B1084" t="s">
        <v>1279</v>
      </c>
      <c r="C1084" t="s">
        <v>233</v>
      </c>
      <c r="D1084" t="s">
        <v>63</v>
      </c>
      <c r="E1084" t="s">
        <v>35</v>
      </c>
      <c r="F1084" t="s">
        <v>26</v>
      </c>
      <c r="G1084" t="s">
        <v>27</v>
      </c>
      <c r="H1084" t="s">
        <v>28</v>
      </c>
      <c r="I1084" t="s">
        <v>77</v>
      </c>
      <c r="J1084" s="2">
        <v>1</v>
      </c>
      <c r="K1084" s="3">
        <v>828.31</v>
      </c>
      <c r="L1084" s="3">
        <v>452.8</v>
      </c>
      <c r="M1084" s="4">
        <v>9.2200000000000004E-2</v>
      </c>
      <c r="N1084" s="3">
        <f t="shared" si="80"/>
        <v>828.31</v>
      </c>
      <c r="O1084" s="3">
        <f t="shared" si="81"/>
        <v>751.94</v>
      </c>
      <c r="P1084" s="3">
        <f t="shared" si="82"/>
        <v>452.8</v>
      </c>
      <c r="Q1084" s="3">
        <f t="shared" si="83"/>
        <v>299.14</v>
      </c>
      <c r="R1084" s="4">
        <f t="shared" si="84"/>
        <v>0.39779999999999999</v>
      </c>
      <c r="S1084" s="2">
        <v>8</v>
      </c>
      <c r="T1084" t="s">
        <v>46</v>
      </c>
      <c r="U1084">
        <v>4</v>
      </c>
    </row>
    <row r="1085" spans="1:21" x14ac:dyDescent="0.25">
      <c r="A1085" s="1">
        <v>46087</v>
      </c>
      <c r="B1085" t="s">
        <v>1280</v>
      </c>
      <c r="C1085" t="s">
        <v>206</v>
      </c>
      <c r="D1085" t="s">
        <v>113</v>
      </c>
      <c r="E1085" t="s">
        <v>50</v>
      </c>
      <c r="F1085" t="s">
        <v>36</v>
      </c>
      <c r="G1085" t="s">
        <v>37</v>
      </c>
      <c r="H1085" t="s">
        <v>104</v>
      </c>
      <c r="I1085" t="s">
        <v>39</v>
      </c>
      <c r="J1085" s="2">
        <v>3</v>
      </c>
      <c r="K1085" s="3">
        <v>321.10000000000002</v>
      </c>
      <c r="L1085" s="3">
        <v>136.03</v>
      </c>
      <c r="M1085" s="4">
        <v>0</v>
      </c>
      <c r="N1085" s="3">
        <f t="shared" si="80"/>
        <v>963.3</v>
      </c>
      <c r="O1085" s="3">
        <f t="shared" si="81"/>
        <v>963.3</v>
      </c>
      <c r="P1085" s="3">
        <f t="shared" si="82"/>
        <v>408.09</v>
      </c>
      <c r="Q1085" s="3">
        <f t="shared" si="83"/>
        <v>555.21</v>
      </c>
      <c r="R1085" s="4">
        <f t="shared" si="84"/>
        <v>0.57640000000000002</v>
      </c>
      <c r="S1085" s="2">
        <v>12</v>
      </c>
      <c r="T1085" t="s">
        <v>30</v>
      </c>
      <c r="U1085">
        <v>3</v>
      </c>
    </row>
    <row r="1086" spans="1:21" x14ac:dyDescent="0.25">
      <c r="A1086" s="1">
        <v>46161</v>
      </c>
      <c r="B1086" t="s">
        <v>1281</v>
      </c>
      <c r="C1086" t="s">
        <v>187</v>
      </c>
      <c r="D1086" t="s">
        <v>101</v>
      </c>
      <c r="E1086" t="s">
        <v>35</v>
      </c>
      <c r="F1086" t="s">
        <v>64</v>
      </c>
      <c r="G1086" t="s">
        <v>44</v>
      </c>
      <c r="H1086" t="s">
        <v>45</v>
      </c>
      <c r="I1086" t="s">
        <v>77</v>
      </c>
      <c r="J1086" s="2">
        <v>4</v>
      </c>
      <c r="K1086" s="3">
        <v>410.58</v>
      </c>
      <c r="L1086" s="3">
        <v>214.45</v>
      </c>
      <c r="M1086" s="4">
        <v>0</v>
      </c>
      <c r="N1086" s="3">
        <f t="shared" si="80"/>
        <v>1642.32</v>
      </c>
      <c r="O1086" s="3">
        <f t="shared" si="81"/>
        <v>1642.32</v>
      </c>
      <c r="P1086" s="3">
        <f t="shared" si="82"/>
        <v>857.8</v>
      </c>
      <c r="Q1086" s="3">
        <f t="shared" si="83"/>
        <v>784.52</v>
      </c>
      <c r="R1086" s="4">
        <f t="shared" si="84"/>
        <v>0.47770000000000001</v>
      </c>
      <c r="S1086" s="2">
        <v>4</v>
      </c>
      <c r="T1086" t="s">
        <v>46</v>
      </c>
      <c r="U1086">
        <v>3</v>
      </c>
    </row>
    <row r="1087" spans="1:21" x14ac:dyDescent="0.25">
      <c r="A1087" s="1">
        <v>46200</v>
      </c>
      <c r="B1087" t="s">
        <v>1282</v>
      </c>
      <c r="C1087" t="s">
        <v>349</v>
      </c>
      <c r="D1087" t="s">
        <v>113</v>
      </c>
      <c r="E1087" t="s">
        <v>50</v>
      </c>
      <c r="F1087" t="s">
        <v>36</v>
      </c>
      <c r="G1087" t="s">
        <v>27</v>
      </c>
      <c r="H1087" t="s">
        <v>86</v>
      </c>
      <c r="I1087" t="s">
        <v>39</v>
      </c>
      <c r="J1087" s="2">
        <v>3</v>
      </c>
      <c r="K1087" s="3">
        <v>1826.65</v>
      </c>
      <c r="L1087" s="3">
        <v>1155.3</v>
      </c>
      <c r="M1087" s="4">
        <v>0</v>
      </c>
      <c r="N1087" s="3">
        <f t="shared" si="80"/>
        <v>5479.95</v>
      </c>
      <c r="O1087" s="3">
        <f t="shared" si="81"/>
        <v>5479.95</v>
      </c>
      <c r="P1087" s="3">
        <f t="shared" si="82"/>
        <v>3465.9</v>
      </c>
      <c r="Q1087" s="3">
        <f t="shared" si="83"/>
        <v>2014.05</v>
      </c>
      <c r="R1087" s="4">
        <f t="shared" si="84"/>
        <v>0.36749999999999999</v>
      </c>
      <c r="S1087" s="2">
        <v>7</v>
      </c>
      <c r="T1087" t="s">
        <v>46</v>
      </c>
      <c r="U1087">
        <v>5</v>
      </c>
    </row>
    <row r="1088" spans="1:21" x14ac:dyDescent="0.25">
      <c r="A1088" s="1">
        <v>46056</v>
      </c>
      <c r="B1088" t="s">
        <v>1283</v>
      </c>
      <c r="C1088" t="s">
        <v>275</v>
      </c>
      <c r="D1088" t="s">
        <v>24</v>
      </c>
      <c r="E1088" t="s">
        <v>25</v>
      </c>
      <c r="F1088" t="s">
        <v>36</v>
      </c>
      <c r="G1088" t="s">
        <v>27</v>
      </c>
      <c r="H1088" t="s">
        <v>28</v>
      </c>
      <c r="I1088" t="s">
        <v>65</v>
      </c>
      <c r="J1088" s="2">
        <v>5</v>
      </c>
      <c r="K1088" s="3">
        <v>817.13</v>
      </c>
      <c r="L1088" s="3">
        <v>485.73</v>
      </c>
      <c r="M1088" s="4">
        <v>4.3400000000000001E-2</v>
      </c>
      <c r="N1088" s="3">
        <f t="shared" si="80"/>
        <v>4085.65</v>
      </c>
      <c r="O1088" s="3">
        <f t="shared" si="81"/>
        <v>3908.33</v>
      </c>
      <c r="P1088" s="3">
        <f t="shared" si="82"/>
        <v>2428.65</v>
      </c>
      <c r="Q1088" s="3">
        <f t="shared" si="83"/>
        <v>1479.68</v>
      </c>
      <c r="R1088" s="4">
        <f t="shared" si="84"/>
        <v>0.37859999999999999</v>
      </c>
      <c r="S1088" s="2">
        <v>9</v>
      </c>
      <c r="T1088" t="s">
        <v>46</v>
      </c>
      <c r="U1088">
        <v>5</v>
      </c>
    </row>
    <row r="1089" spans="1:22" x14ac:dyDescent="0.25">
      <c r="A1089" s="1">
        <v>46063</v>
      </c>
      <c r="B1089" t="s">
        <v>1284</v>
      </c>
      <c r="C1089" t="s">
        <v>271</v>
      </c>
      <c r="D1089" t="s">
        <v>130</v>
      </c>
      <c r="E1089" t="s">
        <v>72</v>
      </c>
      <c r="F1089" t="s">
        <v>64</v>
      </c>
      <c r="G1089" t="s">
        <v>37</v>
      </c>
      <c r="H1089" t="s">
        <v>104</v>
      </c>
      <c r="I1089" t="s">
        <v>92</v>
      </c>
      <c r="J1089" s="2">
        <v>2</v>
      </c>
      <c r="K1089" s="3">
        <v>328.9</v>
      </c>
      <c r="L1089" s="3">
        <v>134.57</v>
      </c>
      <c r="M1089" s="4">
        <v>0</v>
      </c>
      <c r="N1089" s="3">
        <f t="shared" si="80"/>
        <v>657.8</v>
      </c>
      <c r="O1089" s="3">
        <f t="shared" si="81"/>
        <v>657.8</v>
      </c>
      <c r="P1089" s="3">
        <f t="shared" si="82"/>
        <v>269.14</v>
      </c>
      <c r="Q1089" s="3">
        <f t="shared" si="83"/>
        <v>388.66</v>
      </c>
      <c r="R1089" s="4">
        <f t="shared" si="84"/>
        <v>0.59079999999999999</v>
      </c>
      <c r="S1089" s="2">
        <v>6</v>
      </c>
      <c r="T1089" t="s">
        <v>46</v>
      </c>
      <c r="U1089">
        <v>4</v>
      </c>
    </row>
    <row r="1090" spans="1:22" x14ac:dyDescent="0.25">
      <c r="A1090" s="1">
        <v>46154</v>
      </c>
      <c r="B1090" t="s">
        <v>1285</v>
      </c>
      <c r="C1090" t="s">
        <v>33</v>
      </c>
      <c r="D1090" t="s">
        <v>34</v>
      </c>
      <c r="E1090" t="s">
        <v>35</v>
      </c>
      <c r="F1090" t="s">
        <v>36</v>
      </c>
      <c r="G1090" t="s">
        <v>37</v>
      </c>
      <c r="H1090" t="s">
        <v>104</v>
      </c>
      <c r="I1090" t="s">
        <v>39</v>
      </c>
      <c r="J1090" s="2">
        <v>7</v>
      </c>
      <c r="K1090" s="3">
        <v>325.98</v>
      </c>
      <c r="L1090" s="3">
        <v>136.41999999999999</v>
      </c>
      <c r="M1090" s="4">
        <v>0</v>
      </c>
      <c r="N1090" s="3">
        <f t="shared" ref="N1090:N1153" si="85">ROUND(J1090*K1090,2)</f>
        <v>2281.86</v>
      </c>
      <c r="O1090" s="3">
        <f t="shared" ref="O1090:O1153" si="86">ROUND(N1090*(1-M1090),2)</f>
        <v>2281.86</v>
      </c>
      <c r="P1090" s="3">
        <f t="shared" ref="P1090:P1153" si="87">ROUND(J1090*L1090,2)</f>
        <v>954.94</v>
      </c>
      <c r="Q1090" s="3">
        <f t="shared" ref="Q1090:Q1153" si="88">ROUND(O1090-P1090,2)</f>
        <v>1326.92</v>
      </c>
      <c r="R1090" s="4">
        <f t="shared" ref="R1090:R1153" si="89">IF(O1090=0,0,ROUND(Q1090/O1090,4))</f>
        <v>0.58150000000000002</v>
      </c>
      <c r="S1090" s="2">
        <v>13</v>
      </c>
      <c r="T1090" t="s">
        <v>30</v>
      </c>
      <c r="U1090">
        <v>4</v>
      </c>
    </row>
    <row r="1091" spans="1:22" x14ac:dyDescent="0.25">
      <c r="A1091" s="1">
        <v>46111</v>
      </c>
      <c r="B1091" t="s">
        <v>1286</v>
      </c>
      <c r="C1091" t="s">
        <v>201</v>
      </c>
      <c r="D1091" t="s">
        <v>34</v>
      </c>
      <c r="E1091" t="s">
        <v>35</v>
      </c>
      <c r="F1091" t="s">
        <v>26</v>
      </c>
      <c r="G1091" t="s">
        <v>27</v>
      </c>
      <c r="H1091" t="s">
        <v>68</v>
      </c>
      <c r="I1091" t="s">
        <v>77</v>
      </c>
      <c r="J1091" s="2">
        <v>3</v>
      </c>
      <c r="K1091" s="3">
        <v>1215.3</v>
      </c>
      <c r="L1091" s="3">
        <v>782.85</v>
      </c>
      <c r="M1091" s="4">
        <v>1.1599999999999999E-2</v>
      </c>
      <c r="N1091" s="3">
        <f t="shared" si="85"/>
        <v>3645.9</v>
      </c>
      <c r="O1091" s="3">
        <f t="shared" si="86"/>
        <v>3603.61</v>
      </c>
      <c r="P1091" s="3">
        <f t="shared" si="87"/>
        <v>2348.5500000000002</v>
      </c>
      <c r="Q1091" s="3">
        <f t="shared" si="88"/>
        <v>1255.06</v>
      </c>
      <c r="R1091" s="4">
        <f t="shared" si="89"/>
        <v>0.3483</v>
      </c>
      <c r="S1091" s="2">
        <v>13</v>
      </c>
      <c r="T1091" t="s">
        <v>30</v>
      </c>
      <c r="U1091">
        <v>4</v>
      </c>
    </row>
    <row r="1092" spans="1:22" x14ac:dyDescent="0.25">
      <c r="A1092" s="1">
        <v>46042</v>
      </c>
      <c r="B1092" t="s">
        <v>1287</v>
      </c>
      <c r="C1092" t="s">
        <v>62</v>
      </c>
      <c r="D1092" t="s">
        <v>97</v>
      </c>
      <c r="E1092" t="s">
        <v>57</v>
      </c>
      <c r="F1092" t="s">
        <v>26</v>
      </c>
      <c r="G1092" t="s">
        <v>51</v>
      </c>
      <c r="H1092" t="s">
        <v>116</v>
      </c>
      <c r="I1092" t="s">
        <v>94</v>
      </c>
      <c r="J1092" s="2">
        <v>6</v>
      </c>
      <c r="K1092" s="3">
        <v>2723.17</v>
      </c>
      <c r="L1092" s="3">
        <v>1798.54</v>
      </c>
      <c r="M1092" s="4">
        <v>0.12239999999999999</v>
      </c>
      <c r="N1092" s="3">
        <f t="shared" si="85"/>
        <v>16339.02</v>
      </c>
      <c r="O1092" s="3">
        <f t="shared" si="86"/>
        <v>14339.12</v>
      </c>
      <c r="P1092" s="3">
        <f t="shared" si="87"/>
        <v>10791.24</v>
      </c>
      <c r="Q1092" s="3">
        <f t="shared" si="88"/>
        <v>3547.88</v>
      </c>
      <c r="R1092" s="4">
        <f t="shared" si="89"/>
        <v>0.24740000000000001</v>
      </c>
      <c r="S1092" s="2">
        <v>10</v>
      </c>
      <c r="T1092" t="s">
        <v>46</v>
      </c>
      <c r="U1092">
        <v>5</v>
      </c>
    </row>
    <row r="1093" spans="1:22" x14ac:dyDescent="0.25">
      <c r="A1093" s="1">
        <v>46231</v>
      </c>
      <c r="B1093" t="s">
        <v>1288</v>
      </c>
      <c r="C1093" t="s">
        <v>336</v>
      </c>
      <c r="D1093" t="s">
        <v>126</v>
      </c>
      <c r="E1093" t="s">
        <v>57</v>
      </c>
      <c r="F1093" t="s">
        <v>58</v>
      </c>
      <c r="G1093" t="s">
        <v>37</v>
      </c>
      <c r="H1093" t="s">
        <v>178</v>
      </c>
      <c r="I1093" t="s">
        <v>87</v>
      </c>
      <c r="J1093" s="2">
        <v>4</v>
      </c>
      <c r="K1093" s="3">
        <v>508.34</v>
      </c>
      <c r="L1093" s="3">
        <v>232.34</v>
      </c>
      <c r="M1093" s="4">
        <v>4.02E-2</v>
      </c>
      <c r="N1093" s="3">
        <f t="shared" si="85"/>
        <v>2033.36</v>
      </c>
      <c r="O1093" s="3">
        <f t="shared" si="86"/>
        <v>1951.62</v>
      </c>
      <c r="P1093" s="3">
        <f t="shared" si="87"/>
        <v>929.36</v>
      </c>
      <c r="Q1093" s="3">
        <f t="shared" si="88"/>
        <v>1022.26</v>
      </c>
      <c r="R1093" s="4">
        <f t="shared" si="89"/>
        <v>0.52380000000000004</v>
      </c>
      <c r="S1093" s="2">
        <v>11</v>
      </c>
      <c r="T1093" t="s">
        <v>40</v>
      </c>
    </row>
    <row r="1094" spans="1:22" x14ac:dyDescent="0.25">
      <c r="A1094" s="1">
        <v>46032</v>
      </c>
      <c r="B1094" t="s">
        <v>1289</v>
      </c>
      <c r="C1094" t="s">
        <v>240</v>
      </c>
      <c r="D1094" t="s">
        <v>49</v>
      </c>
      <c r="E1094" t="s">
        <v>50</v>
      </c>
      <c r="F1094" t="s">
        <v>58</v>
      </c>
      <c r="G1094" t="s">
        <v>27</v>
      </c>
      <c r="H1094" t="s">
        <v>28</v>
      </c>
      <c r="I1094" t="s">
        <v>39</v>
      </c>
      <c r="J1094" s="2">
        <v>8</v>
      </c>
      <c r="K1094" s="3">
        <v>821.04</v>
      </c>
      <c r="L1094" s="3">
        <v>468.21</v>
      </c>
      <c r="M1094" s="4">
        <v>5.3400000000000003E-2</v>
      </c>
      <c r="N1094" s="3">
        <f t="shared" si="85"/>
        <v>6568.32</v>
      </c>
      <c r="O1094" s="3">
        <f t="shared" si="86"/>
        <v>6217.57</v>
      </c>
      <c r="P1094" s="3">
        <f t="shared" si="87"/>
        <v>3745.68</v>
      </c>
      <c r="Q1094" s="3">
        <f t="shared" si="88"/>
        <v>2471.89</v>
      </c>
      <c r="R1094" s="4">
        <f t="shared" si="89"/>
        <v>0.39760000000000001</v>
      </c>
      <c r="S1094" s="2">
        <v>6</v>
      </c>
      <c r="T1094" t="s">
        <v>46</v>
      </c>
      <c r="U1094">
        <v>4</v>
      </c>
    </row>
    <row r="1095" spans="1:22" x14ac:dyDescent="0.25">
      <c r="A1095" s="1">
        <v>46078</v>
      </c>
      <c r="B1095" t="s">
        <v>1290</v>
      </c>
      <c r="C1095" t="s">
        <v>260</v>
      </c>
      <c r="D1095" t="s">
        <v>130</v>
      </c>
      <c r="E1095" t="s">
        <v>72</v>
      </c>
      <c r="F1095" t="s">
        <v>26</v>
      </c>
      <c r="G1095" t="s">
        <v>27</v>
      </c>
      <c r="H1095" t="s">
        <v>28</v>
      </c>
      <c r="I1095" t="s">
        <v>39</v>
      </c>
      <c r="J1095" s="2">
        <v>8</v>
      </c>
      <c r="K1095" s="3">
        <v>824.76</v>
      </c>
      <c r="L1095" s="3">
        <v>476.81</v>
      </c>
      <c r="M1095" s="4">
        <v>3.15E-2</v>
      </c>
      <c r="N1095" s="3">
        <f t="shared" si="85"/>
        <v>6598.08</v>
      </c>
      <c r="O1095" s="3">
        <f t="shared" si="86"/>
        <v>6390.24</v>
      </c>
      <c r="P1095" s="3">
        <f t="shared" si="87"/>
        <v>3814.48</v>
      </c>
      <c r="Q1095" s="3">
        <f t="shared" si="88"/>
        <v>2575.7600000000002</v>
      </c>
      <c r="R1095" s="4">
        <f t="shared" si="89"/>
        <v>0.40310000000000001</v>
      </c>
      <c r="S1095" s="2">
        <v>12</v>
      </c>
      <c r="T1095" t="s">
        <v>30</v>
      </c>
      <c r="U1095">
        <v>3</v>
      </c>
    </row>
    <row r="1096" spans="1:22" x14ac:dyDescent="0.25">
      <c r="A1096" s="1">
        <v>46139</v>
      </c>
      <c r="B1096" t="s">
        <v>1291</v>
      </c>
      <c r="C1096" t="s">
        <v>55</v>
      </c>
      <c r="D1096" t="s">
        <v>97</v>
      </c>
      <c r="E1096" t="s">
        <v>57</v>
      </c>
      <c r="F1096" t="s">
        <v>64</v>
      </c>
      <c r="G1096" t="s">
        <v>44</v>
      </c>
      <c r="H1096" t="s">
        <v>124</v>
      </c>
      <c r="I1096" t="s">
        <v>87</v>
      </c>
      <c r="J1096" s="2">
        <v>8</v>
      </c>
      <c r="K1096" s="3">
        <v>6109</v>
      </c>
      <c r="L1096" s="3">
        <v>4201.18</v>
      </c>
      <c r="M1096" s="4">
        <v>0</v>
      </c>
      <c r="N1096" s="3">
        <f t="shared" si="85"/>
        <v>48872</v>
      </c>
      <c r="O1096" s="3">
        <f t="shared" si="86"/>
        <v>48872</v>
      </c>
      <c r="P1096" s="3">
        <f t="shared" si="87"/>
        <v>33609.440000000002</v>
      </c>
      <c r="Q1096" s="3">
        <f t="shared" si="88"/>
        <v>15262.56</v>
      </c>
      <c r="R1096" s="4">
        <f t="shared" si="89"/>
        <v>0.31230000000000002</v>
      </c>
      <c r="S1096" s="2">
        <v>9</v>
      </c>
      <c r="T1096" t="s">
        <v>46</v>
      </c>
      <c r="U1096">
        <v>2</v>
      </c>
    </row>
    <row r="1097" spans="1:22" x14ac:dyDescent="0.25">
      <c r="A1097" s="1">
        <v>46097</v>
      </c>
      <c r="B1097" t="s">
        <v>1292</v>
      </c>
      <c r="C1097" t="s">
        <v>384</v>
      </c>
      <c r="D1097" t="s">
        <v>34</v>
      </c>
      <c r="E1097" t="s">
        <v>35</v>
      </c>
      <c r="F1097" t="s">
        <v>58</v>
      </c>
      <c r="G1097" t="s">
        <v>44</v>
      </c>
      <c r="H1097" t="s">
        <v>73</v>
      </c>
      <c r="I1097" t="s">
        <v>39</v>
      </c>
      <c r="J1097" s="2">
        <v>4</v>
      </c>
      <c r="K1097" s="3">
        <v>1788.13</v>
      </c>
      <c r="L1097" s="3">
        <v>1044.97</v>
      </c>
      <c r="M1097" s="4">
        <v>3.5000000000000003E-2</v>
      </c>
      <c r="N1097" s="3">
        <f t="shared" si="85"/>
        <v>7152.52</v>
      </c>
      <c r="O1097" s="3">
        <f t="shared" si="86"/>
        <v>6902.18</v>
      </c>
      <c r="P1097" s="3">
        <f t="shared" si="87"/>
        <v>4179.88</v>
      </c>
      <c r="Q1097" s="3">
        <f t="shared" si="88"/>
        <v>2722.3</v>
      </c>
      <c r="R1097" s="4">
        <f t="shared" si="89"/>
        <v>0.39439999999999997</v>
      </c>
      <c r="S1097" s="2">
        <v>26</v>
      </c>
      <c r="T1097" t="s">
        <v>30</v>
      </c>
      <c r="U1097">
        <v>1</v>
      </c>
      <c r="V1097" t="s">
        <v>208</v>
      </c>
    </row>
    <row r="1098" spans="1:22" x14ac:dyDescent="0.25">
      <c r="A1098" s="1">
        <v>46147</v>
      </c>
      <c r="B1098" t="s">
        <v>1293</v>
      </c>
      <c r="C1098" t="s">
        <v>134</v>
      </c>
      <c r="D1098" t="s">
        <v>43</v>
      </c>
      <c r="E1098" t="s">
        <v>25</v>
      </c>
      <c r="F1098" t="s">
        <v>26</v>
      </c>
      <c r="G1098" t="s">
        <v>37</v>
      </c>
      <c r="H1098" t="s">
        <v>38</v>
      </c>
      <c r="I1098" t="s">
        <v>60</v>
      </c>
      <c r="J1098" s="2">
        <v>7</v>
      </c>
      <c r="K1098" s="3">
        <v>421.51</v>
      </c>
      <c r="L1098" s="3">
        <v>190.61</v>
      </c>
      <c r="M1098" s="4">
        <v>7.1800000000000003E-2</v>
      </c>
      <c r="N1098" s="3">
        <f t="shared" si="85"/>
        <v>2950.57</v>
      </c>
      <c r="O1098" s="3">
        <f t="shared" si="86"/>
        <v>2738.72</v>
      </c>
      <c r="P1098" s="3">
        <f t="shared" si="87"/>
        <v>1334.27</v>
      </c>
      <c r="Q1098" s="3">
        <f t="shared" si="88"/>
        <v>1404.45</v>
      </c>
      <c r="R1098" s="4">
        <f t="shared" si="89"/>
        <v>0.51280000000000003</v>
      </c>
      <c r="S1098" s="2">
        <v>3</v>
      </c>
      <c r="T1098" t="s">
        <v>46</v>
      </c>
      <c r="U1098">
        <v>2</v>
      </c>
    </row>
    <row r="1099" spans="1:22" x14ac:dyDescent="0.25">
      <c r="A1099" s="1">
        <v>46072</v>
      </c>
      <c r="B1099" t="s">
        <v>1294</v>
      </c>
      <c r="C1099" t="s">
        <v>70</v>
      </c>
      <c r="D1099" t="s">
        <v>101</v>
      </c>
      <c r="E1099" t="s">
        <v>35</v>
      </c>
      <c r="F1099" t="s">
        <v>36</v>
      </c>
      <c r="G1099" t="s">
        <v>51</v>
      </c>
      <c r="H1099" t="s">
        <v>59</v>
      </c>
      <c r="I1099" t="s">
        <v>53</v>
      </c>
      <c r="J1099" s="2">
        <v>7</v>
      </c>
      <c r="K1099" s="3">
        <v>2132.15</v>
      </c>
      <c r="L1099" s="3">
        <v>1453.13</v>
      </c>
      <c r="M1099" s="4">
        <v>0</v>
      </c>
      <c r="N1099" s="3">
        <f t="shared" si="85"/>
        <v>14925.05</v>
      </c>
      <c r="O1099" s="3">
        <f t="shared" si="86"/>
        <v>14925.05</v>
      </c>
      <c r="P1099" s="3">
        <f t="shared" si="87"/>
        <v>10171.91</v>
      </c>
      <c r="Q1099" s="3">
        <f t="shared" si="88"/>
        <v>4753.1400000000003</v>
      </c>
      <c r="R1099" s="4">
        <f t="shared" si="89"/>
        <v>0.31850000000000001</v>
      </c>
      <c r="S1099" s="2">
        <v>3</v>
      </c>
      <c r="T1099" t="s">
        <v>46</v>
      </c>
      <c r="U1099">
        <v>2</v>
      </c>
    </row>
    <row r="1100" spans="1:22" x14ac:dyDescent="0.25">
      <c r="A1100" s="1">
        <v>46221</v>
      </c>
      <c r="B1100" t="s">
        <v>1295</v>
      </c>
      <c r="C1100" t="s">
        <v>321</v>
      </c>
      <c r="D1100" t="s">
        <v>121</v>
      </c>
      <c r="E1100" t="s">
        <v>72</v>
      </c>
      <c r="F1100" t="s">
        <v>26</v>
      </c>
      <c r="G1100" t="s">
        <v>37</v>
      </c>
      <c r="H1100" t="s">
        <v>104</v>
      </c>
      <c r="I1100" t="s">
        <v>77</v>
      </c>
      <c r="J1100" s="2">
        <v>8</v>
      </c>
      <c r="K1100" s="3">
        <v>305.92</v>
      </c>
      <c r="L1100" s="3">
        <v>137.68</v>
      </c>
      <c r="M1100" s="4">
        <v>0</v>
      </c>
      <c r="N1100" s="3">
        <f t="shared" si="85"/>
        <v>2447.36</v>
      </c>
      <c r="O1100" s="3">
        <f t="shared" si="86"/>
        <v>2447.36</v>
      </c>
      <c r="P1100" s="3">
        <f t="shared" si="87"/>
        <v>1101.44</v>
      </c>
      <c r="Q1100" s="3">
        <f t="shared" si="88"/>
        <v>1345.92</v>
      </c>
      <c r="R1100" s="4">
        <f t="shared" si="89"/>
        <v>0.54990000000000006</v>
      </c>
      <c r="S1100" s="2">
        <v>4</v>
      </c>
      <c r="T1100" t="s">
        <v>46</v>
      </c>
      <c r="U1100">
        <v>3</v>
      </c>
    </row>
    <row r="1101" spans="1:22" x14ac:dyDescent="0.25">
      <c r="A1101" s="1">
        <v>46116</v>
      </c>
      <c r="B1101" t="s">
        <v>1296</v>
      </c>
      <c r="C1101" t="s">
        <v>134</v>
      </c>
      <c r="D1101" t="s">
        <v>34</v>
      </c>
      <c r="E1101" t="s">
        <v>35</v>
      </c>
      <c r="F1101" t="s">
        <v>26</v>
      </c>
      <c r="G1101" t="s">
        <v>44</v>
      </c>
      <c r="H1101" t="s">
        <v>45</v>
      </c>
      <c r="I1101" t="s">
        <v>74</v>
      </c>
      <c r="J1101" s="2">
        <v>1</v>
      </c>
      <c r="K1101" s="3">
        <v>410.87</v>
      </c>
      <c r="L1101" s="3">
        <v>211.21</v>
      </c>
      <c r="M1101" s="4">
        <v>9.1300000000000006E-2</v>
      </c>
      <c r="N1101" s="3">
        <f t="shared" si="85"/>
        <v>410.87</v>
      </c>
      <c r="O1101" s="3">
        <f t="shared" si="86"/>
        <v>373.36</v>
      </c>
      <c r="P1101" s="3">
        <f t="shared" si="87"/>
        <v>211.21</v>
      </c>
      <c r="Q1101" s="3">
        <f t="shared" si="88"/>
        <v>162.15</v>
      </c>
      <c r="R1101" s="4">
        <f t="shared" si="89"/>
        <v>0.43430000000000002</v>
      </c>
      <c r="S1101" s="2">
        <v>13</v>
      </c>
      <c r="T1101" t="s">
        <v>30</v>
      </c>
      <c r="U1101">
        <v>5</v>
      </c>
    </row>
    <row r="1102" spans="1:22" x14ac:dyDescent="0.25">
      <c r="A1102" s="1">
        <v>46228</v>
      </c>
      <c r="B1102" t="s">
        <v>1297</v>
      </c>
      <c r="C1102" t="s">
        <v>433</v>
      </c>
      <c r="D1102" t="s">
        <v>71</v>
      </c>
      <c r="E1102" t="s">
        <v>72</v>
      </c>
      <c r="F1102" t="s">
        <v>26</v>
      </c>
      <c r="G1102" t="s">
        <v>51</v>
      </c>
      <c r="H1102" t="s">
        <v>59</v>
      </c>
      <c r="I1102" t="s">
        <v>53</v>
      </c>
      <c r="J1102" s="2">
        <v>2</v>
      </c>
      <c r="K1102" s="3">
        <v>2312.37</v>
      </c>
      <c r="L1102" s="3">
        <v>1508.02</v>
      </c>
      <c r="M1102" s="4">
        <v>0</v>
      </c>
      <c r="N1102" s="3">
        <f t="shared" si="85"/>
        <v>4624.74</v>
      </c>
      <c r="O1102" s="3">
        <f t="shared" si="86"/>
        <v>4624.74</v>
      </c>
      <c r="P1102" s="3">
        <f t="shared" si="87"/>
        <v>3016.04</v>
      </c>
      <c r="Q1102" s="3">
        <f t="shared" si="88"/>
        <v>1608.7</v>
      </c>
      <c r="R1102" s="4">
        <f t="shared" si="89"/>
        <v>0.3478</v>
      </c>
      <c r="S1102" s="2">
        <v>7</v>
      </c>
      <c r="T1102" t="s">
        <v>46</v>
      </c>
      <c r="U1102">
        <v>4</v>
      </c>
    </row>
    <row r="1103" spans="1:22" x14ac:dyDescent="0.25">
      <c r="A1103" s="1">
        <v>46152</v>
      </c>
      <c r="B1103" t="s">
        <v>1298</v>
      </c>
      <c r="C1103" t="s">
        <v>609</v>
      </c>
      <c r="D1103" t="s">
        <v>97</v>
      </c>
      <c r="E1103" t="s">
        <v>57</v>
      </c>
      <c r="F1103" t="s">
        <v>26</v>
      </c>
      <c r="G1103" t="s">
        <v>51</v>
      </c>
      <c r="H1103" t="s">
        <v>59</v>
      </c>
      <c r="I1103" t="s">
        <v>53</v>
      </c>
      <c r="J1103" s="2">
        <v>1</v>
      </c>
      <c r="K1103" s="3">
        <v>2235.7800000000002</v>
      </c>
      <c r="L1103" s="3">
        <v>1430.01</v>
      </c>
      <c r="M1103" s="4">
        <v>6.9800000000000001E-2</v>
      </c>
      <c r="N1103" s="3">
        <f t="shared" si="85"/>
        <v>2235.7800000000002</v>
      </c>
      <c r="O1103" s="3">
        <f t="shared" si="86"/>
        <v>2079.7199999999998</v>
      </c>
      <c r="P1103" s="3">
        <f t="shared" si="87"/>
        <v>1430.01</v>
      </c>
      <c r="Q1103" s="3">
        <f t="shared" si="88"/>
        <v>649.71</v>
      </c>
      <c r="R1103" s="4">
        <f t="shared" si="89"/>
        <v>0.31240000000000001</v>
      </c>
      <c r="S1103" s="2">
        <v>8</v>
      </c>
      <c r="T1103" t="s">
        <v>46</v>
      </c>
      <c r="U1103">
        <v>3</v>
      </c>
    </row>
    <row r="1104" spans="1:22" x14ac:dyDescent="0.25">
      <c r="A1104" s="1">
        <v>46187</v>
      </c>
      <c r="B1104" t="s">
        <v>1299</v>
      </c>
      <c r="C1104" t="s">
        <v>23</v>
      </c>
      <c r="D1104" t="s">
        <v>71</v>
      </c>
      <c r="E1104" t="s">
        <v>72</v>
      </c>
      <c r="F1104" t="s">
        <v>58</v>
      </c>
      <c r="G1104" t="s">
        <v>37</v>
      </c>
      <c r="H1104" t="s">
        <v>104</v>
      </c>
      <c r="I1104" t="s">
        <v>29</v>
      </c>
      <c r="J1104" s="2">
        <v>7</v>
      </c>
      <c r="K1104" s="3">
        <v>338</v>
      </c>
      <c r="L1104" s="3">
        <v>134.82</v>
      </c>
      <c r="M1104" s="4">
        <v>3.5000000000000003E-2</v>
      </c>
      <c r="N1104" s="3">
        <f t="shared" si="85"/>
        <v>2366</v>
      </c>
      <c r="O1104" s="3">
        <f t="shared" si="86"/>
        <v>2283.19</v>
      </c>
      <c r="P1104" s="3">
        <f t="shared" si="87"/>
        <v>943.74</v>
      </c>
      <c r="Q1104" s="3">
        <f t="shared" si="88"/>
        <v>1339.45</v>
      </c>
      <c r="R1104" s="4">
        <f t="shared" si="89"/>
        <v>0.5867</v>
      </c>
      <c r="S1104" s="2">
        <v>8</v>
      </c>
      <c r="T1104" t="s">
        <v>46</v>
      </c>
      <c r="U1104">
        <v>2</v>
      </c>
    </row>
    <row r="1105" spans="1:21" x14ac:dyDescent="0.25">
      <c r="A1105" s="1">
        <v>46080</v>
      </c>
      <c r="B1105" t="s">
        <v>1300</v>
      </c>
      <c r="C1105" t="s">
        <v>123</v>
      </c>
      <c r="D1105" t="s">
        <v>207</v>
      </c>
      <c r="E1105" t="s">
        <v>35</v>
      </c>
      <c r="F1105" t="s">
        <v>26</v>
      </c>
      <c r="G1105" t="s">
        <v>37</v>
      </c>
      <c r="H1105" t="s">
        <v>104</v>
      </c>
      <c r="I1105" t="s">
        <v>77</v>
      </c>
      <c r="J1105" s="2">
        <v>8</v>
      </c>
      <c r="K1105" s="3">
        <v>332.5</v>
      </c>
      <c r="L1105" s="3">
        <v>138.37</v>
      </c>
      <c r="M1105" s="4">
        <v>2.3699999999999999E-2</v>
      </c>
      <c r="N1105" s="3">
        <f t="shared" si="85"/>
        <v>2660</v>
      </c>
      <c r="O1105" s="3">
        <f t="shared" si="86"/>
        <v>2596.96</v>
      </c>
      <c r="P1105" s="3">
        <f t="shared" si="87"/>
        <v>1106.96</v>
      </c>
      <c r="Q1105" s="3">
        <f t="shared" si="88"/>
        <v>1490</v>
      </c>
      <c r="R1105" s="4">
        <f t="shared" si="89"/>
        <v>0.57369999999999999</v>
      </c>
      <c r="S1105" s="2">
        <v>5</v>
      </c>
      <c r="T1105" t="s">
        <v>46</v>
      </c>
      <c r="U1105">
        <v>4</v>
      </c>
    </row>
    <row r="1106" spans="1:21" x14ac:dyDescent="0.25">
      <c r="A1106" s="1">
        <v>46172</v>
      </c>
      <c r="B1106" t="s">
        <v>1301</v>
      </c>
      <c r="C1106" t="s">
        <v>62</v>
      </c>
      <c r="D1106" t="s">
        <v>113</v>
      </c>
      <c r="E1106" t="s">
        <v>50</v>
      </c>
      <c r="F1106" t="s">
        <v>26</v>
      </c>
      <c r="G1106" t="s">
        <v>51</v>
      </c>
      <c r="H1106" t="s">
        <v>52</v>
      </c>
      <c r="I1106" t="s">
        <v>29</v>
      </c>
      <c r="J1106" s="2">
        <v>7</v>
      </c>
      <c r="K1106" s="3">
        <v>245.12</v>
      </c>
      <c r="L1106" s="3">
        <v>117.42</v>
      </c>
      <c r="M1106" s="4">
        <v>6.9800000000000001E-2</v>
      </c>
      <c r="N1106" s="3">
        <f t="shared" si="85"/>
        <v>1715.84</v>
      </c>
      <c r="O1106" s="3">
        <f t="shared" si="86"/>
        <v>1596.07</v>
      </c>
      <c r="P1106" s="3">
        <f t="shared" si="87"/>
        <v>821.94</v>
      </c>
      <c r="Q1106" s="3">
        <f t="shared" si="88"/>
        <v>774.13</v>
      </c>
      <c r="R1106" s="4">
        <f t="shared" si="89"/>
        <v>0.48499999999999999</v>
      </c>
      <c r="S1106" s="2">
        <v>6</v>
      </c>
      <c r="T1106" t="s">
        <v>46</v>
      </c>
      <c r="U1106">
        <v>3</v>
      </c>
    </row>
    <row r="1107" spans="1:21" x14ac:dyDescent="0.25">
      <c r="A1107" s="1">
        <v>46081</v>
      </c>
      <c r="B1107" t="s">
        <v>1302</v>
      </c>
      <c r="C1107" t="s">
        <v>55</v>
      </c>
      <c r="D1107" t="s">
        <v>126</v>
      </c>
      <c r="E1107" t="s">
        <v>57</v>
      </c>
      <c r="F1107" t="s">
        <v>26</v>
      </c>
      <c r="G1107" t="s">
        <v>37</v>
      </c>
      <c r="H1107" t="s">
        <v>178</v>
      </c>
      <c r="I1107" t="s">
        <v>29</v>
      </c>
      <c r="J1107" s="2">
        <v>1</v>
      </c>
      <c r="K1107" s="3">
        <v>500.37</v>
      </c>
      <c r="L1107" s="3">
        <v>249.94</v>
      </c>
      <c r="M1107" s="4">
        <v>3.5700000000000003E-2</v>
      </c>
      <c r="N1107" s="3">
        <f t="shared" si="85"/>
        <v>500.37</v>
      </c>
      <c r="O1107" s="3">
        <f t="shared" si="86"/>
        <v>482.51</v>
      </c>
      <c r="P1107" s="3">
        <f t="shared" si="87"/>
        <v>249.94</v>
      </c>
      <c r="Q1107" s="3">
        <f t="shared" si="88"/>
        <v>232.57</v>
      </c>
      <c r="R1107" s="4">
        <f t="shared" si="89"/>
        <v>0.48199999999999998</v>
      </c>
      <c r="S1107" s="2">
        <v>11</v>
      </c>
      <c r="T1107" t="s">
        <v>30</v>
      </c>
      <c r="U1107">
        <v>4</v>
      </c>
    </row>
    <row r="1108" spans="1:21" x14ac:dyDescent="0.25">
      <c r="A1108" s="1">
        <v>46042</v>
      </c>
      <c r="B1108" t="s">
        <v>1303</v>
      </c>
      <c r="C1108" t="s">
        <v>150</v>
      </c>
      <c r="D1108" t="s">
        <v>101</v>
      </c>
      <c r="E1108" t="s">
        <v>35</v>
      </c>
      <c r="F1108" t="s">
        <v>58</v>
      </c>
      <c r="G1108" t="s">
        <v>44</v>
      </c>
      <c r="H1108" t="s">
        <v>73</v>
      </c>
      <c r="I1108" t="s">
        <v>87</v>
      </c>
      <c r="J1108" s="2">
        <v>8</v>
      </c>
      <c r="K1108" s="3">
        <v>1712.73</v>
      </c>
      <c r="L1108" s="3">
        <v>1084.48</v>
      </c>
      <c r="M1108" s="4">
        <v>5.7000000000000002E-2</v>
      </c>
      <c r="N1108" s="3">
        <f t="shared" si="85"/>
        <v>13701.84</v>
      </c>
      <c r="O1108" s="3">
        <f t="shared" si="86"/>
        <v>12920.84</v>
      </c>
      <c r="P1108" s="3">
        <f t="shared" si="87"/>
        <v>8675.84</v>
      </c>
      <c r="Q1108" s="3">
        <f t="shared" si="88"/>
        <v>4245</v>
      </c>
      <c r="R1108" s="4">
        <f t="shared" si="89"/>
        <v>0.32850000000000001</v>
      </c>
      <c r="S1108" s="2">
        <v>10</v>
      </c>
      <c r="T1108" t="s">
        <v>46</v>
      </c>
      <c r="U1108">
        <v>3</v>
      </c>
    </row>
    <row r="1109" spans="1:21" x14ac:dyDescent="0.25">
      <c r="A1109" s="1">
        <v>46174</v>
      </c>
      <c r="B1109" t="s">
        <v>1304</v>
      </c>
      <c r="C1109" t="s">
        <v>233</v>
      </c>
      <c r="D1109" t="s">
        <v>34</v>
      </c>
      <c r="E1109" t="s">
        <v>35</v>
      </c>
      <c r="F1109" t="s">
        <v>64</v>
      </c>
      <c r="G1109" t="s">
        <v>44</v>
      </c>
      <c r="H1109" t="s">
        <v>45</v>
      </c>
      <c r="I1109" t="s">
        <v>92</v>
      </c>
      <c r="J1109" s="2">
        <v>1</v>
      </c>
      <c r="K1109" s="3">
        <v>370.56</v>
      </c>
      <c r="L1109" s="3">
        <v>211.69</v>
      </c>
      <c r="M1109" s="4">
        <v>7.7999999999999996E-3</v>
      </c>
      <c r="N1109" s="3">
        <f t="shared" si="85"/>
        <v>370.56</v>
      </c>
      <c r="O1109" s="3">
        <f t="shared" si="86"/>
        <v>367.67</v>
      </c>
      <c r="P1109" s="3">
        <f t="shared" si="87"/>
        <v>211.69</v>
      </c>
      <c r="Q1109" s="3">
        <f t="shared" si="88"/>
        <v>155.97999999999999</v>
      </c>
      <c r="R1109" s="4">
        <f t="shared" si="89"/>
        <v>0.42420000000000002</v>
      </c>
      <c r="S1109" s="2">
        <v>8</v>
      </c>
      <c r="T1109" t="s">
        <v>46</v>
      </c>
      <c r="U1109">
        <v>3</v>
      </c>
    </row>
    <row r="1110" spans="1:21" x14ac:dyDescent="0.25">
      <c r="A1110" s="1">
        <v>46050</v>
      </c>
      <c r="B1110" t="s">
        <v>1305</v>
      </c>
      <c r="C1110" t="s">
        <v>204</v>
      </c>
      <c r="D1110" t="s">
        <v>56</v>
      </c>
      <c r="E1110" t="s">
        <v>57</v>
      </c>
      <c r="F1110" t="s">
        <v>36</v>
      </c>
      <c r="G1110" t="s">
        <v>44</v>
      </c>
      <c r="H1110" t="s">
        <v>45</v>
      </c>
      <c r="I1110" t="s">
        <v>87</v>
      </c>
      <c r="J1110" s="2">
        <v>8</v>
      </c>
      <c r="K1110" s="3">
        <v>407</v>
      </c>
      <c r="L1110" s="3">
        <v>216.07</v>
      </c>
      <c r="M1110" s="4">
        <v>4.1000000000000002E-2</v>
      </c>
      <c r="N1110" s="3">
        <f t="shared" si="85"/>
        <v>3256</v>
      </c>
      <c r="O1110" s="3">
        <f t="shared" si="86"/>
        <v>3122.5</v>
      </c>
      <c r="P1110" s="3">
        <f t="shared" si="87"/>
        <v>1728.56</v>
      </c>
      <c r="Q1110" s="3">
        <f t="shared" si="88"/>
        <v>1393.94</v>
      </c>
      <c r="R1110" s="4">
        <f t="shared" si="89"/>
        <v>0.44640000000000002</v>
      </c>
      <c r="S1110" s="2">
        <v>8</v>
      </c>
      <c r="T1110" t="s">
        <v>46</v>
      </c>
      <c r="U1110">
        <v>2</v>
      </c>
    </row>
    <row r="1111" spans="1:21" x14ac:dyDescent="0.25">
      <c r="A1111" s="1">
        <v>46209</v>
      </c>
      <c r="B1111" t="s">
        <v>1306</v>
      </c>
      <c r="C1111" t="s">
        <v>164</v>
      </c>
      <c r="D1111" t="s">
        <v>139</v>
      </c>
      <c r="E1111" t="s">
        <v>72</v>
      </c>
      <c r="F1111" t="s">
        <v>64</v>
      </c>
      <c r="G1111" t="s">
        <v>51</v>
      </c>
      <c r="H1111" t="s">
        <v>52</v>
      </c>
      <c r="I1111" t="s">
        <v>60</v>
      </c>
      <c r="J1111" s="2">
        <v>3</v>
      </c>
      <c r="K1111" s="3">
        <v>258.49</v>
      </c>
      <c r="L1111" s="3">
        <v>117.75</v>
      </c>
      <c r="M1111" s="4">
        <v>0</v>
      </c>
      <c r="N1111" s="3">
        <f t="shared" si="85"/>
        <v>775.47</v>
      </c>
      <c r="O1111" s="3">
        <f t="shared" si="86"/>
        <v>775.47</v>
      </c>
      <c r="P1111" s="3">
        <f t="shared" si="87"/>
        <v>353.25</v>
      </c>
      <c r="Q1111" s="3">
        <f t="shared" si="88"/>
        <v>422.22</v>
      </c>
      <c r="R1111" s="4">
        <f t="shared" si="89"/>
        <v>0.54449999999999998</v>
      </c>
      <c r="S1111" s="2">
        <v>14</v>
      </c>
      <c r="T1111" t="s">
        <v>30</v>
      </c>
      <c r="U1111">
        <v>5</v>
      </c>
    </row>
    <row r="1112" spans="1:21" x14ac:dyDescent="0.25">
      <c r="A1112" s="1">
        <v>46062</v>
      </c>
      <c r="B1112" t="s">
        <v>1307</v>
      </c>
      <c r="C1112" t="s">
        <v>120</v>
      </c>
      <c r="D1112" t="s">
        <v>24</v>
      </c>
      <c r="E1112" t="s">
        <v>25</v>
      </c>
      <c r="F1112" t="s">
        <v>64</v>
      </c>
      <c r="G1112" t="s">
        <v>27</v>
      </c>
      <c r="H1112" t="s">
        <v>28</v>
      </c>
      <c r="I1112" t="s">
        <v>60</v>
      </c>
      <c r="J1112" s="2">
        <v>3</v>
      </c>
      <c r="K1112" s="3">
        <v>754.29</v>
      </c>
      <c r="L1112" s="3">
        <v>488.93</v>
      </c>
      <c r="M1112" s="4">
        <v>0</v>
      </c>
      <c r="N1112" s="3">
        <f t="shared" si="85"/>
        <v>2262.87</v>
      </c>
      <c r="O1112" s="3">
        <f t="shared" si="86"/>
        <v>2262.87</v>
      </c>
      <c r="P1112" s="3">
        <f t="shared" si="87"/>
        <v>1466.79</v>
      </c>
      <c r="Q1112" s="3">
        <f t="shared" si="88"/>
        <v>796.08</v>
      </c>
      <c r="R1112" s="4">
        <f t="shared" si="89"/>
        <v>0.3518</v>
      </c>
      <c r="S1112" s="2">
        <v>8</v>
      </c>
      <c r="T1112" t="s">
        <v>46</v>
      </c>
      <c r="U1112">
        <v>2</v>
      </c>
    </row>
    <row r="1113" spans="1:21" x14ac:dyDescent="0.25">
      <c r="A1113" s="1">
        <v>46223</v>
      </c>
      <c r="B1113" t="s">
        <v>1308</v>
      </c>
      <c r="C1113" t="s">
        <v>108</v>
      </c>
      <c r="D1113" t="s">
        <v>63</v>
      </c>
      <c r="E1113" t="s">
        <v>35</v>
      </c>
      <c r="F1113" t="s">
        <v>36</v>
      </c>
      <c r="G1113" t="s">
        <v>44</v>
      </c>
      <c r="H1113" t="s">
        <v>45</v>
      </c>
      <c r="I1113" t="s">
        <v>29</v>
      </c>
      <c r="J1113" s="2">
        <v>6</v>
      </c>
      <c r="K1113" s="3">
        <v>377.86</v>
      </c>
      <c r="L1113" s="3">
        <v>204.78</v>
      </c>
      <c r="M1113" s="4">
        <v>7.6100000000000001E-2</v>
      </c>
      <c r="N1113" s="3">
        <f t="shared" si="85"/>
        <v>2267.16</v>
      </c>
      <c r="O1113" s="3">
        <f t="shared" si="86"/>
        <v>2094.63</v>
      </c>
      <c r="P1113" s="3">
        <f t="shared" si="87"/>
        <v>1228.68</v>
      </c>
      <c r="Q1113" s="3">
        <f t="shared" si="88"/>
        <v>865.95</v>
      </c>
      <c r="R1113" s="4">
        <f t="shared" si="89"/>
        <v>0.41339999999999999</v>
      </c>
      <c r="S1113" s="2">
        <v>3</v>
      </c>
      <c r="T1113" t="s">
        <v>40</v>
      </c>
    </row>
    <row r="1114" spans="1:21" x14ac:dyDescent="0.25">
      <c r="A1114" s="1">
        <v>46103</v>
      </c>
      <c r="B1114" t="s">
        <v>1309</v>
      </c>
      <c r="C1114" t="s">
        <v>392</v>
      </c>
      <c r="D1114" t="s">
        <v>24</v>
      </c>
      <c r="E1114" t="s">
        <v>25</v>
      </c>
      <c r="F1114" t="s">
        <v>26</v>
      </c>
      <c r="G1114" t="s">
        <v>27</v>
      </c>
      <c r="H1114" t="s">
        <v>86</v>
      </c>
      <c r="I1114" t="s">
        <v>60</v>
      </c>
      <c r="J1114" s="2">
        <v>6</v>
      </c>
      <c r="K1114" s="3">
        <v>1928.94</v>
      </c>
      <c r="L1114" s="3">
        <v>1265.71</v>
      </c>
      <c r="M1114" s="4">
        <v>0</v>
      </c>
      <c r="N1114" s="3">
        <f t="shared" si="85"/>
        <v>11573.64</v>
      </c>
      <c r="O1114" s="3">
        <f t="shared" si="86"/>
        <v>11573.64</v>
      </c>
      <c r="P1114" s="3">
        <f t="shared" si="87"/>
        <v>7594.26</v>
      </c>
      <c r="Q1114" s="3">
        <f t="shared" si="88"/>
        <v>3979.38</v>
      </c>
      <c r="R1114" s="4">
        <f t="shared" si="89"/>
        <v>0.34379999999999999</v>
      </c>
      <c r="S1114" s="2">
        <v>14</v>
      </c>
      <c r="T1114" t="s">
        <v>30</v>
      </c>
      <c r="U1114">
        <v>3</v>
      </c>
    </row>
    <row r="1115" spans="1:21" x14ac:dyDescent="0.25">
      <c r="A1115" s="1">
        <v>46172</v>
      </c>
      <c r="B1115" t="s">
        <v>1310</v>
      </c>
      <c r="C1115" t="s">
        <v>33</v>
      </c>
      <c r="D1115" t="s">
        <v>71</v>
      </c>
      <c r="E1115" t="s">
        <v>72</v>
      </c>
      <c r="F1115" t="s">
        <v>64</v>
      </c>
      <c r="G1115" t="s">
        <v>51</v>
      </c>
      <c r="H1115" t="s">
        <v>52</v>
      </c>
      <c r="I1115" t="s">
        <v>60</v>
      </c>
      <c r="J1115" s="2">
        <v>3</v>
      </c>
      <c r="K1115" s="3">
        <v>253.02</v>
      </c>
      <c r="L1115" s="3">
        <v>121.02</v>
      </c>
      <c r="M1115" s="4">
        <v>0</v>
      </c>
      <c r="N1115" s="3">
        <f t="shared" si="85"/>
        <v>759.06</v>
      </c>
      <c r="O1115" s="3">
        <f t="shared" si="86"/>
        <v>759.06</v>
      </c>
      <c r="P1115" s="3">
        <f t="shared" si="87"/>
        <v>363.06</v>
      </c>
      <c r="Q1115" s="3">
        <f t="shared" si="88"/>
        <v>396</v>
      </c>
      <c r="R1115" s="4">
        <f t="shared" si="89"/>
        <v>0.52170000000000005</v>
      </c>
      <c r="S1115" s="2">
        <v>7</v>
      </c>
      <c r="T1115" t="s">
        <v>46</v>
      </c>
      <c r="U1115">
        <v>4</v>
      </c>
    </row>
    <row r="1116" spans="1:21" x14ac:dyDescent="0.25">
      <c r="A1116" s="1">
        <v>46156</v>
      </c>
      <c r="B1116" t="s">
        <v>1311</v>
      </c>
      <c r="C1116" t="s">
        <v>118</v>
      </c>
      <c r="D1116" t="s">
        <v>121</v>
      </c>
      <c r="E1116" t="s">
        <v>72</v>
      </c>
      <c r="F1116" t="s">
        <v>64</v>
      </c>
      <c r="G1116" t="s">
        <v>51</v>
      </c>
      <c r="H1116" t="s">
        <v>52</v>
      </c>
      <c r="I1116" t="s">
        <v>94</v>
      </c>
      <c r="J1116" s="2">
        <v>7</v>
      </c>
      <c r="K1116" s="3">
        <v>251.22</v>
      </c>
      <c r="L1116" s="3">
        <v>117.32</v>
      </c>
      <c r="M1116" s="4">
        <v>6.2899999999999998E-2</v>
      </c>
      <c r="N1116" s="3">
        <f t="shared" si="85"/>
        <v>1758.54</v>
      </c>
      <c r="O1116" s="3">
        <f t="shared" si="86"/>
        <v>1647.93</v>
      </c>
      <c r="P1116" s="3">
        <f t="shared" si="87"/>
        <v>821.24</v>
      </c>
      <c r="Q1116" s="3">
        <f t="shared" si="88"/>
        <v>826.69</v>
      </c>
      <c r="R1116" s="4">
        <f t="shared" si="89"/>
        <v>0.50170000000000003</v>
      </c>
      <c r="S1116" s="2">
        <v>9</v>
      </c>
      <c r="T1116" t="s">
        <v>46</v>
      </c>
      <c r="U1116">
        <v>5</v>
      </c>
    </row>
    <row r="1117" spans="1:21" x14ac:dyDescent="0.25">
      <c r="A1117" s="1">
        <v>46147</v>
      </c>
      <c r="B1117" t="s">
        <v>1312</v>
      </c>
      <c r="C1117" t="s">
        <v>349</v>
      </c>
      <c r="D1117" t="s">
        <v>207</v>
      </c>
      <c r="E1117" t="s">
        <v>35</v>
      </c>
      <c r="F1117" t="s">
        <v>64</v>
      </c>
      <c r="G1117" t="s">
        <v>44</v>
      </c>
      <c r="H1117" t="s">
        <v>73</v>
      </c>
      <c r="I1117" t="s">
        <v>60</v>
      </c>
      <c r="J1117" s="2">
        <v>7</v>
      </c>
      <c r="K1117" s="3">
        <v>1661.81</v>
      </c>
      <c r="L1117" s="3">
        <v>1114.8</v>
      </c>
      <c r="M1117" s="4">
        <v>6.7000000000000004E-2</v>
      </c>
      <c r="N1117" s="3">
        <f t="shared" si="85"/>
        <v>11632.67</v>
      </c>
      <c r="O1117" s="3">
        <f t="shared" si="86"/>
        <v>10853.28</v>
      </c>
      <c r="P1117" s="3">
        <f t="shared" si="87"/>
        <v>7803.6</v>
      </c>
      <c r="Q1117" s="3">
        <f t="shared" si="88"/>
        <v>3049.68</v>
      </c>
      <c r="R1117" s="4">
        <f t="shared" si="89"/>
        <v>0.28100000000000003</v>
      </c>
      <c r="S1117" s="2">
        <v>8</v>
      </c>
      <c r="T1117" t="s">
        <v>46</v>
      </c>
      <c r="U1117">
        <v>4</v>
      </c>
    </row>
    <row r="1118" spans="1:21" x14ac:dyDescent="0.25">
      <c r="A1118" s="1">
        <v>46067</v>
      </c>
      <c r="B1118" t="s">
        <v>1313</v>
      </c>
      <c r="C1118" t="s">
        <v>70</v>
      </c>
      <c r="D1118" t="s">
        <v>85</v>
      </c>
      <c r="E1118" t="s">
        <v>50</v>
      </c>
      <c r="F1118" t="s">
        <v>64</v>
      </c>
      <c r="G1118" t="s">
        <v>51</v>
      </c>
      <c r="H1118" t="s">
        <v>52</v>
      </c>
      <c r="I1118" t="s">
        <v>87</v>
      </c>
      <c r="J1118" s="2">
        <v>6</v>
      </c>
      <c r="K1118" s="3">
        <v>262.41000000000003</v>
      </c>
      <c r="L1118" s="3">
        <v>119.85</v>
      </c>
      <c r="M1118" s="4">
        <v>0</v>
      </c>
      <c r="N1118" s="3">
        <f t="shared" si="85"/>
        <v>1574.46</v>
      </c>
      <c r="O1118" s="3">
        <f t="shared" si="86"/>
        <v>1574.46</v>
      </c>
      <c r="P1118" s="3">
        <f t="shared" si="87"/>
        <v>719.1</v>
      </c>
      <c r="Q1118" s="3">
        <f t="shared" si="88"/>
        <v>855.36</v>
      </c>
      <c r="R1118" s="4">
        <f t="shared" si="89"/>
        <v>0.54330000000000001</v>
      </c>
      <c r="S1118" s="2">
        <v>3</v>
      </c>
      <c r="T1118" t="s">
        <v>46</v>
      </c>
      <c r="U1118">
        <v>3</v>
      </c>
    </row>
    <row r="1119" spans="1:21" x14ac:dyDescent="0.25">
      <c r="A1119" s="1">
        <v>46046</v>
      </c>
      <c r="B1119" t="s">
        <v>1314</v>
      </c>
      <c r="C1119" t="s">
        <v>103</v>
      </c>
      <c r="D1119" t="s">
        <v>85</v>
      </c>
      <c r="E1119" t="s">
        <v>50</v>
      </c>
      <c r="F1119" t="s">
        <v>26</v>
      </c>
      <c r="G1119" t="s">
        <v>27</v>
      </c>
      <c r="H1119" t="s">
        <v>28</v>
      </c>
      <c r="I1119" t="s">
        <v>65</v>
      </c>
      <c r="J1119" s="2">
        <v>6</v>
      </c>
      <c r="K1119" s="3">
        <v>746.36</v>
      </c>
      <c r="L1119" s="3">
        <v>458.25</v>
      </c>
      <c r="M1119" s="4">
        <v>0</v>
      </c>
      <c r="N1119" s="3">
        <f t="shared" si="85"/>
        <v>4478.16</v>
      </c>
      <c r="O1119" s="3">
        <f t="shared" si="86"/>
        <v>4478.16</v>
      </c>
      <c r="P1119" s="3">
        <f t="shared" si="87"/>
        <v>2749.5</v>
      </c>
      <c r="Q1119" s="3">
        <f t="shared" si="88"/>
        <v>1728.66</v>
      </c>
      <c r="R1119" s="4">
        <f t="shared" si="89"/>
        <v>0.38600000000000001</v>
      </c>
      <c r="S1119" s="2">
        <v>14</v>
      </c>
      <c r="T1119" t="s">
        <v>30</v>
      </c>
      <c r="U1119">
        <v>3</v>
      </c>
    </row>
    <row r="1120" spans="1:21" x14ac:dyDescent="0.25">
      <c r="A1120" s="1">
        <v>46090</v>
      </c>
      <c r="B1120" t="s">
        <v>1315</v>
      </c>
      <c r="C1120" t="s">
        <v>464</v>
      </c>
      <c r="D1120" t="s">
        <v>207</v>
      </c>
      <c r="E1120" t="s">
        <v>35</v>
      </c>
      <c r="F1120" t="s">
        <v>26</v>
      </c>
      <c r="G1120" t="s">
        <v>37</v>
      </c>
      <c r="H1120" t="s">
        <v>104</v>
      </c>
      <c r="I1120" t="s">
        <v>94</v>
      </c>
      <c r="J1120" s="2">
        <v>6</v>
      </c>
      <c r="K1120" s="3">
        <v>306.19</v>
      </c>
      <c r="L1120" s="3">
        <v>135.83000000000001</v>
      </c>
      <c r="M1120" s="4">
        <v>0</v>
      </c>
      <c r="N1120" s="3">
        <f t="shared" si="85"/>
        <v>1837.14</v>
      </c>
      <c r="O1120" s="3">
        <f t="shared" si="86"/>
        <v>1837.14</v>
      </c>
      <c r="P1120" s="3">
        <f t="shared" si="87"/>
        <v>814.98</v>
      </c>
      <c r="Q1120" s="3">
        <f t="shared" si="88"/>
        <v>1022.16</v>
      </c>
      <c r="R1120" s="4">
        <f t="shared" si="89"/>
        <v>0.55640000000000001</v>
      </c>
      <c r="S1120" s="2">
        <v>4</v>
      </c>
      <c r="T1120" t="s">
        <v>46</v>
      </c>
      <c r="U1120">
        <v>4</v>
      </c>
    </row>
    <row r="1121" spans="1:21" x14ac:dyDescent="0.25">
      <c r="A1121" s="1">
        <v>46216</v>
      </c>
      <c r="B1121" t="s">
        <v>1316</v>
      </c>
      <c r="C1121" t="s">
        <v>251</v>
      </c>
      <c r="D1121" t="s">
        <v>101</v>
      </c>
      <c r="E1121" t="s">
        <v>35</v>
      </c>
      <c r="F1121" t="s">
        <v>58</v>
      </c>
      <c r="G1121" t="s">
        <v>51</v>
      </c>
      <c r="H1121" t="s">
        <v>116</v>
      </c>
      <c r="I1121" t="s">
        <v>77</v>
      </c>
      <c r="J1121" s="2">
        <v>4</v>
      </c>
      <c r="K1121" s="3">
        <v>2949.51</v>
      </c>
      <c r="L1121" s="3">
        <v>1800.24</v>
      </c>
      <c r="M1121" s="4">
        <v>8.2699999999999996E-2</v>
      </c>
      <c r="N1121" s="3">
        <f t="shared" si="85"/>
        <v>11798.04</v>
      </c>
      <c r="O1121" s="3">
        <f t="shared" si="86"/>
        <v>10822.34</v>
      </c>
      <c r="P1121" s="3">
        <f t="shared" si="87"/>
        <v>7200.96</v>
      </c>
      <c r="Q1121" s="3">
        <f t="shared" si="88"/>
        <v>3621.38</v>
      </c>
      <c r="R1121" s="4">
        <f t="shared" si="89"/>
        <v>0.33460000000000001</v>
      </c>
      <c r="S1121" s="2">
        <v>6</v>
      </c>
      <c r="T1121" t="s">
        <v>46</v>
      </c>
      <c r="U1121">
        <v>4</v>
      </c>
    </row>
    <row r="1122" spans="1:21" x14ac:dyDescent="0.25">
      <c r="A1122" s="1">
        <v>46032</v>
      </c>
      <c r="B1122" t="s">
        <v>1317</v>
      </c>
      <c r="C1122" t="s">
        <v>146</v>
      </c>
      <c r="D1122" t="s">
        <v>24</v>
      </c>
      <c r="E1122" t="s">
        <v>25</v>
      </c>
      <c r="F1122" t="s">
        <v>58</v>
      </c>
      <c r="G1122" t="s">
        <v>37</v>
      </c>
      <c r="H1122" t="s">
        <v>178</v>
      </c>
      <c r="I1122" t="s">
        <v>65</v>
      </c>
      <c r="J1122" s="2">
        <v>8</v>
      </c>
      <c r="K1122" s="3">
        <v>532.85</v>
      </c>
      <c r="L1122" s="3">
        <v>253.43</v>
      </c>
      <c r="M1122" s="4">
        <v>3.6200000000000003E-2</v>
      </c>
      <c r="N1122" s="3">
        <f t="shared" si="85"/>
        <v>4262.8</v>
      </c>
      <c r="O1122" s="3">
        <f t="shared" si="86"/>
        <v>4108.49</v>
      </c>
      <c r="P1122" s="3">
        <f t="shared" si="87"/>
        <v>2027.44</v>
      </c>
      <c r="Q1122" s="3">
        <f t="shared" si="88"/>
        <v>2081.0500000000002</v>
      </c>
      <c r="R1122" s="4">
        <f t="shared" si="89"/>
        <v>0.50649999999999995</v>
      </c>
      <c r="S1122" s="2">
        <v>8</v>
      </c>
      <c r="T1122" t="s">
        <v>46</v>
      </c>
      <c r="U1122">
        <v>5</v>
      </c>
    </row>
    <row r="1123" spans="1:21" x14ac:dyDescent="0.25">
      <c r="A1123" s="1">
        <v>46064</v>
      </c>
      <c r="B1123" t="s">
        <v>1318</v>
      </c>
      <c r="C1123" t="s">
        <v>297</v>
      </c>
      <c r="D1123" t="s">
        <v>43</v>
      </c>
      <c r="E1123" t="s">
        <v>25</v>
      </c>
      <c r="F1123" t="s">
        <v>58</v>
      </c>
      <c r="G1123" t="s">
        <v>51</v>
      </c>
      <c r="H1123" t="s">
        <v>116</v>
      </c>
      <c r="I1123" t="s">
        <v>53</v>
      </c>
      <c r="J1123" s="2">
        <v>8</v>
      </c>
      <c r="K1123" s="3">
        <v>2929.34</v>
      </c>
      <c r="L1123" s="3">
        <v>1952.55</v>
      </c>
      <c r="M1123" s="4">
        <v>9.3600000000000003E-2</v>
      </c>
      <c r="N1123" s="3">
        <f t="shared" si="85"/>
        <v>23434.720000000001</v>
      </c>
      <c r="O1123" s="3">
        <f t="shared" si="86"/>
        <v>21241.23</v>
      </c>
      <c r="P1123" s="3">
        <f t="shared" si="87"/>
        <v>15620.4</v>
      </c>
      <c r="Q1123" s="3">
        <f t="shared" si="88"/>
        <v>5620.83</v>
      </c>
      <c r="R1123" s="4">
        <f t="shared" si="89"/>
        <v>0.2646</v>
      </c>
      <c r="S1123" s="2">
        <v>12</v>
      </c>
      <c r="T1123" t="s">
        <v>30</v>
      </c>
      <c r="U1123">
        <v>4</v>
      </c>
    </row>
    <row r="1124" spans="1:21" x14ac:dyDescent="0.25">
      <c r="A1124" s="1">
        <v>46185</v>
      </c>
      <c r="B1124" t="s">
        <v>1319</v>
      </c>
      <c r="C1124" t="s">
        <v>187</v>
      </c>
      <c r="D1124" t="s">
        <v>130</v>
      </c>
      <c r="E1124" t="s">
        <v>72</v>
      </c>
      <c r="F1124" t="s">
        <v>64</v>
      </c>
      <c r="G1124" t="s">
        <v>51</v>
      </c>
      <c r="H1124" t="s">
        <v>116</v>
      </c>
      <c r="I1124" t="s">
        <v>29</v>
      </c>
      <c r="J1124" s="2">
        <v>6</v>
      </c>
      <c r="K1124" s="3">
        <v>2793.4</v>
      </c>
      <c r="L1124" s="3">
        <v>1913.34</v>
      </c>
      <c r="M1124" s="4">
        <v>0</v>
      </c>
      <c r="N1124" s="3">
        <f t="shared" si="85"/>
        <v>16760.400000000001</v>
      </c>
      <c r="O1124" s="3">
        <f t="shared" si="86"/>
        <v>16760.400000000001</v>
      </c>
      <c r="P1124" s="3">
        <f t="shared" si="87"/>
        <v>11480.04</v>
      </c>
      <c r="Q1124" s="3">
        <f t="shared" si="88"/>
        <v>5280.36</v>
      </c>
      <c r="R1124" s="4">
        <f t="shared" si="89"/>
        <v>0.315</v>
      </c>
      <c r="S1124" s="2">
        <v>10</v>
      </c>
      <c r="T1124" t="s">
        <v>46</v>
      </c>
      <c r="U1124">
        <v>5</v>
      </c>
    </row>
    <row r="1125" spans="1:21" x14ac:dyDescent="0.25">
      <c r="A1125" s="1">
        <v>46110</v>
      </c>
      <c r="B1125" t="s">
        <v>1320</v>
      </c>
      <c r="C1125" t="s">
        <v>271</v>
      </c>
      <c r="D1125" t="s">
        <v>101</v>
      </c>
      <c r="E1125" t="s">
        <v>35</v>
      </c>
      <c r="F1125" t="s">
        <v>36</v>
      </c>
      <c r="G1125" t="s">
        <v>51</v>
      </c>
      <c r="H1125" t="s">
        <v>52</v>
      </c>
      <c r="I1125" t="s">
        <v>39</v>
      </c>
      <c r="J1125" s="2">
        <v>1</v>
      </c>
      <c r="K1125" s="3">
        <v>260.95999999999998</v>
      </c>
      <c r="L1125" s="3">
        <v>113.89</v>
      </c>
      <c r="M1125" s="4">
        <v>0</v>
      </c>
      <c r="N1125" s="3">
        <f t="shared" si="85"/>
        <v>260.95999999999998</v>
      </c>
      <c r="O1125" s="3">
        <f t="shared" si="86"/>
        <v>260.95999999999998</v>
      </c>
      <c r="P1125" s="3">
        <f t="shared" si="87"/>
        <v>113.89</v>
      </c>
      <c r="Q1125" s="3">
        <f t="shared" si="88"/>
        <v>147.07</v>
      </c>
      <c r="R1125" s="4">
        <f t="shared" si="89"/>
        <v>0.56359999999999999</v>
      </c>
      <c r="S1125" s="2">
        <v>13</v>
      </c>
      <c r="T1125" t="s">
        <v>30</v>
      </c>
      <c r="U1125">
        <v>5</v>
      </c>
    </row>
    <row r="1126" spans="1:21" x14ac:dyDescent="0.25">
      <c r="A1126" s="1">
        <v>46031</v>
      </c>
      <c r="B1126" t="s">
        <v>1321</v>
      </c>
      <c r="C1126" t="s">
        <v>220</v>
      </c>
      <c r="D1126" t="s">
        <v>139</v>
      </c>
      <c r="E1126" t="s">
        <v>72</v>
      </c>
      <c r="F1126" t="s">
        <v>58</v>
      </c>
      <c r="G1126" t="s">
        <v>27</v>
      </c>
      <c r="H1126" t="s">
        <v>86</v>
      </c>
      <c r="I1126" t="s">
        <v>39</v>
      </c>
      <c r="J1126" s="2">
        <v>3</v>
      </c>
      <c r="K1126" s="3">
        <v>1996.77</v>
      </c>
      <c r="L1126" s="3">
        <v>1243.72</v>
      </c>
      <c r="M1126" s="4">
        <v>3.5000000000000003E-2</v>
      </c>
      <c r="N1126" s="3">
        <f t="shared" si="85"/>
        <v>5990.31</v>
      </c>
      <c r="O1126" s="3">
        <f t="shared" si="86"/>
        <v>5780.65</v>
      </c>
      <c r="P1126" s="3">
        <f t="shared" si="87"/>
        <v>3731.16</v>
      </c>
      <c r="Q1126" s="3">
        <f t="shared" si="88"/>
        <v>2049.4899999999998</v>
      </c>
      <c r="R1126" s="4">
        <f t="shared" si="89"/>
        <v>0.35449999999999998</v>
      </c>
      <c r="S1126" s="2">
        <v>3</v>
      </c>
      <c r="T1126" t="s">
        <v>46</v>
      </c>
      <c r="U1126">
        <v>3</v>
      </c>
    </row>
    <row r="1127" spans="1:21" x14ac:dyDescent="0.25">
      <c r="A1127" s="1">
        <v>46223</v>
      </c>
      <c r="B1127" t="s">
        <v>1322</v>
      </c>
      <c r="C1127" t="s">
        <v>150</v>
      </c>
      <c r="D1127" t="s">
        <v>85</v>
      </c>
      <c r="E1127" t="s">
        <v>50</v>
      </c>
      <c r="F1127" t="s">
        <v>64</v>
      </c>
      <c r="G1127" t="s">
        <v>51</v>
      </c>
      <c r="H1127" t="s">
        <v>59</v>
      </c>
      <c r="I1127" t="s">
        <v>53</v>
      </c>
      <c r="J1127" s="2">
        <v>5</v>
      </c>
      <c r="K1127" s="3">
        <v>2124.59</v>
      </c>
      <c r="L1127" s="3">
        <v>1404.18</v>
      </c>
      <c r="M1127" s="4">
        <v>1.47E-2</v>
      </c>
      <c r="N1127" s="3">
        <f t="shared" si="85"/>
        <v>10622.95</v>
      </c>
      <c r="O1127" s="3">
        <f t="shared" si="86"/>
        <v>10466.790000000001</v>
      </c>
      <c r="P1127" s="3">
        <f t="shared" si="87"/>
        <v>7020.9</v>
      </c>
      <c r="Q1127" s="3">
        <f t="shared" si="88"/>
        <v>3445.89</v>
      </c>
      <c r="R1127" s="4">
        <f t="shared" si="89"/>
        <v>0.32919999999999999</v>
      </c>
      <c r="S1127" s="2">
        <v>6</v>
      </c>
      <c r="T1127" t="s">
        <v>46</v>
      </c>
      <c r="U1127">
        <v>5</v>
      </c>
    </row>
    <row r="1128" spans="1:21" x14ac:dyDescent="0.25">
      <c r="A1128" s="1">
        <v>46130</v>
      </c>
      <c r="B1128" t="s">
        <v>1323</v>
      </c>
      <c r="C1128" t="s">
        <v>103</v>
      </c>
      <c r="D1128" t="s">
        <v>207</v>
      </c>
      <c r="E1128" t="s">
        <v>35</v>
      </c>
      <c r="F1128" t="s">
        <v>26</v>
      </c>
      <c r="G1128" t="s">
        <v>37</v>
      </c>
      <c r="H1128" t="s">
        <v>178</v>
      </c>
      <c r="I1128" t="s">
        <v>39</v>
      </c>
      <c r="J1128" s="2">
        <v>3</v>
      </c>
      <c r="K1128" s="3">
        <v>510.34</v>
      </c>
      <c r="L1128" s="3">
        <v>236.18</v>
      </c>
      <c r="M1128" s="4">
        <v>6.08E-2</v>
      </c>
      <c r="N1128" s="3">
        <f t="shared" si="85"/>
        <v>1531.02</v>
      </c>
      <c r="O1128" s="3">
        <f t="shared" si="86"/>
        <v>1437.93</v>
      </c>
      <c r="P1128" s="3">
        <f t="shared" si="87"/>
        <v>708.54</v>
      </c>
      <c r="Q1128" s="3">
        <f t="shared" si="88"/>
        <v>729.39</v>
      </c>
      <c r="R1128" s="4">
        <f t="shared" si="89"/>
        <v>0.50729999999999997</v>
      </c>
      <c r="S1128" s="2">
        <v>9</v>
      </c>
      <c r="T1128" t="s">
        <v>46</v>
      </c>
      <c r="U1128">
        <v>4</v>
      </c>
    </row>
    <row r="1129" spans="1:21" x14ac:dyDescent="0.25">
      <c r="A1129" s="1">
        <v>46134</v>
      </c>
      <c r="B1129" t="s">
        <v>1324</v>
      </c>
      <c r="C1129" t="s">
        <v>159</v>
      </c>
      <c r="D1129" t="s">
        <v>56</v>
      </c>
      <c r="E1129" t="s">
        <v>57</v>
      </c>
      <c r="F1129" t="s">
        <v>58</v>
      </c>
      <c r="G1129" t="s">
        <v>37</v>
      </c>
      <c r="H1129" t="s">
        <v>178</v>
      </c>
      <c r="I1129" t="s">
        <v>60</v>
      </c>
      <c r="J1129" s="2">
        <v>4</v>
      </c>
      <c r="K1129" s="3">
        <v>507.61</v>
      </c>
      <c r="L1129" s="3">
        <v>249.43</v>
      </c>
      <c r="M1129" s="4">
        <v>5.8299999999999998E-2</v>
      </c>
      <c r="N1129" s="3">
        <f t="shared" si="85"/>
        <v>2030.44</v>
      </c>
      <c r="O1129" s="3">
        <f t="shared" si="86"/>
        <v>1912.07</v>
      </c>
      <c r="P1129" s="3">
        <f t="shared" si="87"/>
        <v>997.72</v>
      </c>
      <c r="Q1129" s="3">
        <f t="shared" si="88"/>
        <v>914.35</v>
      </c>
      <c r="R1129" s="4">
        <f t="shared" si="89"/>
        <v>0.47820000000000001</v>
      </c>
      <c r="S1129" s="2">
        <v>13</v>
      </c>
      <c r="T1129" t="s">
        <v>30</v>
      </c>
      <c r="U1129">
        <v>3</v>
      </c>
    </row>
    <row r="1130" spans="1:21" x14ac:dyDescent="0.25">
      <c r="A1130" s="1">
        <v>46144</v>
      </c>
      <c r="B1130" t="s">
        <v>1325</v>
      </c>
      <c r="C1130" t="s">
        <v>187</v>
      </c>
      <c r="D1130" t="s">
        <v>207</v>
      </c>
      <c r="E1130" t="s">
        <v>35</v>
      </c>
      <c r="F1130" t="s">
        <v>26</v>
      </c>
      <c r="G1130" t="s">
        <v>51</v>
      </c>
      <c r="H1130" t="s">
        <v>52</v>
      </c>
      <c r="I1130" t="s">
        <v>29</v>
      </c>
      <c r="J1130" s="2">
        <v>6</v>
      </c>
      <c r="K1130" s="3">
        <v>245.97</v>
      </c>
      <c r="L1130" s="3">
        <v>123.76</v>
      </c>
      <c r="M1130" s="4">
        <v>5.33E-2</v>
      </c>
      <c r="N1130" s="3">
        <f t="shared" si="85"/>
        <v>1475.82</v>
      </c>
      <c r="O1130" s="3">
        <f t="shared" si="86"/>
        <v>1397.16</v>
      </c>
      <c r="P1130" s="3">
        <f t="shared" si="87"/>
        <v>742.56</v>
      </c>
      <c r="Q1130" s="3">
        <f t="shared" si="88"/>
        <v>654.6</v>
      </c>
      <c r="R1130" s="4">
        <f t="shared" si="89"/>
        <v>0.46850000000000003</v>
      </c>
      <c r="S1130" s="2">
        <v>5</v>
      </c>
      <c r="T1130" t="s">
        <v>46</v>
      </c>
      <c r="U1130">
        <v>5</v>
      </c>
    </row>
    <row r="1131" spans="1:21" x14ac:dyDescent="0.25">
      <c r="A1131" s="1">
        <v>46179</v>
      </c>
      <c r="B1131" t="s">
        <v>1326</v>
      </c>
      <c r="C1131" t="s">
        <v>381</v>
      </c>
      <c r="D1131" t="s">
        <v>43</v>
      </c>
      <c r="E1131" t="s">
        <v>25</v>
      </c>
      <c r="F1131" t="s">
        <v>64</v>
      </c>
      <c r="G1131" t="s">
        <v>27</v>
      </c>
      <c r="H1131" t="s">
        <v>28</v>
      </c>
      <c r="I1131" t="s">
        <v>94</v>
      </c>
      <c r="J1131" s="2">
        <v>7</v>
      </c>
      <c r="K1131" s="3">
        <v>786.8</v>
      </c>
      <c r="L1131" s="3">
        <v>493.19</v>
      </c>
      <c r="M1131" s="4">
        <v>7.8299999999999995E-2</v>
      </c>
      <c r="N1131" s="3">
        <f t="shared" si="85"/>
        <v>5507.6</v>
      </c>
      <c r="O1131" s="3">
        <f t="shared" si="86"/>
        <v>5076.3500000000004</v>
      </c>
      <c r="P1131" s="3">
        <f t="shared" si="87"/>
        <v>3452.33</v>
      </c>
      <c r="Q1131" s="3">
        <f t="shared" si="88"/>
        <v>1624.02</v>
      </c>
      <c r="R1131" s="4">
        <f t="shared" si="89"/>
        <v>0.31990000000000002</v>
      </c>
      <c r="S1131" s="2">
        <v>2</v>
      </c>
      <c r="T1131" t="s">
        <v>46</v>
      </c>
      <c r="U1131">
        <v>3</v>
      </c>
    </row>
    <row r="1132" spans="1:21" x14ac:dyDescent="0.25">
      <c r="A1132" s="1">
        <v>46081</v>
      </c>
      <c r="B1132" t="s">
        <v>1327</v>
      </c>
      <c r="C1132" t="s">
        <v>456</v>
      </c>
      <c r="D1132" t="s">
        <v>71</v>
      </c>
      <c r="E1132" t="s">
        <v>72</v>
      </c>
      <c r="F1132" t="s">
        <v>64</v>
      </c>
      <c r="G1132" t="s">
        <v>51</v>
      </c>
      <c r="H1132" t="s">
        <v>59</v>
      </c>
      <c r="I1132" t="s">
        <v>74</v>
      </c>
      <c r="J1132" s="2">
        <v>7</v>
      </c>
      <c r="K1132" s="3">
        <v>2283.98</v>
      </c>
      <c r="L1132" s="3">
        <v>1448.24</v>
      </c>
      <c r="M1132" s="4">
        <v>2.98E-2</v>
      </c>
      <c r="N1132" s="3">
        <f t="shared" si="85"/>
        <v>15987.86</v>
      </c>
      <c r="O1132" s="3">
        <f t="shared" si="86"/>
        <v>15511.42</v>
      </c>
      <c r="P1132" s="3">
        <f t="shared" si="87"/>
        <v>10137.68</v>
      </c>
      <c r="Q1132" s="3">
        <f t="shared" si="88"/>
        <v>5373.74</v>
      </c>
      <c r="R1132" s="4">
        <f t="shared" si="89"/>
        <v>0.34639999999999999</v>
      </c>
      <c r="S1132" s="2">
        <v>8</v>
      </c>
      <c r="T1132" t="s">
        <v>46</v>
      </c>
      <c r="U1132">
        <v>4</v>
      </c>
    </row>
    <row r="1133" spans="1:21" x14ac:dyDescent="0.25">
      <c r="A1133" s="1">
        <v>46132</v>
      </c>
      <c r="B1133" t="s">
        <v>1328</v>
      </c>
      <c r="C1133" t="s">
        <v>106</v>
      </c>
      <c r="D1133" t="s">
        <v>113</v>
      </c>
      <c r="E1133" t="s">
        <v>50</v>
      </c>
      <c r="F1133" t="s">
        <v>26</v>
      </c>
      <c r="G1133" t="s">
        <v>51</v>
      </c>
      <c r="H1133" t="s">
        <v>116</v>
      </c>
      <c r="I1133" t="s">
        <v>29</v>
      </c>
      <c r="J1133" s="2">
        <v>4</v>
      </c>
      <c r="K1133" s="3">
        <v>2678.31</v>
      </c>
      <c r="L1133" s="3">
        <v>1857.91</v>
      </c>
      <c r="M1133" s="4">
        <v>0</v>
      </c>
      <c r="N1133" s="3">
        <f t="shared" si="85"/>
        <v>10713.24</v>
      </c>
      <c r="O1133" s="3">
        <f t="shared" si="86"/>
        <v>10713.24</v>
      </c>
      <c r="P1133" s="3">
        <f t="shared" si="87"/>
        <v>7431.64</v>
      </c>
      <c r="Q1133" s="3">
        <f t="shared" si="88"/>
        <v>3281.6</v>
      </c>
      <c r="R1133" s="4">
        <f t="shared" si="89"/>
        <v>0.30630000000000002</v>
      </c>
      <c r="S1133" s="2">
        <v>14</v>
      </c>
      <c r="T1133" t="s">
        <v>30</v>
      </c>
      <c r="U1133">
        <v>4</v>
      </c>
    </row>
    <row r="1134" spans="1:21" x14ac:dyDescent="0.25">
      <c r="A1134" s="1">
        <v>46162</v>
      </c>
      <c r="B1134" t="s">
        <v>1329</v>
      </c>
      <c r="C1134" t="s">
        <v>162</v>
      </c>
      <c r="D1134" t="s">
        <v>130</v>
      </c>
      <c r="E1134" t="s">
        <v>72</v>
      </c>
      <c r="F1134" t="s">
        <v>26</v>
      </c>
      <c r="G1134" t="s">
        <v>27</v>
      </c>
      <c r="H1134" t="s">
        <v>28</v>
      </c>
      <c r="I1134" t="s">
        <v>53</v>
      </c>
      <c r="J1134" s="2">
        <v>8</v>
      </c>
      <c r="K1134" s="3">
        <v>790.79</v>
      </c>
      <c r="L1134" s="3">
        <v>459.89</v>
      </c>
      <c r="M1134" s="4">
        <v>3.95E-2</v>
      </c>
      <c r="N1134" s="3">
        <f t="shared" si="85"/>
        <v>6326.32</v>
      </c>
      <c r="O1134" s="3">
        <f t="shared" si="86"/>
        <v>6076.43</v>
      </c>
      <c r="P1134" s="3">
        <f t="shared" si="87"/>
        <v>3679.12</v>
      </c>
      <c r="Q1134" s="3">
        <f t="shared" si="88"/>
        <v>2397.31</v>
      </c>
      <c r="R1134" s="4">
        <f t="shared" si="89"/>
        <v>0.39450000000000002</v>
      </c>
      <c r="S1134" s="2">
        <v>5</v>
      </c>
      <c r="T1134" t="s">
        <v>46</v>
      </c>
      <c r="U1134">
        <v>3</v>
      </c>
    </row>
    <row r="1135" spans="1:21" x14ac:dyDescent="0.25">
      <c r="A1135" s="1">
        <v>46163</v>
      </c>
      <c r="B1135" t="s">
        <v>1330</v>
      </c>
      <c r="C1135" t="s">
        <v>132</v>
      </c>
      <c r="D1135" t="s">
        <v>139</v>
      </c>
      <c r="E1135" t="s">
        <v>72</v>
      </c>
      <c r="F1135" t="s">
        <v>26</v>
      </c>
      <c r="G1135" t="s">
        <v>51</v>
      </c>
      <c r="H1135" t="s">
        <v>59</v>
      </c>
      <c r="I1135" t="s">
        <v>29</v>
      </c>
      <c r="J1135" s="2">
        <v>6</v>
      </c>
      <c r="K1135" s="3">
        <v>2068.5100000000002</v>
      </c>
      <c r="L1135" s="3">
        <v>1444.62</v>
      </c>
      <c r="M1135" s="4">
        <v>9.6500000000000002E-2</v>
      </c>
      <c r="N1135" s="3">
        <f t="shared" si="85"/>
        <v>12411.06</v>
      </c>
      <c r="O1135" s="3">
        <f t="shared" si="86"/>
        <v>11213.39</v>
      </c>
      <c r="P1135" s="3">
        <f t="shared" si="87"/>
        <v>8667.7199999999993</v>
      </c>
      <c r="Q1135" s="3">
        <f t="shared" si="88"/>
        <v>2545.67</v>
      </c>
      <c r="R1135" s="4">
        <f t="shared" si="89"/>
        <v>0.22700000000000001</v>
      </c>
      <c r="S1135" s="2">
        <v>11</v>
      </c>
      <c r="T1135" t="s">
        <v>30</v>
      </c>
      <c r="U1135">
        <v>4</v>
      </c>
    </row>
    <row r="1136" spans="1:21" x14ac:dyDescent="0.25">
      <c r="A1136" s="1">
        <v>46224</v>
      </c>
      <c r="B1136" t="s">
        <v>1331</v>
      </c>
      <c r="C1136" t="s">
        <v>106</v>
      </c>
      <c r="D1136" t="s">
        <v>121</v>
      </c>
      <c r="E1136" t="s">
        <v>72</v>
      </c>
      <c r="F1136" t="s">
        <v>36</v>
      </c>
      <c r="G1136" t="s">
        <v>27</v>
      </c>
      <c r="H1136" t="s">
        <v>86</v>
      </c>
      <c r="I1136" t="s">
        <v>29</v>
      </c>
      <c r="J1136" s="2">
        <v>2</v>
      </c>
      <c r="K1136" s="3">
        <v>1986.61</v>
      </c>
      <c r="L1136" s="3">
        <v>1272.57</v>
      </c>
      <c r="M1136" s="4">
        <v>8.72E-2</v>
      </c>
      <c r="N1136" s="3">
        <f t="shared" si="85"/>
        <v>3973.22</v>
      </c>
      <c r="O1136" s="3">
        <f t="shared" si="86"/>
        <v>3626.76</v>
      </c>
      <c r="P1136" s="3">
        <f t="shared" si="87"/>
        <v>2545.14</v>
      </c>
      <c r="Q1136" s="3">
        <f t="shared" si="88"/>
        <v>1081.6199999999999</v>
      </c>
      <c r="R1136" s="4">
        <f t="shared" si="89"/>
        <v>0.29820000000000002</v>
      </c>
      <c r="S1136" s="2">
        <v>4</v>
      </c>
      <c r="T1136" t="s">
        <v>46</v>
      </c>
      <c r="U1136">
        <v>5</v>
      </c>
    </row>
    <row r="1137" spans="1:21" x14ac:dyDescent="0.25">
      <c r="A1137" s="1">
        <v>46129</v>
      </c>
      <c r="B1137" t="s">
        <v>1332</v>
      </c>
      <c r="C1137" t="s">
        <v>182</v>
      </c>
      <c r="D1137" t="s">
        <v>63</v>
      </c>
      <c r="E1137" t="s">
        <v>35</v>
      </c>
      <c r="F1137" t="s">
        <v>64</v>
      </c>
      <c r="G1137" t="s">
        <v>51</v>
      </c>
      <c r="H1137" t="s">
        <v>52</v>
      </c>
      <c r="I1137" t="s">
        <v>65</v>
      </c>
      <c r="J1137" s="2">
        <v>6</v>
      </c>
      <c r="K1137" s="3">
        <v>266.58</v>
      </c>
      <c r="L1137" s="3">
        <v>122.49</v>
      </c>
      <c r="M1137" s="4">
        <v>0</v>
      </c>
      <c r="N1137" s="3">
        <f t="shared" si="85"/>
        <v>1599.48</v>
      </c>
      <c r="O1137" s="3">
        <f t="shared" si="86"/>
        <v>1599.48</v>
      </c>
      <c r="P1137" s="3">
        <f t="shared" si="87"/>
        <v>734.94</v>
      </c>
      <c r="Q1137" s="3">
        <f t="shared" si="88"/>
        <v>864.54</v>
      </c>
      <c r="R1137" s="4">
        <f t="shared" si="89"/>
        <v>0.54049999999999998</v>
      </c>
      <c r="S1137" s="2">
        <v>13</v>
      </c>
      <c r="T1137" t="s">
        <v>30</v>
      </c>
      <c r="U1137">
        <v>5</v>
      </c>
    </row>
    <row r="1138" spans="1:21" x14ac:dyDescent="0.25">
      <c r="A1138" s="1">
        <v>46023</v>
      </c>
      <c r="B1138" t="s">
        <v>1333</v>
      </c>
      <c r="C1138" t="s">
        <v>33</v>
      </c>
      <c r="D1138" t="s">
        <v>130</v>
      </c>
      <c r="E1138" t="s">
        <v>72</v>
      </c>
      <c r="F1138" t="s">
        <v>36</v>
      </c>
      <c r="G1138" t="s">
        <v>27</v>
      </c>
      <c r="H1138" t="s">
        <v>28</v>
      </c>
      <c r="I1138" t="s">
        <v>87</v>
      </c>
      <c r="J1138" s="2">
        <v>2</v>
      </c>
      <c r="K1138" s="3">
        <v>760.71</v>
      </c>
      <c r="L1138" s="3">
        <v>461.81</v>
      </c>
      <c r="M1138" s="4">
        <v>0.1278</v>
      </c>
      <c r="N1138" s="3">
        <f t="shared" si="85"/>
        <v>1521.42</v>
      </c>
      <c r="O1138" s="3">
        <f t="shared" si="86"/>
        <v>1326.98</v>
      </c>
      <c r="P1138" s="3">
        <f t="shared" si="87"/>
        <v>923.62</v>
      </c>
      <c r="Q1138" s="3">
        <f t="shared" si="88"/>
        <v>403.36</v>
      </c>
      <c r="R1138" s="4">
        <f t="shared" si="89"/>
        <v>0.30399999999999999</v>
      </c>
      <c r="S1138" s="2">
        <v>10</v>
      </c>
      <c r="T1138" t="s">
        <v>46</v>
      </c>
      <c r="U1138">
        <v>4</v>
      </c>
    </row>
    <row r="1139" spans="1:21" x14ac:dyDescent="0.25">
      <c r="A1139" s="1">
        <v>46057</v>
      </c>
      <c r="B1139" t="s">
        <v>1334</v>
      </c>
      <c r="C1139" t="s">
        <v>79</v>
      </c>
      <c r="D1139" t="s">
        <v>97</v>
      </c>
      <c r="E1139" t="s">
        <v>57</v>
      </c>
      <c r="F1139" t="s">
        <v>26</v>
      </c>
      <c r="G1139" t="s">
        <v>51</v>
      </c>
      <c r="H1139" t="s">
        <v>59</v>
      </c>
      <c r="I1139" t="s">
        <v>60</v>
      </c>
      <c r="J1139" s="2">
        <v>2</v>
      </c>
      <c r="K1139" s="3">
        <v>2297.08</v>
      </c>
      <c r="L1139" s="3">
        <v>1422.34</v>
      </c>
      <c r="M1139" s="4">
        <v>0</v>
      </c>
      <c r="N1139" s="3">
        <f t="shared" si="85"/>
        <v>4594.16</v>
      </c>
      <c r="O1139" s="3">
        <f t="shared" si="86"/>
        <v>4594.16</v>
      </c>
      <c r="P1139" s="3">
        <f t="shared" si="87"/>
        <v>2844.68</v>
      </c>
      <c r="Q1139" s="3">
        <f t="shared" si="88"/>
        <v>1749.48</v>
      </c>
      <c r="R1139" s="4">
        <f t="shared" si="89"/>
        <v>0.38080000000000003</v>
      </c>
      <c r="S1139" s="2">
        <v>14</v>
      </c>
      <c r="T1139" t="s">
        <v>30</v>
      </c>
      <c r="U1139">
        <v>3</v>
      </c>
    </row>
    <row r="1140" spans="1:21" x14ac:dyDescent="0.25">
      <c r="A1140" s="1">
        <v>46146</v>
      </c>
      <c r="B1140" t="s">
        <v>1335</v>
      </c>
      <c r="C1140" t="s">
        <v>153</v>
      </c>
      <c r="D1140" t="s">
        <v>139</v>
      </c>
      <c r="E1140" t="s">
        <v>72</v>
      </c>
      <c r="F1140" t="s">
        <v>64</v>
      </c>
      <c r="G1140" t="s">
        <v>27</v>
      </c>
      <c r="H1140" t="s">
        <v>28</v>
      </c>
      <c r="I1140" t="s">
        <v>77</v>
      </c>
      <c r="J1140" s="2">
        <v>7</v>
      </c>
      <c r="K1140" s="3">
        <v>796.6</v>
      </c>
      <c r="L1140" s="3">
        <v>489.24</v>
      </c>
      <c r="M1140" s="4">
        <v>0</v>
      </c>
      <c r="N1140" s="3">
        <f t="shared" si="85"/>
        <v>5576.2</v>
      </c>
      <c r="O1140" s="3">
        <f t="shared" si="86"/>
        <v>5576.2</v>
      </c>
      <c r="P1140" s="3">
        <f t="shared" si="87"/>
        <v>3424.68</v>
      </c>
      <c r="Q1140" s="3">
        <f t="shared" si="88"/>
        <v>2151.52</v>
      </c>
      <c r="R1140" s="4">
        <f t="shared" si="89"/>
        <v>0.38579999999999998</v>
      </c>
      <c r="S1140" s="2">
        <v>12</v>
      </c>
      <c r="T1140" t="s">
        <v>30</v>
      </c>
      <c r="U1140">
        <v>2</v>
      </c>
    </row>
    <row r="1141" spans="1:21" x14ac:dyDescent="0.25">
      <c r="A1141" s="1">
        <v>46050</v>
      </c>
      <c r="B1141" t="s">
        <v>1336</v>
      </c>
      <c r="C1141" t="s">
        <v>166</v>
      </c>
      <c r="D1141" t="s">
        <v>126</v>
      </c>
      <c r="E1141" t="s">
        <v>57</v>
      </c>
      <c r="F1141" t="s">
        <v>64</v>
      </c>
      <c r="G1141" t="s">
        <v>51</v>
      </c>
      <c r="H1141" t="s">
        <v>52</v>
      </c>
      <c r="I1141" t="s">
        <v>77</v>
      </c>
      <c r="J1141" s="2">
        <v>1</v>
      </c>
      <c r="K1141" s="3">
        <v>256.02999999999997</v>
      </c>
      <c r="L1141" s="3">
        <v>122.99</v>
      </c>
      <c r="M1141" s="4">
        <v>0.104</v>
      </c>
      <c r="N1141" s="3">
        <f t="shared" si="85"/>
        <v>256.02999999999997</v>
      </c>
      <c r="O1141" s="3">
        <f t="shared" si="86"/>
        <v>229.4</v>
      </c>
      <c r="P1141" s="3">
        <f t="shared" si="87"/>
        <v>122.99</v>
      </c>
      <c r="Q1141" s="3">
        <f t="shared" si="88"/>
        <v>106.41</v>
      </c>
      <c r="R1141" s="4">
        <f t="shared" si="89"/>
        <v>0.46389999999999998</v>
      </c>
      <c r="S1141" s="2">
        <v>14</v>
      </c>
      <c r="T1141" t="s">
        <v>30</v>
      </c>
      <c r="U1141">
        <v>5</v>
      </c>
    </row>
    <row r="1142" spans="1:21" x14ac:dyDescent="0.25">
      <c r="A1142" s="1">
        <v>46035</v>
      </c>
      <c r="B1142" t="s">
        <v>1337</v>
      </c>
      <c r="C1142" t="s">
        <v>211</v>
      </c>
      <c r="D1142" t="s">
        <v>126</v>
      </c>
      <c r="E1142" t="s">
        <v>57</v>
      </c>
      <c r="F1142" t="s">
        <v>26</v>
      </c>
      <c r="G1142" t="s">
        <v>51</v>
      </c>
      <c r="H1142" t="s">
        <v>59</v>
      </c>
      <c r="I1142" t="s">
        <v>65</v>
      </c>
      <c r="J1142" s="2">
        <v>5</v>
      </c>
      <c r="K1142" s="3">
        <v>2317.2399999999998</v>
      </c>
      <c r="L1142" s="3">
        <v>1365.73</v>
      </c>
      <c r="M1142" s="4">
        <v>0</v>
      </c>
      <c r="N1142" s="3">
        <f t="shared" si="85"/>
        <v>11586.2</v>
      </c>
      <c r="O1142" s="3">
        <f t="shared" si="86"/>
        <v>11586.2</v>
      </c>
      <c r="P1142" s="3">
        <f t="shared" si="87"/>
        <v>6828.65</v>
      </c>
      <c r="Q1142" s="3">
        <f t="shared" si="88"/>
        <v>4757.55</v>
      </c>
      <c r="R1142" s="4">
        <f t="shared" si="89"/>
        <v>0.41060000000000002</v>
      </c>
      <c r="S1142" s="2">
        <v>12</v>
      </c>
      <c r="T1142" t="s">
        <v>30</v>
      </c>
      <c r="U1142">
        <v>2</v>
      </c>
    </row>
    <row r="1143" spans="1:21" x14ac:dyDescent="0.25">
      <c r="A1143" s="1">
        <v>46046</v>
      </c>
      <c r="B1143" t="s">
        <v>1338</v>
      </c>
      <c r="C1143" t="s">
        <v>271</v>
      </c>
      <c r="D1143" t="s">
        <v>49</v>
      </c>
      <c r="E1143" t="s">
        <v>50</v>
      </c>
      <c r="F1143" t="s">
        <v>58</v>
      </c>
      <c r="G1143" t="s">
        <v>51</v>
      </c>
      <c r="H1143" t="s">
        <v>116</v>
      </c>
      <c r="I1143" t="s">
        <v>77</v>
      </c>
      <c r="J1143" s="2">
        <v>8</v>
      </c>
      <c r="K1143" s="3">
        <v>2893.47</v>
      </c>
      <c r="L1143" s="3">
        <v>1795.11</v>
      </c>
      <c r="M1143" s="4">
        <v>3.8699999999999998E-2</v>
      </c>
      <c r="N1143" s="3">
        <f t="shared" si="85"/>
        <v>23147.759999999998</v>
      </c>
      <c r="O1143" s="3">
        <f t="shared" si="86"/>
        <v>22251.94</v>
      </c>
      <c r="P1143" s="3">
        <f t="shared" si="87"/>
        <v>14360.88</v>
      </c>
      <c r="Q1143" s="3">
        <f t="shared" si="88"/>
        <v>7891.06</v>
      </c>
      <c r="R1143" s="4">
        <f t="shared" si="89"/>
        <v>0.35460000000000003</v>
      </c>
      <c r="S1143" s="2">
        <v>9</v>
      </c>
      <c r="T1143" t="s">
        <v>46</v>
      </c>
      <c r="U1143">
        <v>5</v>
      </c>
    </row>
    <row r="1144" spans="1:21" x14ac:dyDescent="0.25">
      <c r="A1144" s="1">
        <v>46025</v>
      </c>
      <c r="B1144" t="s">
        <v>1339</v>
      </c>
      <c r="C1144" t="s">
        <v>33</v>
      </c>
      <c r="D1144" t="s">
        <v>121</v>
      </c>
      <c r="E1144" t="s">
        <v>72</v>
      </c>
      <c r="F1144" t="s">
        <v>26</v>
      </c>
      <c r="G1144" t="s">
        <v>27</v>
      </c>
      <c r="H1144" t="s">
        <v>86</v>
      </c>
      <c r="I1144" t="s">
        <v>39</v>
      </c>
      <c r="J1144" s="2">
        <v>1</v>
      </c>
      <c r="K1144" s="3">
        <v>1951.64</v>
      </c>
      <c r="L1144" s="3">
        <v>1194.07</v>
      </c>
      <c r="M1144" s="4">
        <v>1.7000000000000001E-2</v>
      </c>
      <c r="N1144" s="3">
        <f t="shared" si="85"/>
        <v>1951.64</v>
      </c>
      <c r="O1144" s="3">
        <f t="shared" si="86"/>
        <v>1918.46</v>
      </c>
      <c r="P1144" s="3">
        <f t="shared" si="87"/>
        <v>1194.07</v>
      </c>
      <c r="Q1144" s="3">
        <f t="shared" si="88"/>
        <v>724.39</v>
      </c>
      <c r="R1144" s="4">
        <f t="shared" si="89"/>
        <v>0.37759999999999999</v>
      </c>
      <c r="S1144" s="2">
        <v>9</v>
      </c>
      <c r="T1144" t="s">
        <v>46</v>
      </c>
      <c r="U1144">
        <v>5</v>
      </c>
    </row>
    <row r="1145" spans="1:21" x14ac:dyDescent="0.25">
      <c r="A1145" s="1">
        <v>46192</v>
      </c>
      <c r="B1145" t="s">
        <v>1340</v>
      </c>
      <c r="C1145" t="s">
        <v>162</v>
      </c>
      <c r="D1145" t="s">
        <v>63</v>
      </c>
      <c r="E1145" t="s">
        <v>35</v>
      </c>
      <c r="F1145" t="s">
        <v>36</v>
      </c>
      <c r="G1145" t="s">
        <v>51</v>
      </c>
      <c r="H1145" t="s">
        <v>116</v>
      </c>
      <c r="I1145" t="s">
        <v>29</v>
      </c>
      <c r="J1145" s="2">
        <v>5</v>
      </c>
      <c r="K1145" s="3">
        <v>2859.52</v>
      </c>
      <c r="L1145" s="3">
        <v>1883.43</v>
      </c>
      <c r="M1145" s="4">
        <v>0</v>
      </c>
      <c r="N1145" s="3">
        <f t="shared" si="85"/>
        <v>14297.6</v>
      </c>
      <c r="O1145" s="3">
        <f t="shared" si="86"/>
        <v>14297.6</v>
      </c>
      <c r="P1145" s="3">
        <f t="shared" si="87"/>
        <v>9417.15</v>
      </c>
      <c r="Q1145" s="3">
        <f t="shared" si="88"/>
        <v>4880.45</v>
      </c>
      <c r="R1145" s="4">
        <f t="shared" si="89"/>
        <v>0.34129999999999999</v>
      </c>
      <c r="S1145" s="2">
        <v>12</v>
      </c>
      <c r="T1145" t="s">
        <v>30</v>
      </c>
      <c r="U1145">
        <v>2</v>
      </c>
    </row>
    <row r="1146" spans="1:21" x14ac:dyDescent="0.25">
      <c r="A1146" s="1">
        <v>46206</v>
      </c>
      <c r="B1146" t="s">
        <v>1341</v>
      </c>
      <c r="C1146" t="s">
        <v>195</v>
      </c>
      <c r="D1146" t="s">
        <v>56</v>
      </c>
      <c r="E1146" t="s">
        <v>57</v>
      </c>
      <c r="F1146" t="s">
        <v>64</v>
      </c>
      <c r="G1146" t="s">
        <v>44</v>
      </c>
      <c r="H1146" t="s">
        <v>45</v>
      </c>
      <c r="I1146" t="s">
        <v>29</v>
      </c>
      <c r="J1146" s="2">
        <v>3</v>
      </c>
      <c r="K1146" s="3">
        <v>389</v>
      </c>
      <c r="L1146" s="3">
        <v>214.59</v>
      </c>
      <c r="M1146" s="4">
        <v>4.02E-2</v>
      </c>
      <c r="N1146" s="3">
        <f t="shared" si="85"/>
        <v>1167</v>
      </c>
      <c r="O1146" s="3">
        <f t="shared" si="86"/>
        <v>1120.0899999999999</v>
      </c>
      <c r="P1146" s="3">
        <f t="shared" si="87"/>
        <v>643.77</v>
      </c>
      <c r="Q1146" s="3">
        <f t="shared" si="88"/>
        <v>476.32</v>
      </c>
      <c r="R1146" s="4">
        <f t="shared" si="89"/>
        <v>0.42530000000000001</v>
      </c>
      <c r="S1146" s="2">
        <v>13</v>
      </c>
      <c r="T1146" t="s">
        <v>30</v>
      </c>
      <c r="U1146">
        <v>5</v>
      </c>
    </row>
    <row r="1147" spans="1:21" x14ac:dyDescent="0.25">
      <c r="A1147" s="1">
        <v>46224</v>
      </c>
      <c r="B1147" t="s">
        <v>1342</v>
      </c>
      <c r="C1147" t="s">
        <v>190</v>
      </c>
      <c r="D1147" t="s">
        <v>121</v>
      </c>
      <c r="E1147" t="s">
        <v>72</v>
      </c>
      <c r="F1147" t="s">
        <v>36</v>
      </c>
      <c r="G1147" t="s">
        <v>44</v>
      </c>
      <c r="H1147" t="s">
        <v>124</v>
      </c>
      <c r="I1147" t="s">
        <v>74</v>
      </c>
      <c r="J1147" s="2">
        <v>4</v>
      </c>
      <c r="K1147" s="3">
        <v>5975.6</v>
      </c>
      <c r="L1147" s="3">
        <v>4481.58</v>
      </c>
      <c r="M1147" s="4">
        <v>2.0400000000000001E-2</v>
      </c>
      <c r="N1147" s="3">
        <f t="shared" si="85"/>
        <v>23902.400000000001</v>
      </c>
      <c r="O1147" s="3">
        <f t="shared" si="86"/>
        <v>23414.79</v>
      </c>
      <c r="P1147" s="3">
        <f t="shared" si="87"/>
        <v>17926.32</v>
      </c>
      <c r="Q1147" s="3">
        <f t="shared" si="88"/>
        <v>5488.47</v>
      </c>
      <c r="R1147" s="4">
        <f t="shared" si="89"/>
        <v>0.2344</v>
      </c>
      <c r="S1147" s="2">
        <v>5</v>
      </c>
      <c r="T1147" t="s">
        <v>46</v>
      </c>
      <c r="U1147">
        <v>3</v>
      </c>
    </row>
    <row r="1148" spans="1:21" x14ac:dyDescent="0.25">
      <c r="A1148" s="1">
        <v>46066</v>
      </c>
      <c r="B1148" t="s">
        <v>1343</v>
      </c>
      <c r="C1148" t="s">
        <v>157</v>
      </c>
      <c r="D1148" t="s">
        <v>97</v>
      </c>
      <c r="E1148" t="s">
        <v>57</v>
      </c>
      <c r="F1148" t="s">
        <v>36</v>
      </c>
      <c r="G1148" t="s">
        <v>27</v>
      </c>
      <c r="H1148" t="s">
        <v>68</v>
      </c>
      <c r="I1148" t="s">
        <v>29</v>
      </c>
      <c r="J1148" s="2">
        <v>3</v>
      </c>
      <c r="K1148" s="3">
        <v>1359.83</v>
      </c>
      <c r="L1148" s="3">
        <v>777.69</v>
      </c>
      <c r="M1148" s="4">
        <v>2.2100000000000002E-2</v>
      </c>
      <c r="N1148" s="3">
        <f t="shared" si="85"/>
        <v>4079.49</v>
      </c>
      <c r="O1148" s="3">
        <f t="shared" si="86"/>
        <v>3989.33</v>
      </c>
      <c r="P1148" s="3">
        <f t="shared" si="87"/>
        <v>2333.0700000000002</v>
      </c>
      <c r="Q1148" s="3">
        <f t="shared" si="88"/>
        <v>1656.26</v>
      </c>
      <c r="R1148" s="4">
        <f t="shared" si="89"/>
        <v>0.41520000000000001</v>
      </c>
      <c r="S1148" s="2">
        <v>14</v>
      </c>
      <c r="T1148" t="s">
        <v>30</v>
      </c>
      <c r="U1148">
        <v>5</v>
      </c>
    </row>
    <row r="1149" spans="1:21" x14ac:dyDescent="0.25">
      <c r="A1149" s="1">
        <v>46108</v>
      </c>
      <c r="B1149" t="s">
        <v>1344</v>
      </c>
      <c r="C1149" t="s">
        <v>251</v>
      </c>
      <c r="D1149" t="s">
        <v>34</v>
      </c>
      <c r="E1149" t="s">
        <v>35</v>
      </c>
      <c r="F1149" t="s">
        <v>58</v>
      </c>
      <c r="G1149" t="s">
        <v>27</v>
      </c>
      <c r="H1149" t="s">
        <v>68</v>
      </c>
      <c r="I1149" t="s">
        <v>87</v>
      </c>
      <c r="J1149" s="2">
        <v>4</v>
      </c>
      <c r="K1149" s="3">
        <v>1265.44</v>
      </c>
      <c r="L1149" s="3">
        <v>807.19</v>
      </c>
      <c r="M1149" s="4">
        <v>9.2899999999999996E-2</v>
      </c>
      <c r="N1149" s="3">
        <f t="shared" si="85"/>
        <v>5061.76</v>
      </c>
      <c r="O1149" s="3">
        <f t="shared" si="86"/>
        <v>4591.5200000000004</v>
      </c>
      <c r="P1149" s="3">
        <f t="shared" si="87"/>
        <v>3228.76</v>
      </c>
      <c r="Q1149" s="3">
        <f t="shared" si="88"/>
        <v>1362.76</v>
      </c>
      <c r="R1149" s="4">
        <f t="shared" si="89"/>
        <v>0.29680000000000001</v>
      </c>
      <c r="S1149" s="2">
        <v>7</v>
      </c>
      <c r="T1149" t="s">
        <v>46</v>
      </c>
      <c r="U1149">
        <v>5</v>
      </c>
    </row>
    <row r="1150" spans="1:21" x14ac:dyDescent="0.25">
      <c r="A1150" s="1">
        <v>46175</v>
      </c>
      <c r="B1150" t="s">
        <v>1345</v>
      </c>
      <c r="C1150" t="s">
        <v>195</v>
      </c>
      <c r="D1150" t="s">
        <v>130</v>
      </c>
      <c r="E1150" t="s">
        <v>72</v>
      </c>
      <c r="F1150" t="s">
        <v>26</v>
      </c>
      <c r="G1150" t="s">
        <v>44</v>
      </c>
      <c r="H1150" t="s">
        <v>73</v>
      </c>
      <c r="I1150" t="s">
        <v>87</v>
      </c>
      <c r="J1150" s="2">
        <v>6</v>
      </c>
      <c r="K1150" s="3">
        <v>1751.8</v>
      </c>
      <c r="L1150" s="3">
        <v>1136</v>
      </c>
      <c r="M1150" s="4">
        <v>0</v>
      </c>
      <c r="N1150" s="3">
        <f t="shared" si="85"/>
        <v>10510.8</v>
      </c>
      <c r="O1150" s="3">
        <f t="shared" si="86"/>
        <v>10510.8</v>
      </c>
      <c r="P1150" s="3">
        <f t="shared" si="87"/>
        <v>6816</v>
      </c>
      <c r="Q1150" s="3">
        <f t="shared" si="88"/>
        <v>3694.8</v>
      </c>
      <c r="R1150" s="4">
        <f t="shared" si="89"/>
        <v>0.35149999999999998</v>
      </c>
      <c r="S1150" s="2">
        <v>13</v>
      </c>
      <c r="T1150" t="s">
        <v>30</v>
      </c>
      <c r="U1150">
        <v>5</v>
      </c>
    </row>
    <row r="1151" spans="1:21" x14ac:dyDescent="0.25">
      <c r="A1151" s="1">
        <v>46169</v>
      </c>
      <c r="B1151" t="s">
        <v>1346</v>
      </c>
      <c r="C1151" t="s">
        <v>198</v>
      </c>
      <c r="D1151" t="s">
        <v>85</v>
      </c>
      <c r="E1151" t="s">
        <v>50</v>
      </c>
      <c r="F1151" t="s">
        <v>64</v>
      </c>
      <c r="G1151" t="s">
        <v>27</v>
      </c>
      <c r="H1151" t="s">
        <v>68</v>
      </c>
      <c r="I1151" t="s">
        <v>77</v>
      </c>
      <c r="J1151" s="2">
        <v>7</v>
      </c>
      <c r="K1151" s="3">
        <v>1254.22</v>
      </c>
      <c r="L1151" s="3">
        <v>746.81</v>
      </c>
      <c r="M1151" s="4">
        <v>0</v>
      </c>
      <c r="N1151" s="3">
        <f t="shared" si="85"/>
        <v>8779.5400000000009</v>
      </c>
      <c r="O1151" s="3">
        <f t="shared" si="86"/>
        <v>8779.5400000000009</v>
      </c>
      <c r="P1151" s="3">
        <f t="shared" si="87"/>
        <v>5227.67</v>
      </c>
      <c r="Q1151" s="3">
        <f t="shared" si="88"/>
        <v>3551.87</v>
      </c>
      <c r="R1151" s="4">
        <f t="shared" si="89"/>
        <v>0.40460000000000002</v>
      </c>
      <c r="S1151" s="2">
        <v>12</v>
      </c>
      <c r="T1151" t="s">
        <v>30</v>
      </c>
      <c r="U1151">
        <v>5</v>
      </c>
    </row>
    <row r="1152" spans="1:21" x14ac:dyDescent="0.25">
      <c r="A1152" s="1">
        <v>46178</v>
      </c>
      <c r="B1152" t="s">
        <v>1347</v>
      </c>
      <c r="C1152" t="s">
        <v>115</v>
      </c>
      <c r="D1152" t="s">
        <v>49</v>
      </c>
      <c r="E1152" t="s">
        <v>50</v>
      </c>
      <c r="F1152" t="s">
        <v>36</v>
      </c>
      <c r="G1152" t="s">
        <v>27</v>
      </c>
      <c r="H1152" t="s">
        <v>86</v>
      </c>
      <c r="I1152" t="s">
        <v>60</v>
      </c>
      <c r="J1152" s="2">
        <v>7</v>
      </c>
      <c r="K1152" s="3">
        <v>1842.85</v>
      </c>
      <c r="L1152" s="3">
        <v>1159.3900000000001</v>
      </c>
      <c r="M1152" s="4">
        <v>6.7599999999999993E-2</v>
      </c>
      <c r="N1152" s="3">
        <f t="shared" si="85"/>
        <v>12899.95</v>
      </c>
      <c r="O1152" s="3">
        <f t="shared" si="86"/>
        <v>12027.91</v>
      </c>
      <c r="P1152" s="3">
        <f t="shared" si="87"/>
        <v>8115.73</v>
      </c>
      <c r="Q1152" s="3">
        <f t="shared" si="88"/>
        <v>3912.18</v>
      </c>
      <c r="R1152" s="4">
        <f t="shared" si="89"/>
        <v>0.32529999999999998</v>
      </c>
      <c r="S1152" s="2">
        <v>4</v>
      </c>
      <c r="T1152" t="s">
        <v>46</v>
      </c>
      <c r="U1152">
        <v>3</v>
      </c>
    </row>
    <row r="1153" spans="1:21" x14ac:dyDescent="0.25">
      <c r="A1153" s="1">
        <v>46062</v>
      </c>
      <c r="B1153" t="s">
        <v>1348</v>
      </c>
      <c r="C1153" t="s">
        <v>108</v>
      </c>
      <c r="D1153" t="s">
        <v>85</v>
      </c>
      <c r="E1153" t="s">
        <v>50</v>
      </c>
      <c r="F1153" t="s">
        <v>26</v>
      </c>
      <c r="G1153" t="s">
        <v>27</v>
      </c>
      <c r="H1153" t="s">
        <v>86</v>
      </c>
      <c r="I1153" t="s">
        <v>94</v>
      </c>
      <c r="J1153" s="2">
        <v>4</v>
      </c>
      <c r="K1153" s="3">
        <v>1781.68</v>
      </c>
      <c r="L1153" s="3">
        <v>1205.44</v>
      </c>
      <c r="M1153" s="4">
        <v>0</v>
      </c>
      <c r="N1153" s="3">
        <f t="shared" si="85"/>
        <v>7126.72</v>
      </c>
      <c r="O1153" s="3">
        <f t="shared" si="86"/>
        <v>7126.72</v>
      </c>
      <c r="P1153" s="3">
        <f t="shared" si="87"/>
        <v>4821.76</v>
      </c>
      <c r="Q1153" s="3">
        <f t="shared" si="88"/>
        <v>2304.96</v>
      </c>
      <c r="R1153" s="4">
        <f t="shared" si="89"/>
        <v>0.32340000000000002</v>
      </c>
      <c r="S1153" s="2">
        <v>3</v>
      </c>
      <c r="T1153" t="s">
        <v>46</v>
      </c>
      <c r="U1153">
        <v>5</v>
      </c>
    </row>
    <row r="1154" spans="1:21" x14ac:dyDescent="0.25">
      <c r="A1154" s="1">
        <v>46047</v>
      </c>
      <c r="B1154" t="s">
        <v>1349</v>
      </c>
      <c r="C1154" t="s">
        <v>284</v>
      </c>
      <c r="D1154" t="s">
        <v>63</v>
      </c>
      <c r="E1154" t="s">
        <v>35</v>
      </c>
      <c r="F1154" t="s">
        <v>26</v>
      </c>
      <c r="G1154" t="s">
        <v>37</v>
      </c>
      <c r="H1154" t="s">
        <v>178</v>
      </c>
      <c r="I1154" t="s">
        <v>53</v>
      </c>
      <c r="J1154" s="2">
        <v>2</v>
      </c>
      <c r="K1154" s="3">
        <v>524.78</v>
      </c>
      <c r="L1154" s="3">
        <v>250.67</v>
      </c>
      <c r="M1154" s="4">
        <v>0.1041</v>
      </c>
      <c r="N1154" s="3">
        <f t="shared" ref="N1154:N1217" si="90">ROUND(J1154*K1154,2)</f>
        <v>1049.56</v>
      </c>
      <c r="O1154" s="3">
        <f t="shared" ref="O1154:O1217" si="91">ROUND(N1154*(1-M1154),2)</f>
        <v>940.3</v>
      </c>
      <c r="P1154" s="3">
        <f t="shared" ref="P1154:P1217" si="92">ROUND(J1154*L1154,2)</f>
        <v>501.34</v>
      </c>
      <c r="Q1154" s="3">
        <f t="shared" ref="Q1154:Q1217" si="93">ROUND(O1154-P1154,2)</f>
        <v>438.96</v>
      </c>
      <c r="R1154" s="4">
        <f t="shared" ref="R1154:R1217" si="94">IF(O1154=0,0,ROUND(Q1154/O1154,4))</f>
        <v>0.46679999999999999</v>
      </c>
      <c r="S1154" s="2">
        <v>10</v>
      </c>
      <c r="T1154" t="s">
        <v>46</v>
      </c>
      <c r="U1154">
        <v>2</v>
      </c>
    </row>
    <row r="1155" spans="1:21" x14ac:dyDescent="0.25">
      <c r="A1155" s="1">
        <v>46139</v>
      </c>
      <c r="B1155" t="s">
        <v>1350</v>
      </c>
      <c r="C1155" t="s">
        <v>233</v>
      </c>
      <c r="D1155" t="s">
        <v>207</v>
      </c>
      <c r="E1155" t="s">
        <v>35</v>
      </c>
      <c r="F1155" t="s">
        <v>64</v>
      </c>
      <c r="G1155" t="s">
        <v>27</v>
      </c>
      <c r="H1155" t="s">
        <v>28</v>
      </c>
      <c r="I1155" t="s">
        <v>65</v>
      </c>
      <c r="J1155" s="2">
        <v>2</v>
      </c>
      <c r="K1155" s="3">
        <v>759.95</v>
      </c>
      <c r="L1155" s="3">
        <v>456.47</v>
      </c>
      <c r="M1155" s="4">
        <v>8.5000000000000006E-3</v>
      </c>
      <c r="N1155" s="3">
        <f t="shared" si="90"/>
        <v>1519.9</v>
      </c>
      <c r="O1155" s="3">
        <f t="shared" si="91"/>
        <v>1506.98</v>
      </c>
      <c r="P1155" s="3">
        <f t="shared" si="92"/>
        <v>912.94</v>
      </c>
      <c r="Q1155" s="3">
        <f t="shared" si="93"/>
        <v>594.04</v>
      </c>
      <c r="R1155" s="4">
        <f t="shared" si="94"/>
        <v>0.39419999999999999</v>
      </c>
      <c r="S1155" s="2">
        <v>11</v>
      </c>
      <c r="T1155" t="s">
        <v>30</v>
      </c>
      <c r="U1155">
        <v>5</v>
      </c>
    </row>
    <row r="1156" spans="1:21" x14ac:dyDescent="0.25">
      <c r="A1156" s="1">
        <v>46196</v>
      </c>
      <c r="B1156" t="s">
        <v>1351</v>
      </c>
      <c r="C1156" t="s">
        <v>184</v>
      </c>
      <c r="D1156" t="s">
        <v>139</v>
      </c>
      <c r="E1156" t="s">
        <v>72</v>
      </c>
      <c r="F1156" t="s">
        <v>58</v>
      </c>
      <c r="G1156" t="s">
        <v>37</v>
      </c>
      <c r="H1156" t="s">
        <v>178</v>
      </c>
      <c r="I1156" t="s">
        <v>92</v>
      </c>
      <c r="J1156" s="2">
        <v>8</v>
      </c>
      <c r="K1156" s="3">
        <v>513.27</v>
      </c>
      <c r="L1156" s="3">
        <v>247.78</v>
      </c>
      <c r="M1156" s="4">
        <v>3.5000000000000003E-2</v>
      </c>
      <c r="N1156" s="3">
        <f t="shared" si="90"/>
        <v>4106.16</v>
      </c>
      <c r="O1156" s="3">
        <f t="shared" si="91"/>
        <v>3962.44</v>
      </c>
      <c r="P1156" s="3">
        <f t="shared" si="92"/>
        <v>1982.24</v>
      </c>
      <c r="Q1156" s="3">
        <f t="shared" si="93"/>
        <v>1980.2</v>
      </c>
      <c r="R1156" s="4">
        <f t="shared" si="94"/>
        <v>0.49969999999999998</v>
      </c>
      <c r="S1156" s="2">
        <v>5</v>
      </c>
      <c r="T1156" t="s">
        <v>46</v>
      </c>
      <c r="U1156">
        <v>2</v>
      </c>
    </row>
    <row r="1157" spans="1:21" x14ac:dyDescent="0.25">
      <c r="A1157" s="1">
        <v>46099</v>
      </c>
      <c r="B1157" t="s">
        <v>1352</v>
      </c>
      <c r="C1157" t="s">
        <v>184</v>
      </c>
      <c r="D1157" t="s">
        <v>126</v>
      </c>
      <c r="E1157" t="s">
        <v>57</v>
      </c>
      <c r="F1157" t="s">
        <v>26</v>
      </c>
      <c r="G1157" t="s">
        <v>44</v>
      </c>
      <c r="H1157" t="s">
        <v>73</v>
      </c>
      <c r="I1157" t="s">
        <v>60</v>
      </c>
      <c r="J1157" s="2">
        <v>4</v>
      </c>
      <c r="K1157" s="3">
        <v>1685.29</v>
      </c>
      <c r="L1157" s="3">
        <v>1125.78</v>
      </c>
      <c r="M1157" s="4">
        <v>2.1299999999999999E-2</v>
      </c>
      <c r="N1157" s="3">
        <f t="shared" si="90"/>
        <v>6741.16</v>
      </c>
      <c r="O1157" s="3">
        <f t="shared" si="91"/>
        <v>6597.57</v>
      </c>
      <c r="P1157" s="3">
        <f t="shared" si="92"/>
        <v>4503.12</v>
      </c>
      <c r="Q1157" s="3">
        <f t="shared" si="93"/>
        <v>2094.4499999999998</v>
      </c>
      <c r="R1157" s="4">
        <f t="shared" si="94"/>
        <v>0.3175</v>
      </c>
      <c r="S1157" s="2">
        <v>13</v>
      </c>
      <c r="T1157" t="s">
        <v>30</v>
      </c>
      <c r="U1157">
        <v>2</v>
      </c>
    </row>
    <row r="1158" spans="1:21" x14ac:dyDescent="0.25">
      <c r="A1158" s="1">
        <v>46182</v>
      </c>
      <c r="B1158" t="s">
        <v>1353</v>
      </c>
      <c r="C1158" t="s">
        <v>23</v>
      </c>
      <c r="D1158" t="s">
        <v>24</v>
      </c>
      <c r="E1158" t="s">
        <v>25</v>
      </c>
      <c r="F1158" t="s">
        <v>58</v>
      </c>
      <c r="G1158" t="s">
        <v>44</v>
      </c>
      <c r="H1158" t="s">
        <v>45</v>
      </c>
      <c r="I1158" t="s">
        <v>87</v>
      </c>
      <c r="J1158" s="2">
        <v>3</v>
      </c>
      <c r="K1158" s="3">
        <v>411.28</v>
      </c>
      <c r="L1158" s="3">
        <v>222.79</v>
      </c>
      <c r="M1158" s="4">
        <v>8.2000000000000003E-2</v>
      </c>
      <c r="N1158" s="3">
        <f t="shared" si="90"/>
        <v>1233.8399999999999</v>
      </c>
      <c r="O1158" s="3">
        <f t="shared" si="91"/>
        <v>1132.67</v>
      </c>
      <c r="P1158" s="3">
        <f t="shared" si="92"/>
        <v>668.37</v>
      </c>
      <c r="Q1158" s="3">
        <f t="shared" si="93"/>
        <v>464.3</v>
      </c>
      <c r="R1158" s="4">
        <f t="shared" si="94"/>
        <v>0.40989999999999999</v>
      </c>
      <c r="S1158" s="2">
        <v>11</v>
      </c>
      <c r="T1158" t="s">
        <v>30</v>
      </c>
      <c r="U1158">
        <v>4</v>
      </c>
    </row>
    <row r="1159" spans="1:21" x14ac:dyDescent="0.25">
      <c r="A1159" s="1">
        <v>46147</v>
      </c>
      <c r="B1159" t="s">
        <v>1354</v>
      </c>
      <c r="C1159" t="s">
        <v>55</v>
      </c>
      <c r="D1159" t="s">
        <v>63</v>
      </c>
      <c r="E1159" t="s">
        <v>35</v>
      </c>
      <c r="F1159" t="s">
        <v>64</v>
      </c>
      <c r="G1159" t="s">
        <v>37</v>
      </c>
      <c r="H1159" t="s">
        <v>38</v>
      </c>
      <c r="I1159" t="s">
        <v>87</v>
      </c>
      <c r="J1159" s="2">
        <v>7</v>
      </c>
      <c r="K1159" s="3">
        <v>444.9</v>
      </c>
      <c r="L1159" s="3">
        <v>186.08</v>
      </c>
      <c r="M1159" s="4">
        <v>0</v>
      </c>
      <c r="N1159" s="3">
        <f t="shared" si="90"/>
        <v>3114.3</v>
      </c>
      <c r="O1159" s="3">
        <f t="shared" si="91"/>
        <v>3114.3</v>
      </c>
      <c r="P1159" s="3">
        <f t="shared" si="92"/>
        <v>1302.56</v>
      </c>
      <c r="Q1159" s="3">
        <f t="shared" si="93"/>
        <v>1811.74</v>
      </c>
      <c r="R1159" s="4">
        <f t="shared" si="94"/>
        <v>0.58169999999999999</v>
      </c>
      <c r="S1159" s="2">
        <v>5</v>
      </c>
      <c r="T1159" t="s">
        <v>46</v>
      </c>
      <c r="U1159">
        <v>5</v>
      </c>
    </row>
    <row r="1160" spans="1:21" x14ac:dyDescent="0.25">
      <c r="A1160" s="1">
        <v>46226</v>
      </c>
      <c r="B1160" t="s">
        <v>1355</v>
      </c>
      <c r="C1160" t="s">
        <v>82</v>
      </c>
      <c r="D1160" t="s">
        <v>63</v>
      </c>
      <c r="E1160" t="s">
        <v>35</v>
      </c>
      <c r="F1160" t="s">
        <v>36</v>
      </c>
      <c r="G1160" t="s">
        <v>37</v>
      </c>
      <c r="H1160" t="s">
        <v>38</v>
      </c>
      <c r="I1160" t="s">
        <v>60</v>
      </c>
      <c r="J1160" s="2">
        <v>5</v>
      </c>
      <c r="K1160" s="3">
        <v>425.68</v>
      </c>
      <c r="L1160" s="3">
        <v>187.07</v>
      </c>
      <c r="M1160" s="4">
        <v>0.10199999999999999</v>
      </c>
      <c r="N1160" s="3">
        <f t="shared" si="90"/>
        <v>2128.4</v>
      </c>
      <c r="O1160" s="3">
        <f t="shared" si="91"/>
        <v>1911.3</v>
      </c>
      <c r="P1160" s="3">
        <f t="shared" si="92"/>
        <v>935.35</v>
      </c>
      <c r="Q1160" s="3">
        <f t="shared" si="93"/>
        <v>975.95</v>
      </c>
      <c r="R1160" s="4">
        <f t="shared" si="94"/>
        <v>0.51060000000000005</v>
      </c>
      <c r="S1160" s="2">
        <v>3</v>
      </c>
      <c r="T1160" t="s">
        <v>46</v>
      </c>
      <c r="U1160">
        <v>2</v>
      </c>
    </row>
    <row r="1161" spans="1:21" x14ac:dyDescent="0.25">
      <c r="A1161" s="1">
        <v>46067</v>
      </c>
      <c r="B1161" t="s">
        <v>1356</v>
      </c>
      <c r="C1161" t="s">
        <v>148</v>
      </c>
      <c r="D1161" t="s">
        <v>101</v>
      </c>
      <c r="E1161" t="s">
        <v>35</v>
      </c>
      <c r="F1161" t="s">
        <v>36</v>
      </c>
      <c r="G1161" t="s">
        <v>27</v>
      </c>
      <c r="H1161" t="s">
        <v>68</v>
      </c>
      <c r="I1161" t="s">
        <v>60</v>
      </c>
      <c r="J1161" s="2">
        <v>2</v>
      </c>
      <c r="K1161" s="3">
        <v>1229.8699999999999</v>
      </c>
      <c r="L1161" s="3">
        <v>752.39</v>
      </c>
      <c r="M1161" s="4">
        <v>0</v>
      </c>
      <c r="N1161" s="3">
        <f t="shared" si="90"/>
        <v>2459.7399999999998</v>
      </c>
      <c r="O1161" s="3">
        <f t="shared" si="91"/>
        <v>2459.7399999999998</v>
      </c>
      <c r="P1161" s="3">
        <f t="shared" si="92"/>
        <v>1504.78</v>
      </c>
      <c r="Q1161" s="3">
        <f t="shared" si="93"/>
        <v>954.96</v>
      </c>
      <c r="R1161" s="4">
        <f t="shared" si="94"/>
        <v>0.38819999999999999</v>
      </c>
      <c r="S1161" s="2">
        <v>9</v>
      </c>
      <c r="T1161" t="s">
        <v>46</v>
      </c>
      <c r="U1161">
        <v>5</v>
      </c>
    </row>
    <row r="1162" spans="1:21" x14ac:dyDescent="0.25">
      <c r="A1162" s="1">
        <v>46218</v>
      </c>
      <c r="B1162" t="s">
        <v>1357</v>
      </c>
      <c r="C1162" t="s">
        <v>168</v>
      </c>
      <c r="D1162" t="s">
        <v>49</v>
      </c>
      <c r="E1162" t="s">
        <v>50</v>
      </c>
      <c r="F1162" t="s">
        <v>36</v>
      </c>
      <c r="G1162" t="s">
        <v>51</v>
      </c>
      <c r="H1162" t="s">
        <v>116</v>
      </c>
      <c r="I1162" t="s">
        <v>94</v>
      </c>
      <c r="J1162" s="2">
        <v>1</v>
      </c>
      <c r="K1162" s="3">
        <v>2651.78</v>
      </c>
      <c r="L1162" s="3">
        <v>1741.28</v>
      </c>
      <c r="M1162" s="4">
        <v>0</v>
      </c>
      <c r="N1162" s="3">
        <f t="shared" si="90"/>
        <v>2651.78</v>
      </c>
      <c r="O1162" s="3">
        <f t="shared" si="91"/>
        <v>2651.78</v>
      </c>
      <c r="P1162" s="3">
        <f t="shared" si="92"/>
        <v>1741.28</v>
      </c>
      <c r="Q1162" s="3">
        <f t="shared" si="93"/>
        <v>910.5</v>
      </c>
      <c r="R1162" s="4">
        <f t="shared" si="94"/>
        <v>0.34339999999999998</v>
      </c>
      <c r="S1162" s="2">
        <v>8</v>
      </c>
      <c r="T1162" t="s">
        <v>46</v>
      </c>
      <c r="U1162">
        <v>2</v>
      </c>
    </row>
    <row r="1163" spans="1:21" x14ac:dyDescent="0.25">
      <c r="A1163" s="1">
        <v>46027</v>
      </c>
      <c r="B1163" t="s">
        <v>1358</v>
      </c>
      <c r="C1163" t="s">
        <v>253</v>
      </c>
      <c r="D1163" t="s">
        <v>43</v>
      </c>
      <c r="E1163" t="s">
        <v>25</v>
      </c>
      <c r="F1163" t="s">
        <v>26</v>
      </c>
      <c r="G1163" t="s">
        <v>44</v>
      </c>
      <c r="H1163" t="s">
        <v>45</v>
      </c>
      <c r="I1163" t="s">
        <v>92</v>
      </c>
      <c r="J1163" s="2">
        <v>6</v>
      </c>
      <c r="K1163" s="3">
        <v>384.1</v>
      </c>
      <c r="L1163" s="3">
        <v>221.11</v>
      </c>
      <c r="M1163" s="4">
        <v>0.10340000000000001</v>
      </c>
      <c r="N1163" s="3">
        <f t="shared" si="90"/>
        <v>2304.6</v>
      </c>
      <c r="O1163" s="3">
        <f t="shared" si="91"/>
        <v>2066.3000000000002</v>
      </c>
      <c r="P1163" s="3">
        <f t="shared" si="92"/>
        <v>1326.66</v>
      </c>
      <c r="Q1163" s="3">
        <f t="shared" si="93"/>
        <v>739.64</v>
      </c>
      <c r="R1163" s="4">
        <f t="shared" si="94"/>
        <v>0.35799999999999998</v>
      </c>
      <c r="S1163" s="2">
        <v>14</v>
      </c>
      <c r="T1163" t="s">
        <v>30</v>
      </c>
      <c r="U1163">
        <v>5</v>
      </c>
    </row>
    <row r="1164" spans="1:21" x14ac:dyDescent="0.25">
      <c r="A1164" s="1">
        <v>46034</v>
      </c>
      <c r="B1164" t="s">
        <v>1359</v>
      </c>
      <c r="C1164" t="s">
        <v>243</v>
      </c>
      <c r="D1164" t="s">
        <v>63</v>
      </c>
      <c r="E1164" t="s">
        <v>35</v>
      </c>
      <c r="F1164" t="s">
        <v>64</v>
      </c>
      <c r="G1164" t="s">
        <v>44</v>
      </c>
      <c r="H1164" t="s">
        <v>73</v>
      </c>
      <c r="I1164" t="s">
        <v>53</v>
      </c>
      <c r="J1164" s="2">
        <v>3</v>
      </c>
      <c r="K1164" s="3">
        <v>1773.8</v>
      </c>
      <c r="L1164" s="3">
        <v>1054.1099999999999</v>
      </c>
      <c r="M1164" s="4">
        <v>5.2499999999999998E-2</v>
      </c>
      <c r="N1164" s="3">
        <f t="shared" si="90"/>
        <v>5321.4</v>
      </c>
      <c r="O1164" s="3">
        <f t="shared" si="91"/>
        <v>5042.03</v>
      </c>
      <c r="P1164" s="3">
        <f t="shared" si="92"/>
        <v>3162.33</v>
      </c>
      <c r="Q1164" s="3">
        <f t="shared" si="93"/>
        <v>1879.7</v>
      </c>
      <c r="R1164" s="4">
        <f t="shared" si="94"/>
        <v>0.37280000000000002</v>
      </c>
      <c r="S1164" s="2">
        <v>12</v>
      </c>
      <c r="T1164" t="s">
        <v>30</v>
      </c>
      <c r="U1164">
        <v>3</v>
      </c>
    </row>
    <row r="1165" spans="1:21" x14ac:dyDescent="0.25">
      <c r="A1165" s="1">
        <v>46064</v>
      </c>
      <c r="B1165" t="s">
        <v>1360</v>
      </c>
      <c r="C1165" t="s">
        <v>132</v>
      </c>
      <c r="D1165" t="s">
        <v>43</v>
      </c>
      <c r="E1165" t="s">
        <v>25</v>
      </c>
      <c r="F1165" t="s">
        <v>64</v>
      </c>
      <c r="G1165" t="s">
        <v>44</v>
      </c>
      <c r="H1165" t="s">
        <v>45</v>
      </c>
      <c r="I1165" t="s">
        <v>77</v>
      </c>
      <c r="J1165" s="2">
        <v>8</v>
      </c>
      <c r="K1165" s="3">
        <v>385.11</v>
      </c>
      <c r="L1165" s="3">
        <v>216.62</v>
      </c>
      <c r="M1165" s="4">
        <v>9.1300000000000006E-2</v>
      </c>
      <c r="N1165" s="3">
        <f t="shared" si="90"/>
        <v>3080.88</v>
      </c>
      <c r="O1165" s="3">
        <f t="shared" si="91"/>
        <v>2799.6</v>
      </c>
      <c r="P1165" s="3">
        <f t="shared" si="92"/>
        <v>1732.96</v>
      </c>
      <c r="Q1165" s="3">
        <f t="shared" si="93"/>
        <v>1066.6400000000001</v>
      </c>
      <c r="R1165" s="4">
        <f t="shared" si="94"/>
        <v>0.38100000000000001</v>
      </c>
      <c r="S1165" s="2">
        <v>4</v>
      </c>
      <c r="T1165" t="s">
        <v>46</v>
      </c>
      <c r="U1165">
        <v>5</v>
      </c>
    </row>
    <row r="1166" spans="1:21" x14ac:dyDescent="0.25">
      <c r="A1166" s="1">
        <v>46135</v>
      </c>
      <c r="B1166" t="s">
        <v>1361</v>
      </c>
      <c r="C1166" t="s">
        <v>108</v>
      </c>
      <c r="D1166" t="s">
        <v>207</v>
      </c>
      <c r="E1166" t="s">
        <v>35</v>
      </c>
      <c r="F1166" t="s">
        <v>26</v>
      </c>
      <c r="G1166" t="s">
        <v>44</v>
      </c>
      <c r="H1166" t="s">
        <v>124</v>
      </c>
      <c r="I1166" t="s">
        <v>65</v>
      </c>
      <c r="J1166" s="2">
        <v>1</v>
      </c>
      <c r="K1166" s="3">
        <v>5617.52</v>
      </c>
      <c r="L1166" s="3">
        <v>4462.2700000000004</v>
      </c>
      <c r="M1166" s="4">
        <v>0</v>
      </c>
      <c r="N1166" s="3">
        <f t="shared" si="90"/>
        <v>5617.52</v>
      </c>
      <c r="O1166" s="3">
        <f t="shared" si="91"/>
        <v>5617.52</v>
      </c>
      <c r="P1166" s="3">
        <f t="shared" si="92"/>
        <v>4462.2700000000004</v>
      </c>
      <c r="Q1166" s="3">
        <f t="shared" si="93"/>
        <v>1155.25</v>
      </c>
      <c r="R1166" s="4">
        <f t="shared" si="94"/>
        <v>0.20569999999999999</v>
      </c>
      <c r="S1166" s="2">
        <v>8</v>
      </c>
      <c r="T1166" t="s">
        <v>46</v>
      </c>
      <c r="U1166">
        <v>2</v>
      </c>
    </row>
    <row r="1167" spans="1:21" x14ac:dyDescent="0.25">
      <c r="A1167" s="1">
        <v>46229</v>
      </c>
      <c r="B1167" t="s">
        <v>1362</v>
      </c>
      <c r="C1167" t="s">
        <v>290</v>
      </c>
      <c r="D1167" t="s">
        <v>43</v>
      </c>
      <c r="E1167" t="s">
        <v>25</v>
      </c>
      <c r="F1167" t="s">
        <v>58</v>
      </c>
      <c r="G1167" t="s">
        <v>27</v>
      </c>
      <c r="H1167" t="s">
        <v>28</v>
      </c>
      <c r="I1167" t="s">
        <v>77</v>
      </c>
      <c r="J1167" s="2">
        <v>4</v>
      </c>
      <c r="K1167" s="3">
        <v>822.38</v>
      </c>
      <c r="L1167" s="3">
        <v>471</v>
      </c>
      <c r="M1167" s="4">
        <v>0.13289999999999999</v>
      </c>
      <c r="N1167" s="3">
        <f t="shared" si="90"/>
        <v>3289.52</v>
      </c>
      <c r="O1167" s="3">
        <f t="shared" si="91"/>
        <v>2852.34</v>
      </c>
      <c r="P1167" s="3">
        <f t="shared" si="92"/>
        <v>1884</v>
      </c>
      <c r="Q1167" s="3">
        <f t="shared" si="93"/>
        <v>968.34</v>
      </c>
      <c r="R1167" s="4">
        <f t="shared" si="94"/>
        <v>0.33950000000000002</v>
      </c>
      <c r="S1167" s="2">
        <v>14</v>
      </c>
      <c r="T1167" t="s">
        <v>30</v>
      </c>
      <c r="U1167">
        <v>2</v>
      </c>
    </row>
    <row r="1168" spans="1:21" x14ac:dyDescent="0.25">
      <c r="A1168" s="1">
        <v>46160</v>
      </c>
      <c r="B1168" t="s">
        <v>1363</v>
      </c>
      <c r="C1168" t="s">
        <v>418</v>
      </c>
      <c r="D1168" t="s">
        <v>101</v>
      </c>
      <c r="E1168" t="s">
        <v>35</v>
      </c>
      <c r="F1168" t="s">
        <v>26</v>
      </c>
      <c r="G1168" t="s">
        <v>51</v>
      </c>
      <c r="H1168" t="s">
        <v>59</v>
      </c>
      <c r="I1168" t="s">
        <v>65</v>
      </c>
      <c r="J1168" s="2">
        <v>3</v>
      </c>
      <c r="K1168" s="3">
        <v>2183.4699999999998</v>
      </c>
      <c r="L1168" s="3">
        <v>1370.75</v>
      </c>
      <c r="M1168" s="4">
        <v>0</v>
      </c>
      <c r="N1168" s="3">
        <f t="shared" si="90"/>
        <v>6550.41</v>
      </c>
      <c r="O1168" s="3">
        <f t="shared" si="91"/>
        <v>6550.41</v>
      </c>
      <c r="P1168" s="3">
        <f t="shared" si="92"/>
        <v>4112.25</v>
      </c>
      <c r="Q1168" s="3">
        <f t="shared" si="93"/>
        <v>2438.16</v>
      </c>
      <c r="R1168" s="4">
        <f t="shared" si="94"/>
        <v>0.37219999999999998</v>
      </c>
      <c r="S1168" s="2">
        <v>9</v>
      </c>
      <c r="T1168" t="s">
        <v>46</v>
      </c>
      <c r="U1168">
        <v>4</v>
      </c>
    </row>
    <row r="1169" spans="1:22" x14ac:dyDescent="0.25">
      <c r="A1169" s="1">
        <v>46025</v>
      </c>
      <c r="B1169" t="s">
        <v>1364</v>
      </c>
      <c r="C1169" t="s">
        <v>115</v>
      </c>
      <c r="D1169" t="s">
        <v>113</v>
      </c>
      <c r="E1169" t="s">
        <v>50</v>
      </c>
      <c r="F1169" t="s">
        <v>58</v>
      </c>
      <c r="G1169" t="s">
        <v>51</v>
      </c>
      <c r="H1169" t="s">
        <v>116</v>
      </c>
      <c r="I1169" t="s">
        <v>39</v>
      </c>
      <c r="J1169" s="2">
        <v>2</v>
      </c>
      <c r="K1169" s="3">
        <v>2817.81</v>
      </c>
      <c r="L1169" s="3">
        <v>1843.59</v>
      </c>
      <c r="M1169" s="4">
        <v>0.1222</v>
      </c>
      <c r="N1169" s="3">
        <f t="shared" si="90"/>
        <v>5635.62</v>
      </c>
      <c r="O1169" s="3">
        <f t="shared" si="91"/>
        <v>4946.95</v>
      </c>
      <c r="P1169" s="3">
        <f t="shared" si="92"/>
        <v>3687.18</v>
      </c>
      <c r="Q1169" s="3">
        <f t="shared" si="93"/>
        <v>1259.77</v>
      </c>
      <c r="R1169" s="4">
        <f t="shared" si="94"/>
        <v>0.25469999999999998</v>
      </c>
      <c r="S1169" s="2">
        <v>7</v>
      </c>
      <c r="T1169" t="s">
        <v>46</v>
      </c>
      <c r="U1169">
        <v>2</v>
      </c>
    </row>
    <row r="1170" spans="1:22" x14ac:dyDescent="0.25">
      <c r="A1170" s="1">
        <v>46060</v>
      </c>
      <c r="B1170" t="s">
        <v>1365</v>
      </c>
      <c r="C1170" t="s">
        <v>456</v>
      </c>
      <c r="D1170" t="s">
        <v>139</v>
      </c>
      <c r="E1170" t="s">
        <v>72</v>
      </c>
      <c r="F1170" t="s">
        <v>26</v>
      </c>
      <c r="G1170" t="s">
        <v>27</v>
      </c>
      <c r="H1170" t="s">
        <v>86</v>
      </c>
      <c r="I1170" t="s">
        <v>65</v>
      </c>
      <c r="J1170" s="2">
        <v>8</v>
      </c>
      <c r="K1170" s="3">
        <v>1879.16</v>
      </c>
      <c r="L1170" s="3">
        <v>1244.1500000000001</v>
      </c>
      <c r="M1170" s="4">
        <v>0</v>
      </c>
      <c r="N1170" s="3">
        <f t="shared" si="90"/>
        <v>15033.28</v>
      </c>
      <c r="O1170" s="3">
        <f t="shared" si="91"/>
        <v>15033.28</v>
      </c>
      <c r="P1170" s="3">
        <f t="shared" si="92"/>
        <v>9953.2000000000007</v>
      </c>
      <c r="Q1170" s="3">
        <f t="shared" si="93"/>
        <v>5080.08</v>
      </c>
      <c r="R1170" s="4">
        <f t="shared" si="94"/>
        <v>0.33789999999999998</v>
      </c>
      <c r="S1170" s="2">
        <v>24</v>
      </c>
      <c r="T1170" t="s">
        <v>30</v>
      </c>
      <c r="U1170">
        <v>1</v>
      </c>
      <c r="V1170" t="s">
        <v>208</v>
      </c>
    </row>
    <row r="1171" spans="1:22" x14ac:dyDescent="0.25">
      <c r="A1171" s="1">
        <v>46061</v>
      </c>
      <c r="B1171" t="s">
        <v>1366</v>
      </c>
      <c r="C1171" t="s">
        <v>466</v>
      </c>
      <c r="D1171" t="s">
        <v>126</v>
      </c>
      <c r="E1171" t="s">
        <v>57</v>
      </c>
      <c r="F1171" t="s">
        <v>26</v>
      </c>
      <c r="G1171" t="s">
        <v>44</v>
      </c>
      <c r="H1171" t="s">
        <v>73</v>
      </c>
      <c r="I1171" t="s">
        <v>92</v>
      </c>
      <c r="J1171" s="2">
        <v>2</v>
      </c>
      <c r="K1171" s="3">
        <v>1649.63</v>
      </c>
      <c r="L1171" s="3">
        <v>1050.08</v>
      </c>
      <c r="M1171" s="4">
        <v>0.1053</v>
      </c>
      <c r="N1171" s="3">
        <f t="shared" si="90"/>
        <v>3299.26</v>
      </c>
      <c r="O1171" s="3">
        <f t="shared" si="91"/>
        <v>2951.85</v>
      </c>
      <c r="P1171" s="3">
        <f t="shared" si="92"/>
        <v>2100.16</v>
      </c>
      <c r="Q1171" s="3">
        <f t="shared" si="93"/>
        <v>851.69</v>
      </c>
      <c r="R1171" s="4">
        <f t="shared" si="94"/>
        <v>0.28849999999999998</v>
      </c>
      <c r="S1171" s="2">
        <v>2</v>
      </c>
      <c r="T1171" t="s">
        <v>46</v>
      </c>
      <c r="U1171">
        <v>3</v>
      </c>
    </row>
    <row r="1172" spans="1:22" x14ac:dyDescent="0.25">
      <c r="A1172" s="1">
        <v>46232</v>
      </c>
      <c r="B1172" t="s">
        <v>1367</v>
      </c>
      <c r="C1172" t="s">
        <v>67</v>
      </c>
      <c r="D1172" t="s">
        <v>130</v>
      </c>
      <c r="E1172" t="s">
        <v>72</v>
      </c>
      <c r="F1172" t="s">
        <v>64</v>
      </c>
      <c r="G1172" t="s">
        <v>51</v>
      </c>
      <c r="H1172" t="s">
        <v>59</v>
      </c>
      <c r="I1172" t="s">
        <v>39</v>
      </c>
      <c r="J1172" s="2">
        <v>5</v>
      </c>
      <c r="K1172" s="3">
        <v>2082.11</v>
      </c>
      <c r="L1172" s="3">
        <v>1483.55</v>
      </c>
      <c r="M1172" s="4">
        <v>0.10780000000000001</v>
      </c>
      <c r="N1172" s="3">
        <f t="shared" si="90"/>
        <v>10410.549999999999</v>
      </c>
      <c r="O1172" s="3">
        <f t="shared" si="91"/>
        <v>9288.2900000000009</v>
      </c>
      <c r="P1172" s="3">
        <f t="shared" si="92"/>
        <v>7417.75</v>
      </c>
      <c r="Q1172" s="3">
        <f t="shared" si="93"/>
        <v>1870.54</v>
      </c>
      <c r="R1172" s="4">
        <f t="shared" si="94"/>
        <v>0.2014</v>
      </c>
      <c r="S1172" s="2">
        <v>12</v>
      </c>
      <c r="T1172" t="s">
        <v>30</v>
      </c>
      <c r="U1172">
        <v>2</v>
      </c>
    </row>
    <row r="1173" spans="1:22" x14ac:dyDescent="0.25">
      <c r="A1173" s="1">
        <v>46048</v>
      </c>
      <c r="B1173" t="s">
        <v>1368</v>
      </c>
      <c r="C1173" t="s">
        <v>110</v>
      </c>
      <c r="D1173" t="s">
        <v>71</v>
      </c>
      <c r="E1173" t="s">
        <v>72</v>
      </c>
      <c r="F1173" t="s">
        <v>58</v>
      </c>
      <c r="G1173" t="s">
        <v>44</v>
      </c>
      <c r="H1173" t="s">
        <v>45</v>
      </c>
      <c r="I1173" t="s">
        <v>39</v>
      </c>
      <c r="J1173" s="2">
        <v>7</v>
      </c>
      <c r="K1173" s="3">
        <v>411.42</v>
      </c>
      <c r="L1173" s="3">
        <v>210.84</v>
      </c>
      <c r="M1173" s="4">
        <v>3.9100000000000003E-2</v>
      </c>
      <c r="N1173" s="3">
        <f t="shared" si="90"/>
        <v>2879.94</v>
      </c>
      <c r="O1173" s="3">
        <f t="shared" si="91"/>
        <v>2767.33</v>
      </c>
      <c r="P1173" s="3">
        <f t="shared" si="92"/>
        <v>1475.88</v>
      </c>
      <c r="Q1173" s="3">
        <f t="shared" si="93"/>
        <v>1291.45</v>
      </c>
      <c r="R1173" s="4">
        <f t="shared" si="94"/>
        <v>0.4667</v>
      </c>
      <c r="S1173" s="2">
        <v>3</v>
      </c>
      <c r="T1173" t="s">
        <v>46</v>
      </c>
      <c r="U1173">
        <v>5</v>
      </c>
    </row>
    <row r="1174" spans="1:22" x14ac:dyDescent="0.25">
      <c r="A1174" s="1">
        <v>46174</v>
      </c>
      <c r="B1174" t="s">
        <v>1369</v>
      </c>
      <c r="C1174" t="s">
        <v>447</v>
      </c>
      <c r="D1174" t="s">
        <v>97</v>
      </c>
      <c r="E1174" t="s">
        <v>57</v>
      </c>
      <c r="F1174" t="s">
        <v>36</v>
      </c>
      <c r="G1174" t="s">
        <v>51</v>
      </c>
      <c r="H1174" t="s">
        <v>52</v>
      </c>
      <c r="I1174" t="s">
        <v>92</v>
      </c>
      <c r="J1174" s="2">
        <v>7</v>
      </c>
      <c r="K1174" s="3">
        <v>245.48</v>
      </c>
      <c r="L1174" s="3">
        <v>118.02</v>
      </c>
      <c r="M1174" s="4">
        <v>1.03E-2</v>
      </c>
      <c r="N1174" s="3">
        <f t="shared" si="90"/>
        <v>1718.36</v>
      </c>
      <c r="O1174" s="3">
        <f t="shared" si="91"/>
        <v>1700.66</v>
      </c>
      <c r="P1174" s="3">
        <f t="shared" si="92"/>
        <v>826.14</v>
      </c>
      <c r="Q1174" s="3">
        <f t="shared" si="93"/>
        <v>874.52</v>
      </c>
      <c r="R1174" s="4">
        <f t="shared" si="94"/>
        <v>0.51419999999999999</v>
      </c>
      <c r="S1174" s="2">
        <v>8</v>
      </c>
      <c r="T1174" t="s">
        <v>46</v>
      </c>
      <c r="U1174">
        <v>4</v>
      </c>
    </row>
    <row r="1175" spans="1:22" x14ac:dyDescent="0.25">
      <c r="A1175" s="1">
        <v>46075</v>
      </c>
      <c r="B1175" t="s">
        <v>1370</v>
      </c>
      <c r="C1175" t="s">
        <v>120</v>
      </c>
      <c r="D1175" t="s">
        <v>139</v>
      </c>
      <c r="E1175" t="s">
        <v>72</v>
      </c>
      <c r="F1175" t="s">
        <v>36</v>
      </c>
      <c r="G1175" t="s">
        <v>51</v>
      </c>
      <c r="H1175" t="s">
        <v>116</v>
      </c>
      <c r="I1175" t="s">
        <v>74</v>
      </c>
      <c r="J1175" s="2">
        <v>3</v>
      </c>
      <c r="K1175" s="3">
        <v>2643.07</v>
      </c>
      <c r="L1175" s="3">
        <v>1928.3</v>
      </c>
      <c r="M1175" s="4">
        <v>0</v>
      </c>
      <c r="N1175" s="3">
        <f t="shared" si="90"/>
        <v>7929.21</v>
      </c>
      <c r="O1175" s="3">
        <f t="shared" si="91"/>
        <v>7929.21</v>
      </c>
      <c r="P1175" s="3">
        <f t="shared" si="92"/>
        <v>5784.9</v>
      </c>
      <c r="Q1175" s="3">
        <f t="shared" si="93"/>
        <v>2144.31</v>
      </c>
      <c r="R1175" s="4">
        <f t="shared" si="94"/>
        <v>0.27039999999999997</v>
      </c>
      <c r="S1175" s="2">
        <v>10</v>
      </c>
      <c r="T1175" t="s">
        <v>46</v>
      </c>
      <c r="U1175">
        <v>5</v>
      </c>
    </row>
    <row r="1176" spans="1:22" x14ac:dyDescent="0.25">
      <c r="A1176" s="1">
        <v>46225</v>
      </c>
      <c r="B1176" t="s">
        <v>1371</v>
      </c>
      <c r="C1176" t="s">
        <v>428</v>
      </c>
      <c r="D1176" t="s">
        <v>130</v>
      </c>
      <c r="E1176" t="s">
        <v>72</v>
      </c>
      <c r="F1176" t="s">
        <v>36</v>
      </c>
      <c r="G1176" t="s">
        <v>51</v>
      </c>
      <c r="H1176" t="s">
        <v>116</v>
      </c>
      <c r="I1176" t="s">
        <v>53</v>
      </c>
      <c r="J1176" s="2">
        <v>2</v>
      </c>
      <c r="K1176" s="3">
        <v>2793.94</v>
      </c>
      <c r="L1176" s="3">
        <v>1805.17</v>
      </c>
      <c r="M1176" s="4">
        <v>0</v>
      </c>
      <c r="N1176" s="3">
        <f t="shared" si="90"/>
        <v>5587.88</v>
      </c>
      <c r="O1176" s="3">
        <f t="shared" si="91"/>
        <v>5587.88</v>
      </c>
      <c r="P1176" s="3">
        <f t="shared" si="92"/>
        <v>3610.34</v>
      </c>
      <c r="Q1176" s="3">
        <f t="shared" si="93"/>
        <v>1977.54</v>
      </c>
      <c r="R1176" s="4">
        <f t="shared" si="94"/>
        <v>0.35389999999999999</v>
      </c>
      <c r="S1176" s="2">
        <v>6</v>
      </c>
      <c r="T1176" t="s">
        <v>46</v>
      </c>
      <c r="U1176">
        <v>5</v>
      </c>
    </row>
    <row r="1177" spans="1:22" x14ac:dyDescent="0.25">
      <c r="A1177" s="1">
        <v>46168</v>
      </c>
      <c r="B1177" t="s">
        <v>1372</v>
      </c>
      <c r="C1177" t="s">
        <v>201</v>
      </c>
      <c r="D1177" t="s">
        <v>43</v>
      </c>
      <c r="E1177" t="s">
        <v>25</v>
      </c>
      <c r="F1177" t="s">
        <v>64</v>
      </c>
      <c r="G1177" t="s">
        <v>27</v>
      </c>
      <c r="H1177" t="s">
        <v>86</v>
      </c>
      <c r="I1177" t="s">
        <v>74</v>
      </c>
      <c r="J1177" s="2">
        <v>6</v>
      </c>
      <c r="K1177" s="3">
        <v>1995.97</v>
      </c>
      <c r="L1177" s="3">
        <v>1190.3800000000001</v>
      </c>
      <c r="M1177" s="4">
        <v>8.7599999999999997E-2</v>
      </c>
      <c r="N1177" s="3">
        <f t="shared" si="90"/>
        <v>11975.82</v>
      </c>
      <c r="O1177" s="3">
        <f t="shared" si="91"/>
        <v>10926.74</v>
      </c>
      <c r="P1177" s="3">
        <f t="shared" si="92"/>
        <v>7142.28</v>
      </c>
      <c r="Q1177" s="3">
        <f t="shared" si="93"/>
        <v>3784.46</v>
      </c>
      <c r="R1177" s="4">
        <f t="shared" si="94"/>
        <v>0.3463</v>
      </c>
      <c r="S1177" s="2">
        <v>13</v>
      </c>
      <c r="T1177" t="s">
        <v>30</v>
      </c>
      <c r="U1177">
        <v>5</v>
      </c>
    </row>
    <row r="1178" spans="1:22" x14ac:dyDescent="0.25">
      <c r="A1178" s="1">
        <v>46160</v>
      </c>
      <c r="B1178" t="s">
        <v>1373</v>
      </c>
      <c r="C1178" t="s">
        <v>91</v>
      </c>
      <c r="D1178" t="s">
        <v>34</v>
      </c>
      <c r="E1178" t="s">
        <v>35</v>
      </c>
      <c r="F1178" t="s">
        <v>26</v>
      </c>
      <c r="G1178" t="s">
        <v>51</v>
      </c>
      <c r="H1178" t="s">
        <v>52</v>
      </c>
      <c r="I1178" t="s">
        <v>77</v>
      </c>
      <c r="J1178" s="2">
        <v>8</v>
      </c>
      <c r="K1178" s="3">
        <v>260.48</v>
      </c>
      <c r="L1178" s="3">
        <v>118.25</v>
      </c>
      <c r="M1178" s="4">
        <v>0</v>
      </c>
      <c r="N1178" s="3">
        <f t="shared" si="90"/>
        <v>2083.84</v>
      </c>
      <c r="O1178" s="3">
        <f t="shared" si="91"/>
        <v>2083.84</v>
      </c>
      <c r="P1178" s="3">
        <f t="shared" si="92"/>
        <v>946</v>
      </c>
      <c r="Q1178" s="3">
        <f t="shared" si="93"/>
        <v>1137.8399999999999</v>
      </c>
      <c r="R1178" s="4">
        <f t="shared" si="94"/>
        <v>0.54600000000000004</v>
      </c>
      <c r="S1178" s="2">
        <v>13</v>
      </c>
      <c r="T1178" t="s">
        <v>30</v>
      </c>
      <c r="U1178">
        <v>2</v>
      </c>
    </row>
    <row r="1179" spans="1:22" x14ac:dyDescent="0.25">
      <c r="A1179" s="1">
        <v>46167</v>
      </c>
      <c r="B1179" t="s">
        <v>1374</v>
      </c>
      <c r="C1179" t="s">
        <v>606</v>
      </c>
      <c r="D1179" t="s">
        <v>56</v>
      </c>
      <c r="E1179" t="s">
        <v>57</v>
      </c>
      <c r="F1179" t="s">
        <v>58</v>
      </c>
      <c r="G1179" t="s">
        <v>44</v>
      </c>
      <c r="H1179" t="s">
        <v>124</v>
      </c>
      <c r="I1179" t="s">
        <v>74</v>
      </c>
      <c r="J1179" s="2">
        <v>5</v>
      </c>
      <c r="K1179" s="3">
        <v>6022.28</v>
      </c>
      <c r="L1179" s="3">
        <v>4204.8500000000004</v>
      </c>
      <c r="M1179" s="4">
        <v>0.16009999999999999</v>
      </c>
      <c r="N1179" s="3">
        <f t="shared" si="90"/>
        <v>30111.4</v>
      </c>
      <c r="O1179" s="3">
        <f t="shared" si="91"/>
        <v>25290.560000000001</v>
      </c>
      <c r="P1179" s="3">
        <f t="shared" si="92"/>
        <v>21024.25</v>
      </c>
      <c r="Q1179" s="3">
        <f t="shared" si="93"/>
        <v>4266.3100000000004</v>
      </c>
      <c r="R1179" s="4">
        <f t="shared" si="94"/>
        <v>0.16869999999999999</v>
      </c>
      <c r="S1179" s="2">
        <v>12</v>
      </c>
      <c r="T1179" t="s">
        <v>30</v>
      </c>
      <c r="U1179">
        <v>3</v>
      </c>
    </row>
    <row r="1180" spans="1:22" x14ac:dyDescent="0.25">
      <c r="A1180" s="1">
        <v>46221</v>
      </c>
      <c r="B1180" t="s">
        <v>1375</v>
      </c>
      <c r="C1180" t="s">
        <v>560</v>
      </c>
      <c r="D1180" t="s">
        <v>43</v>
      </c>
      <c r="E1180" t="s">
        <v>25</v>
      </c>
      <c r="F1180" t="s">
        <v>36</v>
      </c>
      <c r="G1180" t="s">
        <v>27</v>
      </c>
      <c r="H1180" t="s">
        <v>86</v>
      </c>
      <c r="I1180" t="s">
        <v>74</v>
      </c>
      <c r="J1180" s="2">
        <v>6</v>
      </c>
      <c r="K1180" s="3">
        <v>1860.35</v>
      </c>
      <c r="L1180" s="3">
        <v>1196.57</v>
      </c>
      <c r="M1180" s="4">
        <v>9.5799999999999996E-2</v>
      </c>
      <c r="N1180" s="3">
        <f t="shared" si="90"/>
        <v>11162.1</v>
      </c>
      <c r="O1180" s="3">
        <f t="shared" si="91"/>
        <v>10092.77</v>
      </c>
      <c r="P1180" s="3">
        <f t="shared" si="92"/>
        <v>7179.42</v>
      </c>
      <c r="Q1180" s="3">
        <f t="shared" si="93"/>
        <v>2913.35</v>
      </c>
      <c r="R1180" s="4">
        <f t="shared" si="94"/>
        <v>0.28870000000000001</v>
      </c>
      <c r="S1180" s="2">
        <v>6</v>
      </c>
      <c r="T1180" t="s">
        <v>46</v>
      </c>
      <c r="U1180">
        <v>5</v>
      </c>
    </row>
    <row r="1181" spans="1:22" x14ac:dyDescent="0.25">
      <c r="A1181" s="1">
        <v>46099</v>
      </c>
      <c r="B1181" t="s">
        <v>1376</v>
      </c>
      <c r="C1181" t="s">
        <v>233</v>
      </c>
      <c r="D1181" t="s">
        <v>101</v>
      </c>
      <c r="E1181" t="s">
        <v>35</v>
      </c>
      <c r="F1181" t="s">
        <v>36</v>
      </c>
      <c r="G1181" t="s">
        <v>27</v>
      </c>
      <c r="H1181" t="s">
        <v>86</v>
      </c>
      <c r="I1181" t="s">
        <v>39</v>
      </c>
      <c r="J1181" s="2">
        <v>4</v>
      </c>
      <c r="K1181" s="3">
        <v>1813.49</v>
      </c>
      <c r="L1181" s="3">
        <v>1236.8399999999999</v>
      </c>
      <c r="M1181" s="4">
        <v>0.1164</v>
      </c>
      <c r="N1181" s="3">
        <f t="shared" si="90"/>
        <v>7253.96</v>
      </c>
      <c r="O1181" s="3">
        <f t="shared" si="91"/>
        <v>6409.6</v>
      </c>
      <c r="P1181" s="3">
        <f t="shared" si="92"/>
        <v>4947.3599999999997</v>
      </c>
      <c r="Q1181" s="3">
        <f t="shared" si="93"/>
        <v>1462.24</v>
      </c>
      <c r="R1181" s="4">
        <f t="shared" si="94"/>
        <v>0.2281</v>
      </c>
      <c r="S1181" s="2">
        <v>2</v>
      </c>
      <c r="T1181" t="s">
        <v>46</v>
      </c>
      <c r="U1181">
        <v>4</v>
      </c>
    </row>
    <row r="1182" spans="1:22" x14ac:dyDescent="0.25">
      <c r="A1182" s="1">
        <v>46154</v>
      </c>
      <c r="B1182" t="s">
        <v>1377</v>
      </c>
      <c r="C1182" t="s">
        <v>204</v>
      </c>
      <c r="D1182" t="s">
        <v>63</v>
      </c>
      <c r="E1182" t="s">
        <v>35</v>
      </c>
      <c r="F1182" t="s">
        <v>26</v>
      </c>
      <c r="G1182" t="s">
        <v>37</v>
      </c>
      <c r="H1182" t="s">
        <v>104</v>
      </c>
      <c r="I1182" t="s">
        <v>53</v>
      </c>
      <c r="J1182" s="2">
        <v>4</v>
      </c>
      <c r="K1182" s="3">
        <v>315.89</v>
      </c>
      <c r="L1182" s="3">
        <v>139.69999999999999</v>
      </c>
      <c r="M1182" s="4">
        <v>0.12590000000000001</v>
      </c>
      <c r="N1182" s="3">
        <f t="shared" si="90"/>
        <v>1263.56</v>
      </c>
      <c r="O1182" s="3">
        <f t="shared" si="91"/>
        <v>1104.48</v>
      </c>
      <c r="P1182" s="3">
        <f t="shared" si="92"/>
        <v>558.79999999999995</v>
      </c>
      <c r="Q1182" s="3">
        <f t="shared" si="93"/>
        <v>545.67999999999995</v>
      </c>
      <c r="R1182" s="4">
        <f t="shared" si="94"/>
        <v>0.49409999999999998</v>
      </c>
      <c r="S1182" s="2">
        <v>6</v>
      </c>
      <c r="T1182" t="s">
        <v>46</v>
      </c>
      <c r="U1182">
        <v>2</v>
      </c>
    </row>
    <row r="1183" spans="1:22" x14ac:dyDescent="0.25">
      <c r="A1183" s="1">
        <v>46202</v>
      </c>
      <c r="B1183" t="s">
        <v>1378</v>
      </c>
      <c r="C1183" t="s">
        <v>142</v>
      </c>
      <c r="D1183" t="s">
        <v>85</v>
      </c>
      <c r="E1183" t="s">
        <v>50</v>
      </c>
      <c r="F1183" t="s">
        <v>26</v>
      </c>
      <c r="G1183" t="s">
        <v>44</v>
      </c>
      <c r="H1183" t="s">
        <v>45</v>
      </c>
      <c r="I1183" t="s">
        <v>87</v>
      </c>
      <c r="J1183" s="2">
        <v>7</v>
      </c>
      <c r="K1183" s="3">
        <v>402.85</v>
      </c>
      <c r="L1183" s="3">
        <v>206.59</v>
      </c>
      <c r="M1183" s="4">
        <v>0</v>
      </c>
      <c r="N1183" s="3">
        <f t="shared" si="90"/>
        <v>2819.95</v>
      </c>
      <c r="O1183" s="3">
        <f t="shared" si="91"/>
        <v>2819.95</v>
      </c>
      <c r="P1183" s="3">
        <f t="shared" si="92"/>
        <v>1446.13</v>
      </c>
      <c r="Q1183" s="3">
        <f t="shared" si="93"/>
        <v>1373.82</v>
      </c>
      <c r="R1183" s="4">
        <f t="shared" si="94"/>
        <v>0.48720000000000002</v>
      </c>
      <c r="S1183" s="2">
        <v>10</v>
      </c>
      <c r="T1183" t="s">
        <v>46</v>
      </c>
      <c r="U1183">
        <v>5</v>
      </c>
    </row>
    <row r="1184" spans="1:22" x14ac:dyDescent="0.25">
      <c r="A1184" s="1">
        <v>46028</v>
      </c>
      <c r="B1184" t="s">
        <v>1379</v>
      </c>
      <c r="C1184" t="s">
        <v>260</v>
      </c>
      <c r="D1184" t="s">
        <v>126</v>
      </c>
      <c r="E1184" t="s">
        <v>57</v>
      </c>
      <c r="F1184" t="s">
        <v>26</v>
      </c>
      <c r="G1184" t="s">
        <v>51</v>
      </c>
      <c r="H1184" t="s">
        <v>52</v>
      </c>
      <c r="I1184" t="s">
        <v>74</v>
      </c>
      <c r="J1184" s="2">
        <v>2</v>
      </c>
      <c r="K1184" s="3">
        <v>248.48</v>
      </c>
      <c r="L1184" s="3">
        <v>119.34</v>
      </c>
      <c r="M1184" s="4">
        <v>0.48280000000000001</v>
      </c>
      <c r="N1184" s="3">
        <f t="shared" si="90"/>
        <v>496.96</v>
      </c>
      <c r="O1184" s="3">
        <f t="shared" si="91"/>
        <v>257.02999999999997</v>
      </c>
      <c r="P1184" s="3">
        <f t="shared" si="92"/>
        <v>238.68</v>
      </c>
      <c r="Q1184" s="3">
        <f t="shared" si="93"/>
        <v>18.350000000000001</v>
      </c>
      <c r="R1184" s="4">
        <f t="shared" si="94"/>
        <v>7.1400000000000005E-2</v>
      </c>
      <c r="S1184" s="2">
        <v>9</v>
      </c>
      <c r="T1184" t="s">
        <v>46</v>
      </c>
      <c r="U1184">
        <v>4</v>
      </c>
      <c r="V1184" t="s">
        <v>31</v>
      </c>
    </row>
    <row r="1185" spans="1:21" x14ac:dyDescent="0.25">
      <c r="A1185" s="1">
        <v>46205</v>
      </c>
      <c r="B1185" t="s">
        <v>1380</v>
      </c>
      <c r="C1185" t="s">
        <v>150</v>
      </c>
      <c r="D1185" t="s">
        <v>113</v>
      </c>
      <c r="E1185" t="s">
        <v>50</v>
      </c>
      <c r="F1185" t="s">
        <v>26</v>
      </c>
      <c r="G1185" t="s">
        <v>37</v>
      </c>
      <c r="H1185" t="s">
        <v>104</v>
      </c>
      <c r="I1185" t="s">
        <v>92</v>
      </c>
      <c r="J1185" s="2">
        <v>7</v>
      </c>
      <c r="K1185" s="3">
        <v>320.52</v>
      </c>
      <c r="L1185" s="3">
        <v>135.03</v>
      </c>
      <c r="M1185" s="4">
        <v>2.8E-3</v>
      </c>
      <c r="N1185" s="3">
        <f t="shared" si="90"/>
        <v>2243.64</v>
      </c>
      <c r="O1185" s="3">
        <f t="shared" si="91"/>
        <v>2237.36</v>
      </c>
      <c r="P1185" s="3">
        <f t="shared" si="92"/>
        <v>945.21</v>
      </c>
      <c r="Q1185" s="3">
        <f t="shared" si="93"/>
        <v>1292.1500000000001</v>
      </c>
      <c r="R1185" s="4">
        <f t="shared" si="94"/>
        <v>0.57750000000000001</v>
      </c>
      <c r="S1185" s="2">
        <v>5</v>
      </c>
      <c r="T1185" t="s">
        <v>46</v>
      </c>
      <c r="U1185">
        <v>2</v>
      </c>
    </row>
    <row r="1186" spans="1:21" x14ac:dyDescent="0.25">
      <c r="A1186" s="1">
        <v>46054</v>
      </c>
      <c r="B1186" t="s">
        <v>1381</v>
      </c>
      <c r="C1186" t="s">
        <v>266</v>
      </c>
      <c r="D1186" t="s">
        <v>207</v>
      </c>
      <c r="E1186" t="s">
        <v>35</v>
      </c>
      <c r="F1186" t="s">
        <v>26</v>
      </c>
      <c r="G1186" t="s">
        <v>37</v>
      </c>
      <c r="H1186" t="s">
        <v>104</v>
      </c>
      <c r="I1186" t="s">
        <v>60</v>
      </c>
      <c r="J1186" s="2">
        <v>6</v>
      </c>
      <c r="K1186" s="3">
        <v>308.95999999999998</v>
      </c>
      <c r="L1186" s="3">
        <v>136.16</v>
      </c>
      <c r="M1186" s="4">
        <v>0</v>
      </c>
      <c r="N1186" s="3">
        <f t="shared" si="90"/>
        <v>1853.76</v>
      </c>
      <c r="O1186" s="3">
        <f t="shared" si="91"/>
        <v>1853.76</v>
      </c>
      <c r="P1186" s="3">
        <f t="shared" si="92"/>
        <v>816.96</v>
      </c>
      <c r="Q1186" s="3">
        <f t="shared" si="93"/>
        <v>1036.8</v>
      </c>
      <c r="R1186" s="4">
        <f t="shared" si="94"/>
        <v>0.55930000000000002</v>
      </c>
      <c r="S1186" s="2">
        <v>5</v>
      </c>
      <c r="T1186" t="s">
        <v>46</v>
      </c>
      <c r="U1186">
        <v>2</v>
      </c>
    </row>
    <row r="1187" spans="1:21" x14ac:dyDescent="0.25">
      <c r="A1187" s="1">
        <v>46210</v>
      </c>
      <c r="B1187" t="s">
        <v>1382</v>
      </c>
      <c r="C1187" t="s">
        <v>288</v>
      </c>
      <c r="D1187" t="s">
        <v>56</v>
      </c>
      <c r="E1187" t="s">
        <v>57</v>
      </c>
      <c r="F1187" t="s">
        <v>58</v>
      </c>
      <c r="G1187" t="s">
        <v>27</v>
      </c>
      <c r="H1187" t="s">
        <v>68</v>
      </c>
      <c r="I1187" t="s">
        <v>65</v>
      </c>
      <c r="J1187" s="2">
        <v>4</v>
      </c>
      <c r="K1187" s="3">
        <v>1219.1600000000001</v>
      </c>
      <c r="L1187" s="3">
        <v>797.62</v>
      </c>
      <c r="M1187" s="4">
        <v>5.3100000000000001E-2</v>
      </c>
      <c r="N1187" s="3">
        <f t="shared" si="90"/>
        <v>4876.6400000000003</v>
      </c>
      <c r="O1187" s="3">
        <f t="shared" si="91"/>
        <v>4617.6899999999996</v>
      </c>
      <c r="P1187" s="3">
        <f t="shared" si="92"/>
        <v>3190.48</v>
      </c>
      <c r="Q1187" s="3">
        <f t="shared" si="93"/>
        <v>1427.21</v>
      </c>
      <c r="R1187" s="4">
        <f t="shared" si="94"/>
        <v>0.30909999999999999</v>
      </c>
      <c r="S1187" s="2">
        <v>2</v>
      </c>
      <c r="T1187" t="s">
        <v>46</v>
      </c>
      <c r="U1187">
        <v>5</v>
      </c>
    </row>
    <row r="1188" spans="1:21" x14ac:dyDescent="0.25">
      <c r="A1188" s="1">
        <v>46189</v>
      </c>
      <c r="B1188" t="s">
        <v>1383</v>
      </c>
      <c r="C1188" t="s">
        <v>159</v>
      </c>
      <c r="D1188" t="s">
        <v>130</v>
      </c>
      <c r="E1188" t="s">
        <v>72</v>
      </c>
      <c r="F1188" t="s">
        <v>64</v>
      </c>
      <c r="G1188" t="s">
        <v>37</v>
      </c>
      <c r="H1188" t="s">
        <v>104</v>
      </c>
      <c r="I1188" t="s">
        <v>39</v>
      </c>
      <c r="J1188" s="2">
        <v>7</v>
      </c>
      <c r="K1188" s="3">
        <v>323.19</v>
      </c>
      <c r="L1188" s="3">
        <v>136.53</v>
      </c>
      <c r="M1188" s="4">
        <v>0</v>
      </c>
      <c r="N1188" s="3">
        <f t="shared" si="90"/>
        <v>2262.33</v>
      </c>
      <c r="O1188" s="3">
        <f t="shared" si="91"/>
        <v>2262.33</v>
      </c>
      <c r="P1188" s="3">
        <f t="shared" si="92"/>
        <v>955.71</v>
      </c>
      <c r="Q1188" s="3">
        <f t="shared" si="93"/>
        <v>1306.6199999999999</v>
      </c>
      <c r="R1188" s="4">
        <f t="shared" si="94"/>
        <v>0.5776</v>
      </c>
      <c r="S1188" s="2">
        <v>14</v>
      </c>
      <c r="T1188" t="s">
        <v>30</v>
      </c>
      <c r="U1188">
        <v>4</v>
      </c>
    </row>
    <row r="1189" spans="1:21" x14ac:dyDescent="0.25">
      <c r="A1189" s="1">
        <v>46226</v>
      </c>
      <c r="B1189" t="s">
        <v>1384</v>
      </c>
      <c r="C1189" t="s">
        <v>358</v>
      </c>
      <c r="D1189" t="s">
        <v>24</v>
      </c>
      <c r="E1189" t="s">
        <v>25</v>
      </c>
      <c r="F1189" t="s">
        <v>26</v>
      </c>
      <c r="G1189" t="s">
        <v>37</v>
      </c>
      <c r="H1189" t="s">
        <v>178</v>
      </c>
      <c r="I1189" t="s">
        <v>94</v>
      </c>
      <c r="J1189" s="2">
        <v>4</v>
      </c>
      <c r="K1189" s="3">
        <v>517.01</v>
      </c>
      <c r="L1189" s="3">
        <v>248.38</v>
      </c>
      <c r="M1189" s="4">
        <v>8.6499999999999994E-2</v>
      </c>
      <c r="N1189" s="3">
        <f t="shared" si="90"/>
        <v>2068.04</v>
      </c>
      <c r="O1189" s="3">
        <f t="shared" si="91"/>
        <v>1889.15</v>
      </c>
      <c r="P1189" s="3">
        <f t="shared" si="92"/>
        <v>993.52</v>
      </c>
      <c r="Q1189" s="3">
        <f t="shared" si="93"/>
        <v>895.63</v>
      </c>
      <c r="R1189" s="4">
        <f t="shared" si="94"/>
        <v>0.47410000000000002</v>
      </c>
      <c r="S1189" s="2">
        <v>7</v>
      </c>
      <c r="T1189" t="s">
        <v>46</v>
      </c>
      <c r="U1189">
        <v>4</v>
      </c>
    </row>
    <row r="1190" spans="1:21" x14ac:dyDescent="0.25">
      <c r="A1190" s="1">
        <v>46232</v>
      </c>
      <c r="B1190" t="s">
        <v>1385</v>
      </c>
      <c r="C1190" t="s">
        <v>251</v>
      </c>
      <c r="D1190" t="s">
        <v>24</v>
      </c>
      <c r="E1190" t="s">
        <v>25</v>
      </c>
      <c r="F1190" t="s">
        <v>64</v>
      </c>
      <c r="G1190" t="s">
        <v>37</v>
      </c>
      <c r="H1190" t="s">
        <v>104</v>
      </c>
      <c r="I1190" t="s">
        <v>53</v>
      </c>
      <c r="J1190" s="2">
        <v>6</v>
      </c>
      <c r="K1190" s="3">
        <v>319.08999999999997</v>
      </c>
      <c r="L1190" s="3">
        <v>140.38</v>
      </c>
      <c r="M1190" s="4">
        <v>1.5599999999999999E-2</v>
      </c>
      <c r="N1190" s="3">
        <f t="shared" si="90"/>
        <v>1914.54</v>
      </c>
      <c r="O1190" s="3">
        <f t="shared" si="91"/>
        <v>1884.67</v>
      </c>
      <c r="P1190" s="3">
        <f t="shared" si="92"/>
        <v>842.28</v>
      </c>
      <c r="Q1190" s="3">
        <f t="shared" si="93"/>
        <v>1042.3900000000001</v>
      </c>
      <c r="R1190" s="4">
        <f t="shared" si="94"/>
        <v>0.55310000000000004</v>
      </c>
      <c r="S1190" s="2">
        <v>7</v>
      </c>
      <c r="T1190" t="s">
        <v>46</v>
      </c>
      <c r="U1190">
        <v>2</v>
      </c>
    </row>
    <row r="1191" spans="1:21" x14ac:dyDescent="0.25">
      <c r="A1191" s="1">
        <v>46189</v>
      </c>
      <c r="B1191" t="s">
        <v>1386</v>
      </c>
      <c r="C1191" t="s">
        <v>79</v>
      </c>
      <c r="D1191" t="s">
        <v>34</v>
      </c>
      <c r="E1191" t="s">
        <v>35</v>
      </c>
      <c r="F1191" t="s">
        <v>64</v>
      </c>
      <c r="G1191" t="s">
        <v>44</v>
      </c>
      <c r="H1191" t="s">
        <v>124</v>
      </c>
      <c r="I1191" t="s">
        <v>65</v>
      </c>
      <c r="J1191" s="2">
        <v>3</v>
      </c>
      <c r="K1191" s="3">
        <v>5674.61</v>
      </c>
      <c r="L1191" s="3">
        <v>4476.49</v>
      </c>
      <c r="M1191" s="4">
        <v>8.0299999999999996E-2</v>
      </c>
      <c r="N1191" s="3">
        <f t="shared" si="90"/>
        <v>17023.830000000002</v>
      </c>
      <c r="O1191" s="3">
        <f t="shared" si="91"/>
        <v>15656.82</v>
      </c>
      <c r="P1191" s="3">
        <f t="shared" si="92"/>
        <v>13429.47</v>
      </c>
      <c r="Q1191" s="3">
        <f t="shared" si="93"/>
        <v>2227.35</v>
      </c>
      <c r="R1191" s="4">
        <f t="shared" si="94"/>
        <v>0.14230000000000001</v>
      </c>
      <c r="S1191" s="2">
        <v>9</v>
      </c>
      <c r="T1191" t="s">
        <v>46</v>
      </c>
      <c r="U1191">
        <v>5</v>
      </c>
    </row>
    <row r="1192" spans="1:21" x14ac:dyDescent="0.25">
      <c r="A1192" s="1">
        <v>46138</v>
      </c>
      <c r="B1192" t="s">
        <v>710</v>
      </c>
      <c r="C1192" t="s">
        <v>170</v>
      </c>
      <c r="D1192" t="s">
        <v>97</v>
      </c>
      <c r="E1192" t="s">
        <v>57</v>
      </c>
      <c r="F1192" t="s">
        <v>26</v>
      </c>
      <c r="G1192" t="s">
        <v>27</v>
      </c>
      <c r="H1192" t="s">
        <v>86</v>
      </c>
      <c r="I1192" t="s">
        <v>65</v>
      </c>
      <c r="J1192" s="2">
        <v>1</v>
      </c>
      <c r="K1192" s="3">
        <v>1794.91</v>
      </c>
      <c r="L1192" s="3">
        <v>1244.5899999999999</v>
      </c>
      <c r="M1192" s="4">
        <v>9.2799999999999994E-2</v>
      </c>
      <c r="N1192" s="3">
        <f t="shared" si="90"/>
        <v>1794.91</v>
      </c>
      <c r="O1192" s="3">
        <f t="shared" si="91"/>
        <v>1628.34</v>
      </c>
      <c r="P1192" s="3">
        <f t="shared" si="92"/>
        <v>1244.5899999999999</v>
      </c>
      <c r="Q1192" s="3">
        <f t="shared" si="93"/>
        <v>383.75</v>
      </c>
      <c r="R1192" s="4">
        <f t="shared" si="94"/>
        <v>0.23569999999999999</v>
      </c>
      <c r="S1192" s="2">
        <v>2</v>
      </c>
      <c r="T1192" t="s">
        <v>46</v>
      </c>
      <c r="U1192">
        <v>2</v>
      </c>
    </row>
    <row r="1193" spans="1:21" x14ac:dyDescent="0.25">
      <c r="A1193" s="1">
        <v>46175</v>
      </c>
      <c r="B1193" t="s">
        <v>1387</v>
      </c>
      <c r="C1193" t="s">
        <v>349</v>
      </c>
      <c r="D1193" t="s">
        <v>126</v>
      </c>
      <c r="E1193" t="s">
        <v>57</v>
      </c>
      <c r="F1193" t="s">
        <v>58</v>
      </c>
      <c r="G1193" t="s">
        <v>44</v>
      </c>
      <c r="H1193" t="s">
        <v>124</v>
      </c>
      <c r="I1193" t="s">
        <v>87</v>
      </c>
      <c r="J1193" s="2">
        <v>6</v>
      </c>
      <c r="K1193" s="3">
        <v>5925.75</v>
      </c>
      <c r="L1193" s="3">
        <v>4363.55</v>
      </c>
      <c r="M1193" s="4">
        <v>9.8199999999999996E-2</v>
      </c>
      <c r="N1193" s="3">
        <f t="shared" si="90"/>
        <v>35554.5</v>
      </c>
      <c r="O1193" s="3">
        <f t="shared" si="91"/>
        <v>32063.05</v>
      </c>
      <c r="P1193" s="3">
        <f t="shared" si="92"/>
        <v>26181.3</v>
      </c>
      <c r="Q1193" s="3">
        <f t="shared" si="93"/>
        <v>5881.75</v>
      </c>
      <c r="R1193" s="4">
        <f t="shared" si="94"/>
        <v>0.18340000000000001</v>
      </c>
      <c r="S1193" s="2">
        <v>12</v>
      </c>
      <c r="T1193" t="s">
        <v>30</v>
      </c>
      <c r="U1193">
        <v>4</v>
      </c>
    </row>
    <row r="1194" spans="1:21" x14ac:dyDescent="0.25">
      <c r="A1194" s="1">
        <v>46087</v>
      </c>
      <c r="B1194" t="s">
        <v>1388</v>
      </c>
      <c r="C1194" t="s">
        <v>148</v>
      </c>
      <c r="D1194" t="s">
        <v>49</v>
      </c>
      <c r="E1194" t="s">
        <v>50</v>
      </c>
      <c r="F1194" t="s">
        <v>64</v>
      </c>
      <c r="G1194" t="s">
        <v>44</v>
      </c>
      <c r="H1194" t="s">
        <v>124</v>
      </c>
      <c r="I1194" t="s">
        <v>53</v>
      </c>
      <c r="J1194" s="2">
        <v>2</v>
      </c>
      <c r="K1194" s="3">
        <v>5983.09</v>
      </c>
      <c r="L1194" s="3">
        <v>4358.12</v>
      </c>
      <c r="M1194" s="4">
        <v>9.4899999999999998E-2</v>
      </c>
      <c r="N1194" s="3">
        <f t="shared" si="90"/>
        <v>11966.18</v>
      </c>
      <c r="O1194" s="3">
        <f t="shared" si="91"/>
        <v>10830.59</v>
      </c>
      <c r="P1194" s="3">
        <f t="shared" si="92"/>
        <v>8716.24</v>
      </c>
      <c r="Q1194" s="3">
        <f t="shared" si="93"/>
        <v>2114.35</v>
      </c>
      <c r="R1194" s="4">
        <f t="shared" si="94"/>
        <v>0.19520000000000001</v>
      </c>
      <c r="S1194" s="2">
        <v>7</v>
      </c>
      <c r="T1194" t="s">
        <v>46</v>
      </c>
      <c r="U1194">
        <v>4</v>
      </c>
    </row>
    <row r="1195" spans="1:21" x14ac:dyDescent="0.25">
      <c r="A1195" s="1">
        <v>46086</v>
      </c>
      <c r="B1195" t="s">
        <v>1389</v>
      </c>
      <c r="C1195" t="s">
        <v>527</v>
      </c>
      <c r="D1195" t="s">
        <v>56</v>
      </c>
      <c r="E1195" t="s">
        <v>57</v>
      </c>
      <c r="F1195" t="s">
        <v>26</v>
      </c>
      <c r="G1195" t="s">
        <v>27</v>
      </c>
      <c r="H1195" t="s">
        <v>28</v>
      </c>
      <c r="I1195" t="s">
        <v>74</v>
      </c>
      <c r="J1195" s="2">
        <v>2</v>
      </c>
      <c r="K1195" s="3">
        <v>744.04</v>
      </c>
      <c r="L1195" s="3">
        <v>438.15</v>
      </c>
      <c r="M1195" s="4">
        <v>0</v>
      </c>
      <c r="N1195" s="3">
        <f t="shared" si="90"/>
        <v>1488.08</v>
      </c>
      <c r="O1195" s="3">
        <f t="shared" si="91"/>
        <v>1488.08</v>
      </c>
      <c r="P1195" s="3">
        <f t="shared" si="92"/>
        <v>876.3</v>
      </c>
      <c r="Q1195" s="3">
        <f t="shared" si="93"/>
        <v>611.78</v>
      </c>
      <c r="R1195" s="4">
        <f t="shared" si="94"/>
        <v>0.41110000000000002</v>
      </c>
      <c r="S1195" s="2">
        <v>14</v>
      </c>
      <c r="T1195" t="s">
        <v>30</v>
      </c>
      <c r="U1195">
        <v>4</v>
      </c>
    </row>
    <row r="1196" spans="1:21" x14ac:dyDescent="0.25">
      <c r="A1196" s="1">
        <v>46115</v>
      </c>
      <c r="B1196" t="s">
        <v>1390</v>
      </c>
      <c r="C1196" t="s">
        <v>134</v>
      </c>
      <c r="D1196" t="s">
        <v>49</v>
      </c>
      <c r="E1196" t="s">
        <v>50</v>
      </c>
      <c r="F1196" t="s">
        <v>36</v>
      </c>
      <c r="G1196" t="s">
        <v>51</v>
      </c>
      <c r="H1196" t="s">
        <v>59</v>
      </c>
      <c r="I1196" t="s">
        <v>87</v>
      </c>
      <c r="J1196" s="2">
        <v>6</v>
      </c>
      <c r="K1196" s="3">
        <v>2250.8200000000002</v>
      </c>
      <c r="L1196" s="3">
        <v>1354.89</v>
      </c>
      <c r="M1196" s="4">
        <v>0</v>
      </c>
      <c r="N1196" s="3">
        <f t="shared" si="90"/>
        <v>13504.92</v>
      </c>
      <c r="O1196" s="3">
        <f t="shared" si="91"/>
        <v>13504.92</v>
      </c>
      <c r="P1196" s="3">
        <f t="shared" si="92"/>
        <v>8129.34</v>
      </c>
      <c r="Q1196" s="3">
        <f t="shared" si="93"/>
        <v>5375.58</v>
      </c>
      <c r="R1196" s="4">
        <f t="shared" si="94"/>
        <v>0.39800000000000002</v>
      </c>
      <c r="S1196" s="2">
        <v>13</v>
      </c>
      <c r="T1196" t="s">
        <v>30</v>
      </c>
      <c r="U1196">
        <v>5</v>
      </c>
    </row>
    <row r="1197" spans="1:21" x14ac:dyDescent="0.25">
      <c r="A1197" s="1">
        <v>46055</v>
      </c>
      <c r="B1197" t="s">
        <v>1391</v>
      </c>
      <c r="C1197" t="s">
        <v>447</v>
      </c>
      <c r="D1197" t="s">
        <v>101</v>
      </c>
      <c r="E1197" t="s">
        <v>35</v>
      </c>
      <c r="F1197" t="s">
        <v>36</v>
      </c>
      <c r="G1197" t="s">
        <v>44</v>
      </c>
      <c r="H1197" t="s">
        <v>73</v>
      </c>
      <c r="I1197" t="s">
        <v>94</v>
      </c>
      <c r="J1197" s="2">
        <v>4</v>
      </c>
      <c r="K1197" s="3">
        <v>1688.21</v>
      </c>
      <c r="L1197" s="3">
        <v>1071.1600000000001</v>
      </c>
      <c r="M1197" s="4">
        <v>1.18E-2</v>
      </c>
      <c r="N1197" s="3">
        <f t="shared" si="90"/>
        <v>6752.84</v>
      </c>
      <c r="O1197" s="3">
        <f t="shared" si="91"/>
        <v>6673.16</v>
      </c>
      <c r="P1197" s="3">
        <f t="shared" si="92"/>
        <v>4284.6400000000003</v>
      </c>
      <c r="Q1197" s="3">
        <f t="shared" si="93"/>
        <v>2388.52</v>
      </c>
      <c r="R1197" s="4">
        <f t="shared" si="94"/>
        <v>0.3579</v>
      </c>
      <c r="S1197" s="2">
        <v>5</v>
      </c>
      <c r="T1197" t="s">
        <v>46</v>
      </c>
      <c r="U1197">
        <v>3</v>
      </c>
    </row>
    <row r="1198" spans="1:21" x14ac:dyDescent="0.25">
      <c r="A1198" s="1">
        <v>46181</v>
      </c>
      <c r="B1198" t="s">
        <v>1392</v>
      </c>
      <c r="C1198" t="s">
        <v>243</v>
      </c>
      <c r="D1198" t="s">
        <v>56</v>
      </c>
      <c r="E1198" t="s">
        <v>57</v>
      </c>
      <c r="F1198" t="s">
        <v>58</v>
      </c>
      <c r="G1198" t="s">
        <v>37</v>
      </c>
      <c r="H1198" t="s">
        <v>178</v>
      </c>
      <c r="I1198" t="s">
        <v>29</v>
      </c>
      <c r="J1198" s="2">
        <v>4</v>
      </c>
      <c r="K1198" s="3">
        <v>494.5</v>
      </c>
      <c r="L1198" s="3">
        <v>237.61</v>
      </c>
      <c r="M1198" s="4">
        <v>3.5000000000000003E-2</v>
      </c>
      <c r="N1198" s="3">
        <f t="shared" si="90"/>
        <v>1978</v>
      </c>
      <c r="O1198" s="3">
        <f t="shared" si="91"/>
        <v>1908.77</v>
      </c>
      <c r="P1198" s="3">
        <f t="shared" si="92"/>
        <v>950.44</v>
      </c>
      <c r="Q1198" s="3">
        <f t="shared" si="93"/>
        <v>958.33</v>
      </c>
      <c r="R1198" s="4">
        <f t="shared" si="94"/>
        <v>0.50209999999999999</v>
      </c>
      <c r="S1198" s="2">
        <v>13</v>
      </c>
      <c r="T1198" t="s">
        <v>30</v>
      </c>
      <c r="U1198">
        <v>5</v>
      </c>
    </row>
    <row r="1199" spans="1:21" x14ac:dyDescent="0.25">
      <c r="A1199" s="1">
        <v>46146</v>
      </c>
      <c r="B1199" t="s">
        <v>1393</v>
      </c>
      <c r="C1199" t="s">
        <v>89</v>
      </c>
      <c r="D1199" t="s">
        <v>130</v>
      </c>
      <c r="E1199" t="s">
        <v>72</v>
      </c>
      <c r="F1199" t="s">
        <v>26</v>
      </c>
      <c r="G1199" t="s">
        <v>51</v>
      </c>
      <c r="H1199" t="s">
        <v>52</v>
      </c>
      <c r="I1199" t="s">
        <v>77</v>
      </c>
      <c r="J1199" s="2">
        <v>3</v>
      </c>
      <c r="K1199" s="3">
        <v>249.68</v>
      </c>
      <c r="L1199" s="3">
        <v>125.81</v>
      </c>
      <c r="M1199" s="4">
        <v>2.29E-2</v>
      </c>
      <c r="N1199" s="3">
        <f t="shared" si="90"/>
        <v>749.04</v>
      </c>
      <c r="O1199" s="3">
        <f t="shared" si="91"/>
        <v>731.89</v>
      </c>
      <c r="P1199" s="3">
        <f t="shared" si="92"/>
        <v>377.43</v>
      </c>
      <c r="Q1199" s="3">
        <f t="shared" si="93"/>
        <v>354.46</v>
      </c>
      <c r="R1199" s="4">
        <f t="shared" si="94"/>
        <v>0.48430000000000001</v>
      </c>
      <c r="S1199" s="2">
        <v>10</v>
      </c>
      <c r="T1199" t="s">
        <v>46</v>
      </c>
      <c r="U1199">
        <v>3</v>
      </c>
    </row>
    <row r="1200" spans="1:21" x14ac:dyDescent="0.25">
      <c r="A1200" s="1">
        <v>46045</v>
      </c>
      <c r="B1200" t="s">
        <v>1394</v>
      </c>
      <c r="C1200" t="s">
        <v>136</v>
      </c>
      <c r="D1200" t="s">
        <v>126</v>
      </c>
      <c r="E1200" t="s">
        <v>57</v>
      </c>
      <c r="F1200" t="s">
        <v>36</v>
      </c>
      <c r="G1200" t="s">
        <v>37</v>
      </c>
      <c r="H1200" t="s">
        <v>104</v>
      </c>
      <c r="I1200" t="s">
        <v>53</v>
      </c>
      <c r="J1200" s="2">
        <v>1</v>
      </c>
      <c r="K1200" s="3">
        <v>332.08</v>
      </c>
      <c r="L1200" s="3">
        <v>138.71</v>
      </c>
      <c r="M1200" s="4">
        <v>7.0199999999999999E-2</v>
      </c>
      <c r="N1200" s="3">
        <f t="shared" si="90"/>
        <v>332.08</v>
      </c>
      <c r="O1200" s="3">
        <f t="shared" si="91"/>
        <v>308.77</v>
      </c>
      <c r="P1200" s="3">
        <f t="shared" si="92"/>
        <v>138.71</v>
      </c>
      <c r="Q1200" s="3">
        <f t="shared" si="93"/>
        <v>170.06</v>
      </c>
      <c r="R1200" s="4">
        <f t="shared" si="94"/>
        <v>0.55079999999999996</v>
      </c>
      <c r="S1200" s="2">
        <v>10</v>
      </c>
      <c r="T1200" t="s">
        <v>46</v>
      </c>
      <c r="U1200">
        <v>4</v>
      </c>
    </row>
    <row r="1201" spans="1:21" x14ac:dyDescent="0.25">
      <c r="A1201" s="1">
        <v>46058</v>
      </c>
      <c r="B1201" t="s">
        <v>1395</v>
      </c>
      <c r="C1201" t="s">
        <v>590</v>
      </c>
      <c r="D1201" t="s">
        <v>130</v>
      </c>
      <c r="E1201" t="s">
        <v>72</v>
      </c>
      <c r="F1201" t="s">
        <v>26</v>
      </c>
      <c r="G1201" t="s">
        <v>27</v>
      </c>
      <c r="H1201" t="s">
        <v>86</v>
      </c>
      <c r="I1201" t="s">
        <v>92</v>
      </c>
      <c r="J1201" s="2">
        <v>1</v>
      </c>
      <c r="K1201" s="3">
        <v>1969.44</v>
      </c>
      <c r="L1201" s="3">
        <v>1230.8900000000001</v>
      </c>
      <c r="M1201" s="4">
        <v>0</v>
      </c>
      <c r="N1201" s="3">
        <f t="shared" si="90"/>
        <v>1969.44</v>
      </c>
      <c r="O1201" s="3">
        <f t="shared" si="91"/>
        <v>1969.44</v>
      </c>
      <c r="P1201" s="3">
        <f t="shared" si="92"/>
        <v>1230.8900000000001</v>
      </c>
      <c r="Q1201" s="3">
        <f t="shared" si="93"/>
        <v>738.55</v>
      </c>
      <c r="R1201" s="4">
        <f t="shared" si="94"/>
        <v>0.375</v>
      </c>
      <c r="S1201" s="2">
        <v>5</v>
      </c>
      <c r="T1201" t="s">
        <v>46</v>
      </c>
      <c r="U1201">
        <v>3</v>
      </c>
    </row>
    <row r="1202" spans="1:21" x14ac:dyDescent="0.25">
      <c r="A1202" s="1">
        <v>46084</v>
      </c>
      <c r="B1202" t="s">
        <v>1396</v>
      </c>
      <c r="C1202" t="s">
        <v>275</v>
      </c>
      <c r="D1202" t="s">
        <v>97</v>
      </c>
      <c r="E1202" t="s">
        <v>57</v>
      </c>
      <c r="F1202" t="s">
        <v>26</v>
      </c>
      <c r="G1202" t="s">
        <v>44</v>
      </c>
      <c r="H1202" t="s">
        <v>73</v>
      </c>
      <c r="I1202" t="s">
        <v>74</v>
      </c>
      <c r="J1202" s="2">
        <v>4</v>
      </c>
      <c r="K1202" s="3">
        <v>1733.86</v>
      </c>
      <c r="L1202" s="3">
        <v>1067.99</v>
      </c>
      <c r="M1202" s="4">
        <v>8.5800000000000001E-2</v>
      </c>
      <c r="N1202" s="3">
        <f t="shared" si="90"/>
        <v>6935.44</v>
      </c>
      <c r="O1202" s="3">
        <f t="shared" si="91"/>
        <v>6340.38</v>
      </c>
      <c r="P1202" s="3">
        <f t="shared" si="92"/>
        <v>4271.96</v>
      </c>
      <c r="Q1202" s="3">
        <f t="shared" si="93"/>
        <v>2068.42</v>
      </c>
      <c r="R1202" s="4">
        <f t="shared" si="94"/>
        <v>0.32619999999999999</v>
      </c>
      <c r="S1202" s="2">
        <v>14</v>
      </c>
      <c r="T1202" t="s">
        <v>30</v>
      </c>
      <c r="U1202">
        <v>3</v>
      </c>
    </row>
    <row r="1203" spans="1:21" x14ac:dyDescent="0.25">
      <c r="A1203" s="1">
        <v>46156</v>
      </c>
      <c r="B1203" t="s">
        <v>1397</v>
      </c>
      <c r="C1203" t="s">
        <v>687</v>
      </c>
      <c r="D1203" t="s">
        <v>24</v>
      </c>
      <c r="E1203" t="s">
        <v>25</v>
      </c>
      <c r="F1203" t="s">
        <v>26</v>
      </c>
      <c r="G1203" t="s">
        <v>27</v>
      </c>
      <c r="H1203" t="s">
        <v>68</v>
      </c>
      <c r="I1203" t="s">
        <v>60</v>
      </c>
      <c r="J1203" s="2">
        <v>1</v>
      </c>
      <c r="K1203" s="3">
        <v>1363.5</v>
      </c>
      <c r="L1203" s="3">
        <v>820.5</v>
      </c>
      <c r="M1203" s="4">
        <v>6.8199999999999997E-2</v>
      </c>
      <c r="N1203" s="3">
        <f t="shared" si="90"/>
        <v>1363.5</v>
      </c>
      <c r="O1203" s="3">
        <f t="shared" si="91"/>
        <v>1270.51</v>
      </c>
      <c r="P1203" s="3">
        <f t="shared" si="92"/>
        <v>820.5</v>
      </c>
      <c r="Q1203" s="3">
        <f t="shared" si="93"/>
        <v>450.01</v>
      </c>
      <c r="R1203" s="4">
        <f t="shared" si="94"/>
        <v>0.35420000000000001</v>
      </c>
      <c r="S1203" s="2">
        <v>2</v>
      </c>
      <c r="T1203" t="s">
        <v>46</v>
      </c>
      <c r="U1203">
        <v>4</v>
      </c>
    </row>
    <row r="1204" spans="1:21" x14ac:dyDescent="0.25">
      <c r="A1204" s="1">
        <v>46154</v>
      </c>
      <c r="B1204" t="s">
        <v>1398</v>
      </c>
      <c r="C1204" t="s">
        <v>401</v>
      </c>
      <c r="D1204" t="s">
        <v>24</v>
      </c>
      <c r="E1204" t="s">
        <v>25</v>
      </c>
      <c r="F1204" t="s">
        <v>26</v>
      </c>
      <c r="G1204" t="s">
        <v>44</v>
      </c>
      <c r="H1204" t="s">
        <v>45</v>
      </c>
      <c r="I1204" t="s">
        <v>74</v>
      </c>
      <c r="J1204" s="2">
        <v>2</v>
      </c>
      <c r="K1204" s="3">
        <v>386.35</v>
      </c>
      <c r="L1204" s="3">
        <v>210.96</v>
      </c>
      <c r="M1204" s="4">
        <v>6.08E-2</v>
      </c>
      <c r="N1204" s="3">
        <f t="shared" si="90"/>
        <v>772.7</v>
      </c>
      <c r="O1204" s="3">
        <f t="shared" si="91"/>
        <v>725.72</v>
      </c>
      <c r="P1204" s="3">
        <f t="shared" si="92"/>
        <v>421.92</v>
      </c>
      <c r="Q1204" s="3">
        <f t="shared" si="93"/>
        <v>303.8</v>
      </c>
      <c r="R1204" s="4">
        <f t="shared" si="94"/>
        <v>0.41860000000000003</v>
      </c>
      <c r="S1204" s="2">
        <v>14</v>
      </c>
      <c r="T1204" t="s">
        <v>30</v>
      </c>
      <c r="U1204">
        <v>2</v>
      </c>
    </row>
    <row r="1205" spans="1:21" x14ac:dyDescent="0.25">
      <c r="A1205" s="1">
        <v>46127</v>
      </c>
      <c r="B1205" t="s">
        <v>1399</v>
      </c>
      <c r="C1205" t="s">
        <v>144</v>
      </c>
      <c r="D1205" t="s">
        <v>97</v>
      </c>
      <c r="E1205" t="s">
        <v>57</v>
      </c>
      <c r="F1205" t="s">
        <v>58</v>
      </c>
      <c r="G1205" t="s">
        <v>37</v>
      </c>
      <c r="H1205" t="s">
        <v>38</v>
      </c>
      <c r="I1205" t="s">
        <v>29</v>
      </c>
      <c r="J1205" s="2">
        <v>1</v>
      </c>
      <c r="K1205" s="3">
        <v>429.85</v>
      </c>
      <c r="L1205" s="3">
        <v>188.54</v>
      </c>
      <c r="M1205" s="4">
        <v>3.5000000000000003E-2</v>
      </c>
      <c r="N1205" s="3">
        <f t="shared" si="90"/>
        <v>429.85</v>
      </c>
      <c r="O1205" s="3">
        <f t="shared" si="91"/>
        <v>414.81</v>
      </c>
      <c r="P1205" s="3">
        <f t="shared" si="92"/>
        <v>188.54</v>
      </c>
      <c r="Q1205" s="3">
        <f t="shared" si="93"/>
        <v>226.27</v>
      </c>
      <c r="R1205" s="4">
        <f t="shared" si="94"/>
        <v>0.54549999999999998</v>
      </c>
      <c r="S1205" s="2">
        <v>13</v>
      </c>
      <c r="T1205" t="s">
        <v>30</v>
      </c>
      <c r="U1205">
        <v>5</v>
      </c>
    </row>
    <row r="1206" spans="1:21" x14ac:dyDescent="0.25">
      <c r="A1206" s="1">
        <v>46118</v>
      </c>
      <c r="B1206" t="s">
        <v>1400</v>
      </c>
      <c r="C1206" t="s">
        <v>70</v>
      </c>
      <c r="D1206" t="s">
        <v>139</v>
      </c>
      <c r="E1206" t="s">
        <v>72</v>
      </c>
      <c r="F1206" t="s">
        <v>36</v>
      </c>
      <c r="G1206" t="s">
        <v>27</v>
      </c>
      <c r="H1206" t="s">
        <v>86</v>
      </c>
      <c r="I1206" t="s">
        <v>29</v>
      </c>
      <c r="J1206" s="2">
        <v>5</v>
      </c>
      <c r="K1206" s="3">
        <v>1832.04</v>
      </c>
      <c r="L1206" s="3">
        <v>1199.58</v>
      </c>
      <c r="M1206" s="4">
        <v>2.4400000000000002E-2</v>
      </c>
      <c r="N1206" s="3">
        <f t="shared" si="90"/>
        <v>9160.2000000000007</v>
      </c>
      <c r="O1206" s="3">
        <f t="shared" si="91"/>
        <v>8936.69</v>
      </c>
      <c r="P1206" s="3">
        <f t="shared" si="92"/>
        <v>5997.9</v>
      </c>
      <c r="Q1206" s="3">
        <f t="shared" si="93"/>
        <v>2938.79</v>
      </c>
      <c r="R1206" s="4">
        <f t="shared" si="94"/>
        <v>0.32879999999999998</v>
      </c>
      <c r="S1206" s="2">
        <v>5</v>
      </c>
      <c r="T1206" t="s">
        <v>46</v>
      </c>
      <c r="U1206">
        <v>4</v>
      </c>
    </row>
    <row r="1207" spans="1:21" x14ac:dyDescent="0.25">
      <c r="A1207" s="1">
        <v>46110</v>
      </c>
      <c r="B1207" t="s">
        <v>1401</v>
      </c>
      <c r="C1207" t="s">
        <v>466</v>
      </c>
      <c r="D1207" t="s">
        <v>49</v>
      </c>
      <c r="E1207" t="s">
        <v>50</v>
      </c>
      <c r="F1207" t="s">
        <v>36</v>
      </c>
      <c r="G1207" t="s">
        <v>27</v>
      </c>
      <c r="H1207" t="s">
        <v>68</v>
      </c>
      <c r="I1207" t="s">
        <v>29</v>
      </c>
      <c r="J1207" s="2">
        <v>1</v>
      </c>
      <c r="K1207" s="3">
        <v>1346.03</v>
      </c>
      <c r="L1207" s="3">
        <v>796.39</v>
      </c>
      <c r="M1207" s="4">
        <v>5.8200000000000002E-2</v>
      </c>
      <c r="N1207" s="3">
        <f t="shared" si="90"/>
        <v>1346.03</v>
      </c>
      <c r="O1207" s="3">
        <f t="shared" si="91"/>
        <v>1267.69</v>
      </c>
      <c r="P1207" s="3">
        <f t="shared" si="92"/>
        <v>796.39</v>
      </c>
      <c r="Q1207" s="3">
        <f t="shared" si="93"/>
        <v>471.3</v>
      </c>
      <c r="R1207" s="4">
        <f t="shared" si="94"/>
        <v>0.37180000000000002</v>
      </c>
      <c r="S1207" s="2">
        <v>10</v>
      </c>
      <c r="T1207" t="s">
        <v>46</v>
      </c>
      <c r="U1207">
        <v>4</v>
      </c>
    </row>
    <row r="1208" spans="1:21" x14ac:dyDescent="0.25">
      <c r="A1208" s="1">
        <v>46071</v>
      </c>
      <c r="B1208" t="s">
        <v>1402</v>
      </c>
      <c r="C1208" t="s">
        <v>204</v>
      </c>
      <c r="D1208" t="s">
        <v>130</v>
      </c>
      <c r="E1208" t="s">
        <v>72</v>
      </c>
      <c r="F1208" t="s">
        <v>26</v>
      </c>
      <c r="G1208" t="s">
        <v>44</v>
      </c>
      <c r="H1208" t="s">
        <v>73</v>
      </c>
      <c r="I1208" t="s">
        <v>94</v>
      </c>
      <c r="J1208" s="2">
        <v>3</v>
      </c>
      <c r="K1208" s="3">
        <v>1665.99</v>
      </c>
      <c r="L1208" s="3">
        <v>1078.69</v>
      </c>
      <c r="M1208" s="4">
        <v>5.0500000000000003E-2</v>
      </c>
      <c r="N1208" s="3">
        <f t="shared" si="90"/>
        <v>4997.97</v>
      </c>
      <c r="O1208" s="3">
        <f t="shared" si="91"/>
        <v>4745.57</v>
      </c>
      <c r="P1208" s="3">
        <f t="shared" si="92"/>
        <v>3236.07</v>
      </c>
      <c r="Q1208" s="3">
        <f t="shared" si="93"/>
        <v>1509.5</v>
      </c>
      <c r="R1208" s="4">
        <f t="shared" si="94"/>
        <v>0.31809999999999999</v>
      </c>
      <c r="S1208" s="2">
        <v>11</v>
      </c>
      <c r="T1208" t="s">
        <v>30</v>
      </c>
      <c r="U1208">
        <v>5</v>
      </c>
    </row>
    <row r="1209" spans="1:21" x14ac:dyDescent="0.25">
      <c r="A1209" s="1">
        <v>46097</v>
      </c>
      <c r="B1209" t="s">
        <v>1403</v>
      </c>
      <c r="C1209" t="s">
        <v>284</v>
      </c>
      <c r="D1209" t="s">
        <v>207</v>
      </c>
      <c r="E1209" t="s">
        <v>35</v>
      </c>
      <c r="F1209" t="s">
        <v>58</v>
      </c>
      <c r="G1209" t="s">
        <v>51</v>
      </c>
      <c r="H1209" t="s">
        <v>52</v>
      </c>
      <c r="I1209" t="s">
        <v>53</v>
      </c>
      <c r="J1209" s="2">
        <v>1</v>
      </c>
      <c r="K1209" s="3">
        <v>270.32</v>
      </c>
      <c r="L1209" s="3">
        <v>120.05</v>
      </c>
      <c r="M1209" s="4">
        <v>0.1144</v>
      </c>
      <c r="N1209" s="3">
        <f t="shared" si="90"/>
        <v>270.32</v>
      </c>
      <c r="O1209" s="3">
        <f t="shared" si="91"/>
        <v>239.4</v>
      </c>
      <c r="P1209" s="3">
        <f t="shared" si="92"/>
        <v>120.05</v>
      </c>
      <c r="Q1209" s="3">
        <f t="shared" si="93"/>
        <v>119.35</v>
      </c>
      <c r="R1209" s="4">
        <f t="shared" si="94"/>
        <v>0.4985</v>
      </c>
      <c r="S1209" s="2">
        <v>11</v>
      </c>
      <c r="T1209" t="s">
        <v>30</v>
      </c>
      <c r="U1209">
        <v>2</v>
      </c>
    </row>
    <row r="1210" spans="1:21" x14ac:dyDescent="0.25">
      <c r="A1210" s="1">
        <v>46093</v>
      </c>
      <c r="B1210" t="s">
        <v>1404</v>
      </c>
      <c r="C1210" t="s">
        <v>349</v>
      </c>
      <c r="D1210" t="s">
        <v>97</v>
      </c>
      <c r="E1210" t="s">
        <v>57</v>
      </c>
      <c r="F1210" t="s">
        <v>36</v>
      </c>
      <c r="G1210" t="s">
        <v>51</v>
      </c>
      <c r="H1210" t="s">
        <v>116</v>
      </c>
      <c r="I1210" t="s">
        <v>94</v>
      </c>
      <c r="J1210" s="2">
        <v>8</v>
      </c>
      <c r="K1210" s="3">
        <v>2823.12</v>
      </c>
      <c r="L1210" s="3">
        <v>1838.23</v>
      </c>
      <c r="M1210" s="4">
        <v>0</v>
      </c>
      <c r="N1210" s="3">
        <f t="shared" si="90"/>
        <v>22584.959999999999</v>
      </c>
      <c r="O1210" s="3">
        <f t="shared" si="91"/>
        <v>22584.959999999999</v>
      </c>
      <c r="P1210" s="3">
        <f t="shared" si="92"/>
        <v>14705.84</v>
      </c>
      <c r="Q1210" s="3">
        <f t="shared" si="93"/>
        <v>7879.12</v>
      </c>
      <c r="R1210" s="4">
        <f t="shared" si="94"/>
        <v>0.34889999999999999</v>
      </c>
      <c r="S1210" s="2">
        <v>9</v>
      </c>
      <c r="T1210" t="s">
        <v>46</v>
      </c>
      <c r="U1210">
        <v>4</v>
      </c>
    </row>
    <row r="1211" spans="1:21" x14ac:dyDescent="0.25">
      <c r="A1211" s="1">
        <v>46042</v>
      </c>
      <c r="B1211" t="s">
        <v>1405</v>
      </c>
      <c r="C1211" t="s">
        <v>401</v>
      </c>
      <c r="D1211" t="s">
        <v>63</v>
      </c>
      <c r="E1211" t="s">
        <v>35</v>
      </c>
      <c r="F1211" t="s">
        <v>64</v>
      </c>
      <c r="G1211" t="s">
        <v>44</v>
      </c>
      <c r="H1211" t="s">
        <v>73</v>
      </c>
      <c r="I1211" t="s">
        <v>74</v>
      </c>
      <c r="J1211" s="2">
        <v>4</v>
      </c>
      <c r="K1211" s="3">
        <v>1738.28</v>
      </c>
      <c r="L1211" s="3">
        <v>1104.31</v>
      </c>
      <c r="M1211" s="4">
        <v>0</v>
      </c>
      <c r="N1211" s="3">
        <f t="shared" si="90"/>
        <v>6953.12</v>
      </c>
      <c r="O1211" s="3">
        <f t="shared" si="91"/>
        <v>6953.12</v>
      </c>
      <c r="P1211" s="3">
        <f t="shared" si="92"/>
        <v>4417.24</v>
      </c>
      <c r="Q1211" s="3">
        <f t="shared" si="93"/>
        <v>2535.88</v>
      </c>
      <c r="R1211" s="4">
        <f t="shared" si="94"/>
        <v>0.36470000000000002</v>
      </c>
      <c r="S1211" s="2">
        <v>11</v>
      </c>
      <c r="T1211" t="s">
        <v>30</v>
      </c>
      <c r="U1211">
        <v>2</v>
      </c>
    </row>
    <row r="1212" spans="1:21" x14ac:dyDescent="0.25">
      <c r="A1212" s="1">
        <v>46226</v>
      </c>
      <c r="B1212" t="s">
        <v>1406</v>
      </c>
      <c r="C1212" t="s">
        <v>349</v>
      </c>
      <c r="D1212" t="s">
        <v>49</v>
      </c>
      <c r="E1212" t="s">
        <v>50</v>
      </c>
      <c r="F1212" t="s">
        <v>58</v>
      </c>
      <c r="G1212" t="s">
        <v>51</v>
      </c>
      <c r="H1212" t="s">
        <v>52</v>
      </c>
      <c r="I1212" t="s">
        <v>74</v>
      </c>
      <c r="J1212" s="2">
        <v>8</v>
      </c>
      <c r="K1212" s="3">
        <v>263.2</v>
      </c>
      <c r="L1212" s="3">
        <v>117.98</v>
      </c>
      <c r="M1212" s="4">
        <v>5.3900000000000003E-2</v>
      </c>
      <c r="N1212" s="3">
        <f t="shared" si="90"/>
        <v>2105.6</v>
      </c>
      <c r="O1212" s="3">
        <f t="shared" si="91"/>
        <v>1992.11</v>
      </c>
      <c r="P1212" s="3">
        <f t="shared" si="92"/>
        <v>943.84</v>
      </c>
      <c r="Q1212" s="3">
        <f t="shared" si="93"/>
        <v>1048.27</v>
      </c>
      <c r="R1212" s="4">
        <f t="shared" si="94"/>
        <v>0.5262</v>
      </c>
      <c r="S1212" s="2">
        <v>13</v>
      </c>
      <c r="T1212" t="s">
        <v>30</v>
      </c>
      <c r="U1212">
        <v>2</v>
      </c>
    </row>
    <row r="1213" spans="1:21" x14ac:dyDescent="0.25">
      <c r="A1213" s="1">
        <v>46040</v>
      </c>
      <c r="B1213" t="s">
        <v>1407</v>
      </c>
      <c r="C1213" t="s">
        <v>253</v>
      </c>
      <c r="D1213" t="s">
        <v>34</v>
      </c>
      <c r="E1213" t="s">
        <v>35</v>
      </c>
      <c r="F1213" t="s">
        <v>36</v>
      </c>
      <c r="G1213" t="s">
        <v>27</v>
      </c>
      <c r="H1213" t="s">
        <v>68</v>
      </c>
      <c r="I1213" t="s">
        <v>65</v>
      </c>
      <c r="J1213" s="2">
        <v>6</v>
      </c>
      <c r="K1213" s="3">
        <v>1280.29</v>
      </c>
      <c r="L1213" s="3">
        <v>788.79</v>
      </c>
      <c r="M1213" s="4">
        <v>0</v>
      </c>
      <c r="N1213" s="3">
        <f t="shared" si="90"/>
        <v>7681.74</v>
      </c>
      <c r="O1213" s="3">
        <f t="shared" si="91"/>
        <v>7681.74</v>
      </c>
      <c r="P1213" s="3">
        <f t="shared" si="92"/>
        <v>4732.74</v>
      </c>
      <c r="Q1213" s="3">
        <f t="shared" si="93"/>
        <v>2949</v>
      </c>
      <c r="R1213" s="4">
        <f t="shared" si="94"/>
        <v>0.38390000000000002</v>
      </c>
      <c r="S1213" s="2">
        <v>4</v>
      </c>
      <c r="T1213" t="s">
        <v>46</v>
      </c>
      <c r="U1213">
        <v>5</v>
      </c>
    </row>
    <row r="1214" spans="1:21" x14ac:dyDescent="0.25">
      <c r="A1214" s="1">
        <v>46092</v>
      </c>
      <c r="B1214" t="s">
        <v>1408</v>
      </c>
      <c r="C1214" t="s">
        <v>433</v>
      </c>
      <c r="D1214" t="s">
        <v>97</v>
      </c>
      <c r="E1214" t="s">
        <v>57</v>
      </c>
      <c r="F1214" t="s">
        <v>58</v>
      </c>
      <c r="G1214" t="s">
        <v>44</v>
      </c>
      <c r="H1214" t="s">
        <v>124</v>
      </c>
      <c r="I1214" t="s">
        <v>60</v>
      </c>
      <c r="J1214" s="2">
        <v>7</v>
      </c>
      <c r="K1214" s="3">
        <v>5877.56</v>
      </c>
      <c r="L1214" s="3">
        <v>4387.67</v>
      </c>
      <c r="M1214" s="4">
        <v>3.5000000000000003E-2</v>
      </c>
      <c r="N1214" s="3">
        <f t="shared" si="90"/>
        <v>41142.92</v>
      </c>
      <c r="O1214" s="3">
        <f t="shared" si="91"/>
        <v>39702.92</v>
      </c>
      <c r="P1214" s="3">
        <f t="shared" si="92"/>
        <v>30713.69</v>
      </c>
      <c r="Q1214" s="3">
        <f t="shared" si="93"/>
        <v>8989.23</v>
      </c>
      <c r="R1214" s="4">
        <f t="shared" si="94"/>
        <v>0.22639999999999999</v>
      </c>
      <c r="S1214" s="2">
        <v>11</v>
      </c>
      <c r="T1214" t="s">
        <v>30</v>
      </c>
      <c r="U1214">
        <v>5</v>
      </c>
    </row>
    <row r="1215" spans="1:21" x14ac:dyDescent="0.25">
      <c r="A1215" s="1">
        <v>46210</v>
      </c>
      <c r="B1215" t="s">
        <v>1409</v>
      </c>
      <c r="C1215" t="s">
        <v>67</v>
      </c>
      <c r="D1215" t="s">
        <v>139</v>
      </c>
      <c r="E1215" t="s">
        <v>72</v>
      </c>
      <c r="F1215" t="s">
        <v>36</v>
      </c>
      <c r="G1215" t="s">
        <v>44</v>
      </c>
      <c r="H1215" t="s">
        <v>124</v>
      </c>
      <c r="I1215" t="s">
        <v>77</v>
      </c>
      <c r="J1215" s="2">
        <v>8</v>
      </c>
      <c r="K1215" s="3">
        <v>6024.95</v>
      </c>
      <c r="L1215" s="3">
        <v>4611.3500000000004</v>
      </c>
      <c r="M1215" s="4">
        <v>7.9299999999999995E-2</v>
      </c>
      <c r="N1215" s="3">
        <f t="shared" si="90"/>
        <v>48199.6</v>
      </c>
      <c r="O1215" s="3">
        <f t="shared" si="91"/>
        <v>44377.37</v>
      </c>
      <c r="P1215" s="3">
        <f t="shared" si="92"/>
        <v>36890.800000000003</v>
      </c>
      <c r="Q1215" s="3">
        <f t="shared" si="93"/>
        <v>7486.57</v>
      </c>
      <c r="R1215" s="4">
        <f t="shared" si="94"/>
        <v>0.16869999999999999</v>
      </c>
      <c r="S1215" s="2">
        <v>8</v>
      </c>
      <c r="T1215" t="s">
        <v>46</v>
      </c>
      <c r="U1215">
        <v>5</v>
      </c>
    </row>
    <row r="1216" spans="1:21" x14ac:dyDescent="0.25">
      <c r="A1216" s="1">
        <v>46231</v>
      </c>
      <c r="B1216" t="s">
        <v>1410</v>
      </c>
      <c r="C1216" t="s">
        <v>226</v>
      </c>
      <c r="D1216" t="s">
        <v>130</v>
      </c>
      <c r="E1216" t="s">
        <v>72</v>
      </c>
      <c r="F1216" t="s">
        <v>26</v>
      </c>
      <c r="G1216" t="s">
        <v>37</v>
      </c>
      <c r="H1216" t="s">
        <v>178</v>
      </c>
      <c r="I1216" t="s">
        <v>87</v>
      </c>
      <c r="J1216" s="2">
        <v>2</v>
      </c>
      <c r="K1216" s="3">
        <v>508.01</v>
      </c>
      <c r="L1216" s="3">
        <v>253.54</v>
      </c>
      <c r="M1216" s="4">
        <v>0</v>
      </c>
      <c r="N1216" s="3">
        <f t="shared" si="90"/>
        <v>1016.02</v>
      </c>
      <c r="O1216" s="3">
        <f t="shared" si="91"/>
        <v>1016.02</v>
      </c>
      <c r="P1216" s="3">
        <f t="shared" si="92"/>
        <v>507.08</v>
      </c>
      <c r="Q1216" s="3">
        <f t="shared" si="93"/>
        <v>508.94</v>
      </c>
      <c r="R1216" s="4">
        <f t="shared" si="94"/>
        <v>0.50090000000000001</v>
      </c>
      <c r="S1216" s="2">
        <v>8</v>
      </c>
      <c r="T1216" t="s">
        <v>46</v>
      </c>
      <c r="U1216">
        <v>5</v>
      </c>
    </row>
    <row r="1217" spans="1:21" x14ac:dyDescent="0.25">
      <c r="A1217" s="1">
        <v>46117</v>
      </c>
      <c r="B1217" t="s">
        <v>1411</v>
      </c>
      <c r="C1217" t="s">
        <v>174</v>
      </c>
      <c r="D1217" t="s">
        <v>56</v>
      </c>
      <c r="E1217" t="s">
        <v>57</v>
      </c>
      <c r="F1217" t="s">
        <v>58</v>
      </c>
      <c r="G1217" t="s">
        <v>44</v>
      </c>
      <c r="H1217" t="s">
        <v>45</v>
      </c>
      <c r="I1217" t="s">
        <v>65</v>
      </c>
      <c r="J1217" s="2">
        <v>4</v>
      </c>
      <c r="K1217" s="3">
        <v>400.48</v>
      </c>
      <c r="L1217" s="3">
        <v>211.34</v>
      </c>
      <c r="M1217" s="4">
        <v>0.1394</v>
      </c>
      <c r="N1217" s="3">
        <f t="shared" si="90"/>
        <v>1601.92</v>
      </c>
      <c r="O1217" s="3">
        <f t="shared" si="91"/>
        <v>1378.61</v>
      </c>
      <c r="P1217" s="3">
        <f t="shared" si="92"/>
        <v>845.36</v>
      </c>
      <c r="Q1217" s="3">
        <f t="shared" si="93"/>
        <v>533.25</v>
      </c>
      <c r="R1217" s="4">
        <f t="shared" si="94"/>
        <v>0.38679999999999998</v>
      </c>
      <c r="S1217" s="2">
        <v>7</v>
      </c>
      <c r="T1217" t="s">
        <v>46</v>
      </c>
      <c r="U1217">
        <v>5</v>
      </c>
    </row>
    <row r="1218" spans="1:21" x14ac:dyDescent="0.25">
      <c r="A1218" s="1">
        <v>46081</v>
      </c>
      <c r="B1218" t="s">
        <v>1412</v>
      </c>
      <c r="C1218" t="s">
        <v>79</v>
      </c>
      <c r="D1218" t="s">
        <v>34</v>
      </c>
      <c r="E1218" t="s">
        <v>35</v>
      </c>
      <c r="F1218" t="s">
        <v>26</v>
      </c>
      <c r="G1218" t="s">
        <v>27</v>
      </c>
      <c r="H1218" t="s">
        <v>68</v>
      </c>
      <c r="I1218" t="s">
        <v>74</v>
      </c>
      <c r="J1218" s="2">
        <v>4</v>
      </c>
      <c r="K1218" s="3">
        <v>1278.0899999999999</v>
      </c>
      <c r="L1218" s="3">
        <v>758.6</v>
      </c>
      <c r="M1218" s="4">
        <v>0.10150000000000001</v>
      </c>
      <c r="N1218" s="3">
        <f t="shared" ref="N1218:N1281" si="95">ROUND(J1218*K1218,2)</f>
        <v>5112.3599999999997</v>
      </c>
      <c r="O1218" s="3">
        <f t="shared" ref="O1218:O1281" si="96">ROUND(N1218*(1-M1218),2)</f>
        <v>4593.46</v>
      </c>
      <c r="P1218" s="3">
        <f t="shared" ref="P1218:P1281" si="97">ROUND(J1218*L1218,2)</f>
        <v>3034.4</v>
      </c>
      <c r="Q1218" s="3">
        <f t="shared" ref="Q1218:Q1281" si="98">ROUND(O1218-P1218,2)</f>
        <v>1559.06</v>
      </c>
      <c r="R1218" s="4">
        <f t="shared" ref="R1218:R1281" si="99">IF(O1218=0,0,ROUND(Q1218/O1218,4))</f>
        <v>0.33939999999999998</v>
      </c>
      <c r="S1218" s="2">
        <v>2</v>
      </c>
      <c r="T1218" t="s">
        <v>46</v>
      </c>
      <c r="U1218">
        <v>3</v>
      </c>
    </row>
    <row r="1219" spans="1:21" x14ac:dyDescent="0.25">
      <c r="A1219" s="1">
        <v>46122</v>
      </c>
      <c r="B1219" t="s">
        <v>1413</v>
      </c>
      <c r="C1219" t="s">
        <v>456</v>
      </c>
      <c r="D1219" t="s">
        <v>71</v>
      </c>
      <c r="E1219" t="s">
        <v>72</v>
      </c>
      <c r="F1219" t="s">
        <v>58</v>
      </c>
      <c r="G1219" t="s">
        <v>27</v>
      </c>
      <c r="H1219" t="s">
        <v>28</v>
      </c>
      <c r="I1219" t="s">
        <v>87</v>
      </c>
      <c r="J1219" s="2">
        <v>8</v>
      </c>
      <c r="K1219" s="3">
        <v>812.27</v>
      </c>
      <c r="L1219" s="3">
        <v>464.46</v>
      </c>
      <c r="M1219" s="4">
        <v>3.5000000000000003E-2</v>
      </c>
      <c r="N1219" s="3">
        <f t="shared" si="95"/>
        <v>6498.16</v>
      </c>
      <c r="O1219" s="3">
        <f t="shared" si="96"/>
        <v>6270.72</v>
      </c>
      <c r="P1219" s="3">
        <f t="shared" si="97"/>
        <v>3715.68</v>
      </c>
      <c r="Q1219" s="3">
        <f t="shared" si="98"/>
        <v>2555.04</v>
      </c>
      <c r="R1219" s="4">
        <f t="shared" si="99"/>
        <v>0.40749999999999997</v>
      </c>
      <c r="S1219" s="2">
        <v>8</v>
      </c>
      <c r="T1219" t="s">
        <v>46</v>
      </c>
      <c r="U1219">
        <v>5</v>
      </c>
    </row>
    <row r="1220" spans="1:21" x14ac:dyDescent="0.25">
      <c r="A1220" s="1">
        <v>46100</v>
      </c>
      <c r="B1220" t="s">
        <v>1414</v>
      </c>
      <c r="C1220" t="s">
        <v>590</v>
      </c>
      <c r="D1220" t="s">
        <v>43</v>
      </c>
      <c r="E1220" t="s">
        <v>25</v>
      </c>
      <c r="F1220" t="s">
        <v>26</v>
      </c>
      <c r="G1220" t="s">
        <v>37</v>
      </c>
      <c r="H1220" t="s">
        <v>104</v>
      </c>
      <c r="I1220" t="s">
        <v>92</v>
      </c>
      <c r="J1220" s="2">
        <v>4</v>
      </c>
      <c r="K1220" s="3">
        <v>326.73</v>
      </c>
      <c r="L1220" s="3">
        <v>144.35</v>
      </c>
      <c r="M1220" s="4">
        <v>0.1157</v>
      </c>
      <c r="N1220" s="3">
        <f t="shared" si="95"/>
        <v>1306.92</v>
      </c>
      <c r="O1220" s="3">
        <f t="shared" si="96"/>
        <v>1155.71</v>
      </c>
      <c r="P1220" s="3">
        <f t="shared" si="97"/>
        <v>577.4</v>
      </c>
      <c r="Q1220" s="3">
        <f t="shared" si="98"/>
        <v>578.30999999999995</v>
      </c>
      <c r="R1220" s="4">
        <f t="shared" si="99"/>
        <v>0.50039999999999996</v>
      </c>
      <c r="S1220" s="2">
        <v>6</v>
      </c>
      <c r="T1220" t="s">
        <v>46</v>
      </c>
      <c r="U1220">
        <v>2</v>
      </c>
    </row>
    <row r="1221" spans="1:21" x14ac:dyDescent="0.25">
      <c r="A1221" s="1">
        <v>46174</v>
      </c>
      <c r="B1221" t="s">
        <v>1415</v>
      </c>
      <c r="C1221" t="s">
        <v>110</v>
      </c>
      <c r="D1221" t="s">
        <v>126</v>
      </c>
      <c r="E1221" t="s">
        <v>57</v>
      </c>
      <c r="F1221" t="s">
        <v>36</v>
      </c>
      <c r="G1221" t="s">
        <v>44</v>
      </c>
      <c r="H1221" t="s">
        <v>124</v>
      </c>
      <c r="I1221" t="s">
        <v>60</v>
      </c>
      <c r="J1221" s="2">
        <v>4</v>
      </c>
      <c r="K1221" s="3">
        <v>6124.38</v>
      </c>
      <c r="L1221" s="3">
        <v>4390.72</v>
      </c>
      <c r="M1221" s="4">
        <v>4.8599999999999997E-2</v>
      </c>
      <c r="N1221" s="3">
        <f t="shared" si="95"/>
        <v>24497.52</v>
      </c>
      <c r="O1221" s="3">
        <f t="shared" si="96"/>
        <v>23306.94</v>
      </c>
      <c r="P1221" s="3">
        <f t="shared" si="97"/>
        <v>17562.88</v>
      </c>
      <c r="Q1221" s="3">
        <f t="shared" si="98"/>
        <v>5744.06</v>
      </c>
      <c r="R1221" s="4">
        <f t="shared" si="99"/>
        <v>0.2465</v>
      </c>
      <c r="S1221" s="2">
        <v>6</v>
      </c>
      <c r="T1221" t="s">
        <v>46</v>
      </c>
      <c r="U1221">
        <v>5</v>
      </c>
    </row>
    <row r="1222" spans="1:21" x14ac:dyDescent="0.25">
      <c r="A1222" s="1">
        <v>46148</v>
      </c>
      <c r="B1222" t="s">
        <v>1416</v>
      </c>
      <c r="C1222" t="s">
        <v>271</v>
      </c>
      <c r="D1222" t="s">
        <v>139</v>
      </c>
      <c r="E1222" t="s">
        <v>72</v>
      </c>
      <c r="F1222" t="s">
        <v>26</v>
      </c>
      <c r="G1222" t="s">
        <v>44</v>
      </c>
      <c r="H1222" t="s">
        <v>45</v>
      </c>
      <c r="I1222" t="s">
        <v>39</v>
      </c>
      <c r="J1222" s="2">
        <v>5</v>
      </c>
      <c r="K1222" s="3">
        <v>395.24</v>
      </c>
      <c r="L1222" s="3">
        <v>214.85</v>
      </c>
      <c r="M1222" s="4">
        <v>0.11119999999999999</v>
      </c>
      <c r="N1222" s="3">
        <f t="shared" si="95"/>
        <v>1976.2</v>
      </c>
      <c r="O1222" s="3">
        <f t="shared" si="96"/>
        <v>1756.45</v>
      </c>
      <c r="P1222" s="3">
        <f t="shared" si="97"/>
        <v>1074.25</v>
      </c>
      <c r="Q1222" s="3">
        <f t="shared" si="98"/>
        <v>682.2</v>
      </c>
      <c r="R1222" s="4">
        <f t="shared" si="99"/>
        <v>0.38840000000000002</v>
      </c>
      <c r="S1222" s="2">
        <v>4</v>
      </c>
      <c r="T1222" t="s">
        <v>46</v>
      </c>
      <c r="U1222">
        <v>5</v>
      </c>
    </row>
    <row r="1223" spans="1:21" x14ac:dyDescent="0.25">
      <c r="A1223" s="1">
        <v>46196</v>
      </c>
      <c r="B1223" t="s">
        <v>1417</v>
      </c>
      <c r="C1223" t="s">
        <v>525</v>
      </c>
      <c r="D1223" t="s">
        <v>43</v>
      </c>
      <c r="E1223" t="s">
        <v>25</v>
      </c>
      <c r="F1223" t="s">
        <v>36</v>
      </c>
      <c r="G1223" t="s">
        <v>44</v>
      </c>
      <c r="H1223" t="s">
        <v>73</v>
      </c>
      <c r="I1223" t="s">
        <v>87</v>
      </c>
      <c r="J1223" s="2">
        <v>8</v>
      </c>
      <c r="K1223" s="3">
        <v>1638.86</v>
      </c>
      <c r="L1223" s="3">
        <v>1078.5899999999999</v>
      </c>
      <c r="M1223" s="4">
        <v>0</v>
      </c>
      <c r="N1223" s="3">
        <f t="shared" si="95"/>
        <v>13110.88</v>
      </c>
      <c r="O1223" s="3">
        <f t="shared" si="96"/>
        <v>13110.88</v>
      </c>
      <c r="P1223" s="3">
        <f t="shared" si="97"/>
        <v>8628.7199999999993</v>
      </c>
      <c r="Q1223" s="3">
        <f t="shared" si="98"/>
        <v>4482.16</v>
      </c>
      <c r="R1223" s="4">
        <f t="shared" si="99"/>
        <v>0.34189999999999998</v>
      </c>
      <c r="S1223" s="2">
        <v>9</v>
      </c>
      <c r="T1223" t="s">
        <v>46</v>
      </c>
      <c r="U1223">
        <v>2</v>
      </c>
    </row>
    <row r="1224" spans="1:21" x14ac:dyDescent="0.25">
      <c r="A1224" s="1">
        <v>46071</v>
      </c>
      <c r="B1224" t="s">
        <v>1418</v>
      </c>
      <c r="C1224" t="s">
        <v>590</v>
      </c>
      <c r="D1224" t="s">
        <v>34</v>
      </c>
      <c r="E1224" t="s">
        <v>35</v>
      </c>
      <c r="F1224" t="s">
        <v>26</v>
      </c>
      <c r="G1224" t="s">
        <v>51</v>
      </c>
      <c r="H1224" t="s">
        <v>116</v>
      </c>
      <c r="I1224" t="s">
        <v>92</v>
      </c>
      <c r="J1224" s="2">
        <v>5</v>
      </c>
      <c r="K1224" s="3">
        <v>2660.46</v>
      </c>
      <c r="L1224" s="3">
        <v>1845.58</v>
      </c>
      <c r="M1224" s="4">
        <v>9.3799999999999994E-2</v>
      </c>
      <c r="N1224" s="3">
        <f t="shared" si="95"/>
        <v>13302.3</v>
      </c>
      <c r="O1224" s="3">
        <f t="shared" si="96"/>
        <v>12054.54</v>
      </c>
      <c r="P1224" s="3">
        <f t="shared" si="97"/>
        <v>9227.9</v>
      </c>
      <c r="Q1224" s="3">
        <f t="shared" si="98"/>
        <v>2826.64</v>
      </c>
      <c r="R1224" s="4">
        <f t="shared" si="99"/>
        <v>0.23449999999999999</v>
      </c>
      <c r="S1224" s="2">
        <v>9</v>
      </c>
      <c r="T1224" t="s">
        <v>46</v>
      </c>
      <c r="U1224">
        <v>3</v>
      </c>
    </row>
    <row r="1225" spans="1:21" x14ac:dyDescent="0.25">
      <c r="A1225" s="1">
        <v>46213</v>
      </c>
      <c r="B1225" t="s">
        <v>1419</v>
      </c>
      <c r="C1225" t="s">
        <v>275</v>
      </c>
      <c r="D1225" t="s">
        <v>139</v>
      </c>
      <c r="E1225" t="s">
        <v>72</v>
      </c>
      <c r="F1225" t="s">
        <v>36</v>
      </c>
      <c r="G1225" t="s">
        <v>51</v>
      </c>
      <c r="H1225" t="s">
        <v>116</v>
      </c>
      <c r="I1225" t="s">
        <v>74</v>
      </c>
      <c r="J1225" s="2">
        <v>8</v>
      </c>
      <c r="K1225" s="3">
        <v>2623.38</v>
      </c>
      <c r="L1225" s="3">
        <v>1863.26</v>
      </c>
      <c r="M1225" s="4">
        <v>7.3999999999999996E-2</v>
      </c>
      <c r="N1225" s="3">
        <f t="shared" si="95"/>
        <v>20987.040000000001</v>
      </c>
      <c r="O1225" s="3">
        <f t="shared" si="96"/>
        <v>19434</v>
      </c>
      <c r="P1225" s="3">
        <f t="shared" si="97"/>
        <v>14906.08</v>
      </c>
      <c r="Q1225" s="3">
        <f t="shared" si="98"/>
        <v>4527.92</v>
      </c>
      <c r="R1225" s="4">
        <f t="shared" si="99"/>
        <v>0.23300000000000001</v>
      </c>
      <c r="S1225" s="2">
        <v>4</v>
      </c>
      <c r="T1225" t="s">
        <v>46</v>
      </c>
      <c r="U1225">
        <v>4</v>
      </c>
    </row>
    <row r="1226" spans="1:21" x14ac:dyDescent="0.25">
      <c r="A1226" s="1">
        <v>46031</v>
      </c>
      <c r="B1226" t="s">
        <v>1420</v>
      </c>
      <c r="C1226" t="s">
        <v>284</v>
      </c>
      <c r="D1226" t="s">
        <v>207</v>
      </c>
      <c r="E1226" t="s">
        <v>35</v>
      </c>
      <c r="F1226" t="s">
        <v>36</v>
      </c>
      <c r="G1226" t="s">
        <v>44</v>
      </c>
      <c r="H1226" t="s">
        <v>73</v>
      </c>
      <c r="I1226" t="s">
        <v>39</v>
      </c>
      <c r="J1226" s="2">
        <v>1</v>
      </c>
      <c r="K1226" s="3">
        <v>1716.56</v>
      </c>
      <c r="L1226" s="3">
        <v>1130.8499999999999</v>
      </c>
      <c r="M1226" s="4">
        <v>2.5000000000000001E-2</v>
      </c>
      <c r="N1226" s="3">
        <f t="shared" si="95"/>
        <v>1716.56</v>
      </c>
      <c r="O1226" s="3">
        <f t="shared" si="96"/>
        <v>1673.65</v>
      </c>
      <c r="P1226" s="3">
        <f t="shared" si="97"/>
        <v>1130.8499999999999</v>
      </c>
      <c r="Q1226" s="3">
        <f t="shared" si="98"/>
        <v>542.79999999999995</v>
      </c>
      <c r="R1226" s="4">
        <f t="shared" si="99"/>
        <v>0.32429999999999998</v>
      </c>
      <c r="S1226" s="2">
        <v>14</v>
      </c>
      <c r="T1226" t="s">
        <v>30</v>
      </c>
      <c r="U1226">
        <v>4</v>
      </c>
    </row>
    <row r="1227" spans="1:21" x14ac:dyDescent="0.25">
      <c r="A1227" s="1">
        <v>46062</v>
      </c>
      <c r="B1227" t="s">
        <v>1421</v>
      </c>
      <c r="C1227" t="s">
        <v>164</v>
      </c>
      <c r="D1227" t="s">
        <v>207</v>
      </c>
      <c r="E1227" t="s">
        <v>35</v>
      </c>
      <c r="F1227" t="s">
        <v>58</v>
      </c>
      <c r="G1227" t="s">
        <v>37</v>
      </c>
      <c r="H1227" t="s">
        <v>38</v>
      </c>
      <c r="I1227" t="s">
        <v>77</v>
      </c>
      <c r="J1227" s="2">
        <v>1</v>
      </c>
      <c r="K1227" s="3">
        <v>454.23</v>
      </c>
      <c r="L1227" s="3">
        <v>186.98</v>
      </c>
      <c r="M1227" s="4">
        <v>0.1023</v>
      </c>
      <c r="N1227" s="3">
        <f t="shared" si="95"/>
        <v>454.23</v>
      </c>
      <c r="O1227" s="3">
        <f t="shared" si="96"/>
        <v>407.76</v>
      </c>
      <c r="P1227" s="3">
        <f t="shared" si="97"/>
        <v>186.98</v>
      </c>
      <c r="Q1227" s="3">
        <f t="shared" si="98"/>
        <v>220.78</v>
      </c>
      <c r="R1227" s="4">
        <f t="shared" si="99"/>
        <v>0.54139999999999999</v>
      </c>
      <c r="S1227" s="2">
        <v>11</v>
      </c>
      <c r="T1227" t="s">
        <v>30</v>
      </c>
      <c r="U1227">
        <v>5</v>
      </c>
    </row>
    <row r="1228" spans="1:21" x14ac:dyDescent="0.25">
      <c r="A1228" s="1">
        <v>46199</v>
      </c>
      <c r="B1228" t="s">
        <v>1422</v>
      </c>
      <c r="C1228" t="s">
        <v>401</v>
      </c>
      <c r="D1228" t="s">
        <v>130</v>
      </c>
      <c r="E1228" t="s">
        <v>72</v>
      </c>
      <c r="F1228" t="s">
        <v>36</v>
      </c>
      <c r="G1228" t="s">
        <v>44</v>
      </c>
      <c r="H1228" t="s">
        <v>45</v>
      </c>
      <c r="I1228" t="s">
        <v>53</v>
      </c>
      <c r="J1228" s="2">
        <v>6</v>
      </c>
      <c r="K1228" s="3">
        <v>405.24</v>
      </c>
      <c r="L1228" s="3">
        <v>219.3</v>
      </c>
      <c r="M1228" s="4">
        <v>0</v>
      </c>
      <c r="N1228" s="3">
        <f t="shared" si="95"/>
        <v>2431.44</v>
      </c>
      <c r="O1228" s="3">
        <f t="shared" si="96"/>
        <v>2431.44</v>
      </c>
      <c r="P1228" s="3">
        <f t="shared" si="97"/>
        <v>1315.8</v>
      </c>
      <c r="Q1228" s="3">
        <f t="shared" si="98"/>
        <v>1115.6400000000001</v>
      </c>
      <c r="R1228" s="4">
        <f t="shared" si="99"/>
        <v>0.45879999999999999</v>
      </c>
      <c r="S1228" s="2">
        <v>14</v>
      </c>
      <c r="T1228" t="s">
        <v>30</v>
      </c>
      <c r="U1228">
        <v>5</v>
      </c>
    </row>
    <row r="1229" spans="1:21" x14ac:dyDescent="0.25">
      <c r="A1229" s="1">
        <v>46125</v>
      </c>
      <c r="B1229" t="s">
        <v>1423</v>
      </c>
      <c r="C1229" t="s">
        <v>214</v>
      </c>
      <c r="D1229" t="s">
        <v>24</v>
      </c>
      <c r="E1229" t="s">
        <v>25</v>
      </c>
      <c r="F1229" t="s">
        <v>64</v>
      </c>
      <c r="G1229" t="s">
        <v>44</v>
      </c>
      <c r="H1229" t="s">
        <v>45</v>
      </c>
      <c r="I1229" t="s">
        <v>60</v>
      </c>
      <c r="J1229" s="2">
        <v>8</v>
      </c>
      <c r="K1229" s="3">
        <v>383.89</v>
      </c>
      <c r="L1229" s="3">
        <v>225.87</v>
      </c>
      <c r="M1229" s="4">
        <v>0</v>
      </c>
      <c r="N1229" s="3">
        <f t="shared" si="95"/>
        <v>3071.12</v>
      </c>
      <c r="O1229" s="3">
        <f t="shared" si="96"/>
        <v>3071.12</v>
      </c>
      <c r="P1229" s="3">
        <f t="shared" si="97"/>
        <v>1806.96</v>
      </c>
      <c r="Q1229" s="3">
        <f t="shared" si="98"/>
        <v>1264.1600000000001</v>
      </c>
      <c r="R1229" s="4">
        <f t="shared" si="99"/>
        <v>0.41160000000000002</v>
      </c>
      <c r="S1229" s="2">
        <v>9</v>
      </c>
      <c r="T1229" t="s">
        <v>46</v>
      </c>
      <c r="U1229">
        <v>3</v>
      </c>
    </row>
    <row r="1230" spans="1:21" x14ac:dyDescent="0.25">
      <c r="A1230" s="1">
        <v>46038</v>
      </c>
      <c r="B1230" t="s">
        <v>1424</v>
      </c>
      <c r="C1230" t="s">
        <v>253</v>
      </c>
      <c r="D1230" t="s">
        <v>63</v>
      </c>
      <c r="E1230" t="s">
        <v>35</v>
      </c>
      <c r="F1230" t="s">
        <v>36</v>
      </c>
      <c r="G1230" t="s">
        <v>27</v>
      </c>
      <c r="H1230" t="s">
        <v>86</v>
      </c>
      <c r="I1230" t="s">
        <v>94</v>
      </c>
      <c r="J1230" s="2">
        <v>5</v>
      </c>
      <c r="K1230" s="3">
        <v>1783.04</v>
      </c>
      <c r="L1230" s="3">
        <v>1246.1400000000001</v>
      </c>
      <c r="M1230" s="4">
        <v>9.2499999999999999E-2</v>
      </c>
      <c r="N1230" s="3">
        <f t="shared" si="95"/>
        <v>8915.2000000000007</v>
      </c>
      <c r="O1230" s="3">
        <f t="shared" si="96"/>
        <v>8090.54</v>
      </c>
      <c r="P1230" s="3">
        <f t="shared" si="97"/>
        <v>6230.7</v>
      </c>
      <c r="Q1230" s="3">
        <f t="shared" si="98"/>
        <v>1859.84</v>
      </c>
      <c r="R1230" s="4">
        <f t="shared" si="99"/>
        <v>0.22989999999999999</v>
      </c>
      <c r="S1230" s="2">
        <v>4</v>
      </c>
      <c r="T1230" t="s">
        <v>46</v>
      </c>
      <c r="U1230">
        <v>2</v>
      </c>
    </row>
    <row r="1231" spans="1:21" x14ac:dyDescent="0.25">
      <c r="A1231" s="1">
        <v>46209</v>
      </c>
      <c r="B1231" t="s">
        <v>1425</v>
      </c>
      <c r="C1231" t="s">
        <v>370</v>
      </c>
      <c r="D1231" t="s">
        <v>126</v>
      </c>
      <c r="E1231" t="s">
        <v>57</v>
      </c>
      <c r="F1231" t="s">
        <v>64</v>
      </c>
      <c r="G1231" t="s">
        <v>44</v>
      </c>
      <c r="H1231" t="s">
        <v>124</v>
      </c>
      <c r="I1231" t="s">
        <v>77</v>
      </c>
      <c r="J1231" s="2">
        <v>2</v>
      </c>
      <c r="K1231" s="3">
        <v>6219.11</v>
      </c>
      <c r="L1231" s="3">
        <v>4297.6499999999996</v>
      </c>
      <c r="M1231" s="4">
        <v>1.2500000000000001E-2</v>
      </c>
      <c r="N1231" s="3">
        <f t="shared" si="95"/>
        <v>12438.22</v>
      </c>
      <c r="O1231" s="3">
        <f t="shared" si="96"/>
        <v>12282.74</v>
      </c>
      <c r="P1231" s="3">
        <f t="shared" si="97"/>
        <v>8595.2999999999993</v>
      </c>
      <c r="Q1231" s="3">
        <f t="shared" si="98"/>
        <v>3687.44</v>
      </c>
      <c r="R1231" s="4">
        <f t="shared" si="99"/>
        <v>0.30020000000000002</v>
      </c>
      <c r="S1231" s="2">
        <v>10</v>
      </c>
      <c r="T1231" t="s">
        <v>46</v>
      </c>
      <c r="U1231">
        <v>2</v>
      </c>
    </row>
    <row r="1232" spans="1:21" x14ac:dyDescent="0.25">
      <c r="A1232" s="1">
        <v>46209</v>
      </c>
      <c r="B1232" t="s">
        <v>1426</v>
      </c>
      <c r="C1232" t="s">
        <v>514</v>
      </c>
      <c r="D1232" t="s">
        <v>43</v>
      </c>
      <c r="E1232" t="s">
        <v>25</v>
      </c>
      <c r="F1232" t="s">
        <v>58</v>
      </c>
      <c r="G1232" t="s">
        <v>51</v>
      </c>
      <c r="H1232" t="s">
        <v>52</v>
      </c>
      <c r="I1232" t="s">
        <v>60</v>
      </c>
      <c r="J1232" s="2">
        <v>8</v>
      </c>
      <c r="K1232" s="3">
        <v>266.02999999999997</v>
      </c>
      <c r="L1232" s="3">
        <v>126.26</v>
      </c>
      <c r="M1232" s="4">
        <v>0.11749999999999999</v>
      </c>
      <c r="N1232" s="3">
        <f t="shared" si="95"/>
        <v>2128.2399999999998</v>
      </c>
      <c r="O1232" s="3">
        <f t="shared" si="96"/>
        <v>1878.17</v>
      </c>
      <c r="P1232" s="3">
        <f t="shared" si="97"/>
        <v>1010.08</v>
      </c>
      <c r="Q1232" s="3">
        <f t="shared" si="98"/>
        <v>868.09</v>
      </c>
      <c r="R1232" s="4">
        <f t="shared" si="99"/>
        <v>0.4622</v>
      </c>
      <c r="S1232" s="2">
        <v>3</v>
      </c>
      <c r="T1232" t="s">
        <v>46</v>
      </c>
      <c r="U1232">
        <v>3</v>
      </c>
    </row>
    <row r="1233" spans="1:22" x14ac:dyDescent="0.25">
      <c r="A1233" s="1">
        <v>46168</v>
      </c>
      <c r="B1233" t="s">
        <v>1427</v>
      </c>
      <c r="C1233" t="s">
        <v>76</v>
      </c>
      <c r="D1233" t="s">
        <v>24</v>
      </c>
      <c r="E1233" t="s">
        <v>25</v>
      </c>
      <c r="F1233" t="s">
        <v>58</v>
      </c>
      <c r="G1233" t="s">
        <v>44</v>
      </c>
      <c r="H1233" t="s">
        <v>124</v>
      </c>
      <c r="I1233" t="s">
        <v>77</v>
      </c>
      <c r="J1233" s="2">
        <v>5</v>
      </c>
      <c r="K1233" s="3">
        <v>5813.51</v>
      </c>
      <c r="L1233" s="3">
        <v>4448.08</v>
      </c>
      <c r="M1233" s="4">
        <v>3.5000000000000003E-2</v>
      </c>
      <c r="N1233" s="3">
        <f t="shared" si="95"/>
        <v>29067.55</v>
      </c>
      <c r="O1233" s="3">
        <f t="shared" si="96"/>
        <v>28050.19</v>
      </c>
      <c r="P1233" s="3">
        <f t="shared" si="97"/>
        <v>22240.400000000001</v>
      </c>
      <c r="Q1233" s="3">
        <f t="shared" si="98"/>
        <v>5809.79</v>
      </c>
      <c r="R1233" s="4">
        <f t="shared" si="99"/>
        <v>0.20710000000000001</v>
      </c>
      <c r="S1233" s="2">
        <v>8</v>
      </c>
      <c r="T1233" t="s">
        <v>46</v>
      </c>
      <c r="U1233">
        <v>4</v>
      </c>
    </row>
    <row r="1234" spans="1:22" x14ac:dyDescent="0.25">
      <c r="A1234" s="1">
        <v>46118</v>
      </c>
      <c r="B1234" t="s">
        <v>1428</v>
      </c>
      <c r="C1234" t="s">
        <v>115</v>
      </c>
      <c r="D1234" t="s">
        <v>139</v>
      </c>
      <c r="E1234" t="s">
        <v>72</v>
      </c>
      <c r="F1234" t="s">
        <v>26</v>
      </c>
      <c r="G1234" t="s">
        <v>44</v>
      </c>
      <c r="H1234" t="s">
        <v>73</v>
      </c>
      <c r="I1234" t="s">
        <v>74</v>
      </c>
      <c r="J1234" s="2">
        <v>7</v>
      </c>
      <c r="K1234" s="3">
        <v>1650.18</v>
      </c>
      <c r="L1234" s="3">
        <v>1139.98</v>
      </c>
      <c r="M1234" s="4">
        <v>0</v>
      </c>
      <c r="N1234" s="3">
        <f t="shared" si="95"/>
        <v>11551.26</v>
      </c>
      <c r="O1234" s="3">
        <f t="shared" si="96"/>
        <v>11551.26</v>
      </c>
      <c r="P1234" s="3">
        <f t="shared" si="97"/>
        <v>7979.86</v>
      </c>
      <c r="Q1234" s="3">
        <f t="shared" si="98"/>
        <v>3571.4</v>
      </c>
      <c r="R1234" s="4">
        <f t="shared" si="99"/>
        <v>0.30919999999999997</v>
      </c>
      <c r="S1234" s="2">
        <v>10</v>
      </c>
      <c r="T1234" t="s">
        <v>46</v>
      </c>
      <c r="U1234">
        <v>4</v>
      </c>
    </row>
    <row r="1235" spans="1:22" x14ac:dyDescent="0.25">
      <c r="A1235" s="1">
        <v>46107</v>
      </c>
      <c r="B1235" t="s">
        <v>1429</v>
      </c>
      <c r="C1235" t="s">
        <v>62</v>
      </c>
      <c r="D1235" t="s">
        <v>130</v>
      </c>
      <c r="E1235" t="s">
        <v>72</v>
      </c>
      <c r="F1235" t="s">
        <v>36</v>
      </c>
      <c r="G1235" t="s">
        <v>44</v>
      </c>
      <c r="H1235" t="s">
        <v>124</v>
      </c>
      <c r="I1235" t="s">
        <v>39</v>
      </c>
      <c r="J1235" s="2">
        <v>2</v>
      </c>
      <c r="K1235" s="3">
        <v>5884.66</v>
      </c>
      <c r="L1235" s="3">
        <v>4355.8599999999997</v>
      </c>
      <c r="M1235" s="4">
        <v>2.23E-2</v>
      </c>
      <c r="N1235" s="3">
        <f t="shared" si="95"/>
        <v>11769.32</v>
      </c>
      <c r="O1235" s="3">
        <f t="shared" si="96"/>
        <v>11506.86</v>
      </c>
      <c r="P1235" s="3">
        <f t="shared" si="97"/>
        <v>8711.7199999999993</v>
      </c>
      <c r="Q1235" s="3">
        <f t="shared" si="98"/>
        <v>2795.14</v>
      </c>
      <c r="R1235" s="4">
        <f t="shared" si="99"/>
        <v>0.2429</v>
      </c>
      <c r="S1235" s="2">
        <v>7</v>
      </c>
      <c r="T1235" t="s">
        <v>46</v>
      </c>
      <c r="U1235">
        <v>5</v>
      </c>
    </row>
    <row r="1236" spans="1:22" x14ac:dyDescent="0.25">
      <c r="A1236" s="1">
        <v>46127</v>
      </c>
      <c r="B1236" t="s">
        <v>1430</v>
      </c>
      <c r="C1236" t="s">
        <v>100</v>
      </c>
      <c r="D1236" t="s">
        <v>130</v>
      </c>
      <c r="E1236" t="s">
        <v>72</v>
      </c>
      <c r="F1236" t="s">
        <v>26</v>
      </c>
      <c r="G1236" t="s">
        <v>44</v>
      </c>
      <c r="H1236" t="s">
        <v>73</v>
      </c>
      <c r="I1236" t="s">
        <v>77</v>
      </c>
      <c r="J1236" s="2">
        <v>3</v>
      </c>
      <c r="K1236" s="3">
        <v>1742.51</v>
      </c>
      <c r="L1236" s="3">
        <v>1172.33</v>
      </c>
      <c r="M1236" s="4">
        <v>8.1199999999999994E-2</v>
      </c>
      <c r="N1236" s="3">
        <f t="shared" si="95"/>
        <v>5227.53</v>
      </c>
      <c r="O1236" s="3">
        <f t="shared" si="96"/>
        <v>4803.05</v>
      </c>
      <c r="P1236" s="3">
        <f t="shared" si="97"/>
        <v>3516.99</v>
      </c>
      <c r="Q1236" s="3">
        <f t="shared" si="98"/>
        <v>1286.06</v>
      </c>
      <c r="R1236" s="4">
        <f t="shared" si="99"/>
        <v>0.26779999999999998</v>
      </c>
      <c r="S1236" s="2">
        <v>12</v>
      </c>
      <c r="T1236" t="s">
        <v>30</v>
      </c>
      <c r="U1236">
        <v>5</v>
      </c>
    </row>
    <row r="1237" spans="1:22" x14ac:dyDescent="0.25">
      <c r="A1237" s="1">
        <v>46167</v>
      </c>
      <c r="B1237" t="s">
        <v>1431</v>
      </c>
      <c r="C1237" t="s">
        <v>108</v>
      </c>
      <c r="D1237" t="s">
        <v>34</v>
      </c>
      <c r="E1237" t="s">
        <v>35</v>
      </c>
      <c r="F1237" t="s">
        <v>36</v>
      </c>
      <c r="G1237" t="s">
        <v>27</v>
      </c>
      <c r="H1237" t="s">
        <v>68</v>
      </c>
      <c r="I1237" t="s">
        <v>60</v>
      </c>
      <c r="J1237" s="2">
        <v>2</v>
      </c>
      <c r="K1237" s="3">
        <v>1269.8499999999999</v>
      </c>
      <c r="L1237" s="3">
        <v>773.04</v>
      </c>
      <c r="M1237" s="4">
        <v>0</v>
      </c>
      <c r="N1237" s="3">
        <f t="shared" si="95"/>
        <v>2539.6999999999998</v>
      </c>
      <c r="O1237" s="3">
        <f t="shared" si="96"/>
        <v>2539.6999999999998</v>
      </c>
      <c r="P1237" s="3">
        <f t="shared" si="97"/>
        <v>1546.08</v>
      </c>
      <c r="Q1237" s="3">
        <f t="shared" si="98"/>
        <v>993.62</v>
      </c>
      <c r="R1237" s="4">
        <f t="shared" si="99"/>
        <v>0.39119999999999999</v>
      </c>
      <c r="S1237" s="2">
        <v>2</v>
      </c>
      <c r="T1237" t="s">
        <v>46</v>
      </c>
      <c r="U1237">
        <v>3</v>
      </c>
    </row>
    <row r="1238" spans="1:22" x14ac:dyDescent="0.25">
      <c r="A1238" s="1">
        <v>46222</v>
      </c>
      <c r="B1238" t="s">
        <v>1432</v>
      </c>
      <c r="C1238" t="s">
        <v>48</v>
      </c>
      <c r="D1238" t="s">
        <v>24</v>
      </c>
      <c r="E1238" t="s">
        <v>25</v>
      </c>
      <c r="F1238" t="s">
        <v>64</v>
      </c>
      <c r="G1238" t="s">
        <v>27</v>
      </c>
      <c r="H1238" t="s">
        <v>28</v>
      </c>
      <c r="I1238" t="s">
        <v>39</v>
      </c>
      <c r="J1238" s="2">
        <v>4</v>
      </c>
      <c r="K1238" s="3">
        <v>834.19</v>
      </c>
      <c r="L1238" s="3">
        <v>478.87</v>
      </c>
      <c r="M1238" s="4">
        <v>0</v>
      </c>
      <c r="N1238" s="3">
        <f t="shared" si="95"/>
        <v>3336.76</v>
      </c>
      <c r="O1238" s="3">
        <f t="shared" si="96"/>
        <v>3336.76</v>
      </c>
      <c r="P1238" s="3">
        <f t="shared" si="97"/>
        <v>1915.48</v>
      </c>
      <c r="Q1238" s="3">
        <f t="shared" si="98"/>
        <v>1421.28</v>
      </c>
      <c r="R1238" s="4">
        <f t="shared" si="99"/>
        <v>0.4259</v>
      </c>
      <c r="S1238" s="2">
        <v>9</v>
      </c>
      <c r="T1238" t="s">
        <v>46</v>
      </c>
      <c r="U1238">
        <v>3</v>
      </c>
    </row>
    <row r="1239" spans="1:22" x14ac:dyDescent="0.25">
      <c r="A1239" s="1">
        <v>46120</v>
      </c>
      <c r="B1239" t="s">
        <v>1433</v>
      </c>
      <c r="C1239" t="s">
        <v>235</v>
      </c>
      <c r="D1239" t="s">
        <v>63</v>
      </c>
      <c r="E1239" t="s">
        <v>35</v>
      </c>
      <c r="F1239" t="s">
        <v>64</v>
      </c>
      <c r="G1239" t="s">
        <v>37</v>
      </c>
      <c r="H1239" t="s">
        <v>104</v>
      </c>
      <c r="I1239" t="s">
        <v>92</v>
      </c>
      <c r="J1239" s="2">
        <v>6</v>
      </c>
      <c r="K1239" s="3">
        <v>328.66</v>
      </c>
      <c r="L1239" s="3">
        <v>140.22</v>
      </c>
      <c r="M1239" s="4">
        <v>0</v>
      </c>
      <c r="N1239" s="3">
        <f t="shared" si="95"/>
        <v>1971.96</v>
      </c>
      <c r="O1239" s="3">
        <f t="shared" si="96"/>
        <v>1971.96</v>
      </c>
      <c r="P1239" s="3">
        <f t="shared" si="97"/>
        <v>841.32</v>
      </c>
      <c r="Q1239" s="3">
        <f t="shared" si="98"/>
        <v>1130.6400000000001</v>
      </c>
      <c r="R1239" s="4">
        <f t="shared" si="99"/>
        <v>0.57340000000000002</v>
      </c>
      <c r="S1239" s="2">
        <v>13</v>
      </c>
      <c r="T1239" t="s">
        <v>30</v>
      </c>
      <c r="U1239">
        <v>5</v>
      </c>
    </row>
    <row r="1240" spans="1:22" x14ac:dyDescent="0.25">
      <c r="A1240" s="1">
        <v>46033</v>
      </c>
      <c r="B1240" t="s">
        <v>1434</v>
      </c>
      <c r="C1240" t="s">
        <v>284</v>
      </c>
      <c r="D1240" t="s">
        <v>63</v>
      </c>
      <c r="E1240" t="s">
        <v>35</v>
      </c>
      <c r="F1240" t="s">
        <v>26</v>
      </c>
      <c r="G1240" t="s">
        <v>27</v>
      </c>
      <c r="H1240" t="s">
        <v>68</v>
      </c>
      <c r="I1240" t="s">
        <v>60</v>
      </c>
      <c r="J1240" s="2">
        <v>1</v>
      </c>
      <c r="K1240" s="3">
        <v>1249.1500000000001</v>
      </c>
      <c r="L1240" s="3">
        <v>806.04</v>
      </c>
      <c r="M1240" s="4">
        <v>5.0999999999999997E-2</v>
      </c>
      <c r="N1240" s="3">
        <f t="shared" si="95"/>
        <v>1249.1500000000001</v>
      </c>
      <c r="O1240" s="3">
        <f t="shared" si="96"/>
        <v>1185.44</v>
      </c>
      <c r="P1240" s="3">
        <f t="shared" si="97"/>
        <v>806.04</v>
      </c>
      <c r="Q1240" s="3">
        <f t="shared" si="98"/>
        <v>379.4</v>
      </c>
      <c r="R1240" s="4">
        <f t="shared" si="99"/>
        <v>0.32</v>
      </c>
      <c r="S1240" s="2">
        <v>13</v>
      </c>
      <c r="T1240" t="s">
        <v>30</v>
      </c>
      <c r="U1240">
        <v>4</v>
      </c>
    </row>
    <row r="1241" spans="1:22" x14ac:dyDescent="0.25">
      <c r="A1241" s="1">
        <v>46233</v>
      </c>
      <c r="B1241" t="s">
        <v>1435</v>
      </c>
      <c r="C1241" t="s">
        <v>464</v>
      </c>
      <c r="D1241" t="s">
        <v>97</v>
      </c>
      <c r="E1241" t="s">
        <v>57</v>
      </c>
      <c r="F1241" t="s">
        <v>64</v>
      </c>
      <c r="G1241" t="s">
        <v>44</v>
      </c>
      <c r="H1241" t="s">
        <v>73</v>
      </c>
      <c r="I1241" t="s">
        <v>53</v>
      </c>
      <c r="J1241" s="2">
        <v>1</v>
      </c>
      <c r="K1241" s="3">
        <v>1596.84</v>
      </c>
      <c r="L1241" s="3">
        <v>1063.94</v>
      </c>
      <c r="M1241" s="4">
        <v>0</v>
      </c>
      <c r="N1241" s="3">
        <f t="shared" si="95"/>
        <v>1596.84</v>
      </c>
      <c r="O1241" s="3">
        <f t="shared" si="96"/>
        <v>1596.84</v>
      </c>
      <c r="P1241" s="3">
        <f t="shared" si="97"/>
        <v>1063.94</v>
      </c>
      <c r="Q1241" s="3">
        <f t="shared" si="98"/>
        <v>532.9</v>
      </c>
      <c r="R1241" s="4">
        <f t="shared" si="99"/>
        <v>0.3337</v>
      </c>
      <c r="S1241" s="2">
        <v>13</v>
      </c>
      <c r="T1241" t="s">
        <v>30</v>
      </c>
      <c r="U1241">
        <v>5</v>
      </c>
    </row>
    <row r="1242" spans="1:22" x14ac:dyDescent="0.25">
      <c r="A1242" s="1">
        <v>46168</v>
      </c>
      <c r="B1242" t="s">
        <v>1436</v>
      </c>
      <c r="C1242" t="s">
        <v>198</v>
      </c>
      <c r="D1242" t="s">
        <v>113</v>
      </c>
      <c r="E1242" t="s">
        <v>50</v>
      </c>
      <c r="F1242" t="s">
        <v>64</v>
      </c>
      <c r="G1242" t="s">
        <v>37</v>
      </c>
      <c r="H1242" t="s">
        <v>178</v>
      </c>
      <c r="I1242" t="s">
        <v>65</v>
      </c>
      <c r="J1242" s="2">
        <v>4</v>
      </c>
      <c r="K1242" s="3">
        <v>524.5</v>
      </c>
      <c r="L1242" s="3">
        <v>233.89</v>
      </c>
      <c r="M1242" s="4">
        <v>0</v>
      </c>
      <c r="N1242" s="3">
        <f t="shared" si="95"/>
        <v>2098</v>
      </c>
      <c r="O1242" s="3">
        <f t="shared" si="96"/>
        <v>2098</v>
      </c>
      <c r="P1242" s="3">
        <f t="shared" si="97"/>
        <v>935.56</v>
      </c>
      <c r="Q1242" s="3">
        <f t="shared" si="98"/>
        <v>1162.44</v>
      </c>
      <c r="R1242" s="4">
        <f t="shared" si="99"/>
        <v>0.55410000000000004</v>
      </c>
      <c r="S1242" s="2">
        <v>12</v>
      </c>
      <c r="T1242" t="s">
        <v>30</v>
      </c>
      <c r="U1242">
        <v>3</v>
      </c>
    </row>
    <row r="1243" spans="1:22" x14ac:dyDescent="0.25">
      <c r="A1243" s="1">
        <v>46067</v>
      </c>
      <c r="B1243" t="s">
        <v>1437</v>
      </c>
      <c r="C1243" t="s">
        <v>381</v>
      </c>
      <c r="D1243" t="s">
        <v>139</v>
      </c>
      <c r="E1243" t="s">
        <v>72</v>
      </c>
      <c r="F1243" t="s">
        <v>64</v>
      </c>
      <c r="G1243" t="s">
        <v>27</v>
      </c>
      <c r="H1243" t="s">
        <v>68</v>
      </c>
      <c r="I1243" t="s">
        <v>87</v>
      </c>
      <c r="J1243" s="2">
        <v>5</v>
      </c>
      <c r="K1243" s="3">
        <v>1360.38</v>
      </c>
      <c r="L1243" s="3">
        <v>776.31</v>
      </c>
      <c r="M1243" s="4">
        <v>4.5900000000000003E-2</v>
      </c>
      <c r="N1243" s="3">
        <f t="shared" si="95"/>
        <v>6801.9</v>
      </c>
      <c r="O1243" s="3">
        <f t="shared" si="96"/>
        <v>6489.69</v>
      </c>
      <c r="P1243" s="3">
        <f t="shared" si="97"/>
        <v>3881.55</v>
      </c>
      <c r="Q1243" s="3">
        <f t="shared" si="98"/>
        <v>2608.14</v>
      </c>
      <c r="R1243" s="4">
        <f t="shared" si="99"/>
        <v>0.40189999999999998</v>
      </c>
      <c r="S1243" s="2">
        <v>30</v>
      </c>
      <c r="T1243" t="s">
        <v>30</v>
      </c>
      <c r="U1243">
        <v>2</v>
      </c>
      <c r="V1243" t="s">
        <v>208</v>
      </c>
    </row>
    <row r="1244" spans="1:22" x14ac:dyDescent="0.25">
      <c r="A1244" s="1">
        <v>46111</v>
      </c>
      <c r="B1244" t="s">
        <v>1438</v>
      </c>
      <c r="C1244" t="s">
        <v>138</v>
      </c>
      <c r="D1244" t="s">
        <v>97</v>
      </c>
      <c r="E1244" t="s">
        <v>57</v>
      </c>
      <c r="F1244" t="s">
        <v>36</v>
      </c>
      <c r="G1244" t="s">
        <v>51</v>
      </c>
      <c r="H1244" t="s">
        <v>116</v>
      </c>
      <c r="I1244" t="s">
        <v>60</v>
      </c>
      <c r="J1244" s="2">
        <v>7</v>
      </c>
      <c r="K1244" s="3">
        <v>2671.98</v>
      </c>
      <c r="L1244" s="3">
        <v>1889.16</v>
      </c>
      <c r="M1244" s="4">
        <v>0</v>
      </c>
      <c r="N1244" s="3">
        <f t="shared" si="95"/>
        <v>18703.86</v>
      </c>
      <c r="O1244" s="3">
        <f t="shared" si="96"/>
        <v>18703.86</v>
      </c>
      <c r="P1244" s="3">
        <f t="shared" si="97"/>
        <v>13224.12</v>
      </c>
      <c r="Q1244" s="3">
        <f t="shared" si="98"/>
        <v>5479.74</v>
      </c>
      <c r="R1244" s="4">
        <f t="shared" si="99"/>
        <v>0.29299999999999998</v>
      </c>
      <c r="S1244" s="2">
        <v>11</v>
      </c>
      <c r="T1244" t="s">
        <v>30</v>
      </c>
      <c r="U1244">
        <v>2</v>
      </c>
    </row>
    <row r="1245" spans="1:22" x14ac:dyDescent="0.25">
      <c r="A1245" s="1">
        <v>46209</v>
      </c>
      <c r="B1245" t="s">
        <v>1439</v>
      </c>
      <c r="C1245" t="s">
        <v>190</v>
      </c>
      <c r="D1245" t="s">
        <v>49</v>
      </c>
      <c r="E1245" t="s">
        <v>50</v>
      </c>
      <c r="F1245" t="s">
        <v>26</v>
      </c>
      <c r="G1245" t="s">
        <v>37</v>
      </c>
      <c r="H1245" t="s">
        <v>38</v>
      </c>
      <c r="I1245" t="s">
        <v>65</v>
      </c>
      <c r="J1245" s="2">
        <v>4</v>
      </c>
      <c r="K1245" s="3">
        <v>422.7</v>
      </c>
      <c r="L1245" s="3">
        <v>196.41</v>
      </c>
      <c r="M1245" s="4">
        <v>2.46E-2</v>
      </c>
      <c r="N1245" s="3">
        <f t="shared" si="95"/>
        <v>1690.8</v>
      </c>
      <c r="O1245" s="3">
        <f t="shared" si="96"/>
        <v>1649.21</v>
      </c>
      <c r="P1245" s="3">
        <f t="shared" si="97"/>
        <v>785.64</v>
      </c>
      <c r="Q1245" s="3">
        <f t="shared" si="98"/>
        <v>863.57</v>
      </c>
      <c r="R1245" s="4">
        <f t="shared" si="99"/>
        <v>0.52359999999999995</v>
      </c>
      <c r="S1245" s="2">
        <v>9</v>
      </c>
      <c r="T1245" t="s">
        <v>46</v>
      </c>
      <c r="U1245">
        <v>4</v>
      </c>
    </row>
    <row r="1246" spans="1:22" x14ac:dyDescent="0.25">
      <c r="A1246" s="1">
        <v>46128</v>
      </c>
      <c r="B1246" t="s">
        <v>1440</v>
      </c>
      <c r="C1246" t="s">
        <v>331</v>
      </c>
      <c r="D1246" t="s">
        <v>130</v>
      </c>
      <c r="E1246" t="s">
        <v>72</v>
      </c>
      <c r="F1246" t="s">
        <v>58</v>
      </c>
      <c r="G1246" t="s">
        <v>44</v>
      </c>
      <c r="H1246" t="s">
        <v>45</v>
      </c>
      <c r="I1246" t="s">
        <v>94</v>
      </c>
      <c r="J1246" s="2">
        <v>1</v>
      </c>
      <c r="K1246" s="3">
        <v>384.91</v>
      </c>
      <c r="L1246" s="3">
        <v>221.37</v>
      </c>
      <c r="M1246" s="4">
        <v>0.15890000000000001</v>
      </c>
      <c r="N1246" s="3">
        <f t="shared" si="95"/>
        <v>384.91</v>
      </c>
      <c r="O1246" s="3">
        <f t="shared" si="96"/>
        <v>323.75</v>
      </c>
      <c r="P1246" s="3">
        <f t="shared" si="97"/>
        <v>221.37</v>
      </c>
      <c r="Q1246" s="3">
        <f t="shared" si="98"/>
        <v>102.38</v>
      </c>
      <c r="R1246" s="4">
        <f t="shared" si="99"/>
        <v>0.31619999999999998</v>
      </c>
      <c r="S1246" s="2">
        <v>10</v>
      </c>
      <c r="T1246" t="s">
        <v>46</v>
      </c>
      <c r="U1246">
        <v>2</v>
      </c>
    </row>
    <row r="1247" spans="1:22" x14ac:dyDescent="0.25">
      <c r="A1247" s="1">
        <v>46223</v>
      </c>
      <c r="B1247" t="s">
        <v>1441</v>
      </c>
      <c r="C1247" t="s">
        <v>386</v>
      </c>
      <c r="D1247" t="s">
        <v>97</v>
      </c>
      <c r="E1247" t="s">
        <v>57</v>
      </c>
      <c r="F1247" t="s">
        <v>64</v>
      </c>
      <c r="G1247" t="s">
        <v>51</v>
      </c>
      <c r="H1247" t="s">
        <v>116</v>
      </c>
      <c r="I1247" t="s">
        <v>74</v>
      </c>
      <c r="J1247" s="2">
        <v>1</v>
      </c>
      <c r="K1247" s="3">
        <v>2868.12</v>
      </c>
      <c r="L1247" s="3">
        <v>1865.58</v>
      </c>
      <c r="M1247" s="4">
        <v>6.5699999999999995E-2</v>
      </c>
      <c r="N1247" s="3">
        <f t="shared" si="95"/>
        <v>2868.12</v>
      </c>
      <c r="O1247" s="3">
        <f t="shared" si="96"/>
        <v>2679.68</v>
      </c>
      <c r="P1247" s="3">
        <f t="shared" si="97"/>
        <v>1865.58</v>
      </c>
      <c r="Q1247" s="3">
        <f t="shared" si="98"/>
        <v>814.1</v>
      </c>
      <c r="R1247" s="4">
        <f t="shared" si="99"/>
        <v>0.30380000000000001</v>
      </c>
      <c r="S1247" s="2">
        <v>3</v>
      </c>
      <c r="T1247" t="s">
        <v>46</v>
      </c>
      <c r="U1247">
        <v>4</v>
      </c>
    </row>
    <row r="1248" spans="1:22" x14ac:dyDescent="0.25">
      <c r="A1248" s="1">
        <v>46038</v>
      </c>
      <c r="B1248" t="s">
        <v>1442</v>
      </c>
      <c r="C1248" t="s">
        <v>132</v>
      </c>
      <c r="D1248" t="s">
        <v>126</v>
      </c>
      <c r="E1248" t="s">
        <v>57</v>
      </c>
      <c r="F1248" t="s">
        <v>26</v>
      </c>
      <c r="G1248" t="s">
        <v>51</v>
      </c>
      <c r="H1248" t="s">
        <v>52</v>
      </c>
      <c r="I1248" t="s">
        <v>53</v>
      </c>
      <c r="J1248" s="2">
        <v>7</v>
      </c>
      <c r="K1248" s="3">
        <v>268.45999999999998</v>
      </c>
      <c r="L1248" s="3">
        <v>113.99</v>
      </c>
      <c r="M1248" s="4">
        <v>0</v>
      </c>
      <c r="N1248" s="3">
        <f t="shared" si="95"/>
        <v>1879.22</v>
      </c>
      <c r="O1248" s="3">
        <f t="shared" si="96"/>
        <v>1879.22</v>
      </c>
      <c r="P1248" s="3">
        <f t="shared" si="97"/>
        <v>797.93</v>
      </c>
      <c r="Q1248" s="3">
        <f t="shared" si="98"/>
        <v>1081.29</v>
      </c>
      <c r="R1248" s="4">
        <f t="shared" si="99"/>
        <v>0.57540000000000002</v>
      </c>
      <c r="S1248" s="2">
        <v>5</v>
      </c>
      <c r="T1248" t="s">
        <v>46</v>
      </c>
      <c r="U1248">
        <v>4</v>
      </c>
    </row>
    <row r="1249" spans="1:21" x14ac:dyDescent="0.25">
      <c r="A1249" s="1">
        <v>46210</v>
      </c>
      <c r="B1249" t="s">
        <v>1443</v>
      </c>
      <c r="C1249" t="s">
        <v>476</v>
      </c>
      <c r="D1249" t="s">
        <v>207</v>
      </c>
      <c r="E1249" t="s">
        <v>35</v>
      </c>
      <c r="F1249" t="s">
        <v>36</v>
      </c>
      <c r="G1249" t="s">
        <v>37</v>
      </c>
      <c r="H1249" t="s">
        <v>38</v>
      </c>
      <c r="I1249" t="s">
        <v>94</v>
      </c>
      <c r="J1249" s="2">
        <v>7</v>
      </c>
      <c r="K1249" s="3">
        <v>411.04</v>
      </c>
      <c r="L1249" s="3">
        <v>185.03</v>
      </c>
      <c r="M1249" s="4">
        <v>5.11E-2</v>
      </c>
      <c r="N1249" s="3">
        <f t="shared" si="95"/>
        <v>2877.28</v>
      </c>
      <c r="O1249" s="3">
        <f t="shared" si="96"/>
        <v>2730.25</v>
      </c>
      <c r="P1249" s="3">
        <f t="shared" si="97"/>
        <v>1295.21</v>
      </c>
      <c r="Q1249" s="3">
        <f t="shared" si="98"/>
        <v>1435.04</v>
      </c>
      <c r="R1249" s="4">
        <f t="shared" si="99"/>
        <v>0.52559999999999996</v>
      </c>
      <c r="S1249" s="2">
        <v>8</v>
      </c>
      <c r="T1249" t="s">
        <v>40</v>
      </c>
    </row>
    <row r="1250" spans="1:21" x14ac:dyDescent="0.25">
      <c r="A1250" s="1">
        <v>46125</v>
      </c>
      <c r="B1250" t="s">
        <v>1444</v>
      </c>
      <c r="C1250" t="s">
        <v>120</v>
      </c>
      <c r="D1250" t="s">
        <v>101</v>
      </c>
      <c r="E1250" t="s">
        <v>35</v>
      </c>
      <c r="F1250" t="s">
        <v>64</v>
      </c>
      <c r="G1250" t="s">
        <v>44</v>
      </c>
      <c r="H1250" t="s">
        <v>45</v>
      </c>
      <c r="I1250" t="s">
        <v>77</v>
      </c>
      <c r="J1250" s="2">
        <v>4</v>
      </c>
      <c r="K1250" s="3">
        <v>405.68</v>
      </c>
      <c r="L1250" s="3">
        <v>212.18</v>
      </c>
      <c r="M1250" s="4">
        <v>0</v>
      </c>
      <c r="N1250" s="3">
        <f t="shared" si="95"/>
        <v>1622.72</v>
      </c>
      <c r="O1250" s="3">
        <f t="shared" si="96"/>
        <v>1622.72</v>
      </c>
      <c r="P1250" s="3">
        <f t="shared" si="97"/>
        <v>848.72</v>
      </c>
      <c r="Q1250" s="3">
        <f t="shared" si="98"/>
        <v>774</v>
      </c>
      <c r="R1250" s="4">
        <f t="shared" si="99"/>
        <v>0.47699999999999998</v>
      </c>
      <c r="S1250" s="2">
        <v>10</v>
      </c>
      <c r="T1250" t="s">
        <v>46</v>
      </c>
      <c r="U1250">
        <v>3</v>
      </c>
    </row>
    <row r="1251" spans="1:21" x14ac:dyDescent="0.25">
      <c r="A1251" s="1">
        <v>46128</v>
      </c>
      <c r="B1251" t="s">
        <v>1445</v>
      </c>
      <c r="C1251" t="s">
        <v>456</v>
      </c>
      <c r="D1251" t="s">
        <v>130</v>
      </c>
      <c r="E1251" t="s">
        <v>72</v>
      </c>
      <c r="F1251" t="s">
        <v>26</v>
      </c>
      <c r="G1251" t="s">
        <v>37</v>
      </c>
      <c r="H1251" t="s">
        <v>104</v>
      </c>
      <c r="I1251" t="s">
        <v>74</v>
      </c>
      <c r="J1251" s="2">
        <v>2</v>
      </c>
      <c r="K1251" s="3">
        <v>327.58999999999997</v>
      </c>
      <c r="L1251" s="3">
        <v>145.03</v>
      </c>
      <c r="M1251" s="4">
        <v>0.1288</v>
      </c>
      <c r="N1251" s="3">
        <f t="shared" si="95"/>
        <v>655.17999999999995</v>
      </c>
      <c r="O1251" s="3">
        <f t="shared" si="96"/>
        <v>570.79</v>
      </c>
      <c r="P1251" s="3">
        <f t="shared" si="97"/>
        <v>290.06</v>
      </c>
      <c r="Q1251" s="3">
        <f t="shared" si="98"/>
        <v>280.73</v>
      </c>
      <c r="R1251" s="4">
        <f t="shared" si="99"/>
        <v>0.49180000000000001</v>
      </c>
      <c r="S1251" s="2">
        <v>12</v>
      </c>
      <c r="T1251" t="s">
        <v>30</v>
      </c>
      <c r="U1251">
        <v>3</v>
      </c>
    </row>
    <row r="1252" spans="1:21" x14ac:dyDescent="0.25">
      <c r="A1252" s="1">
        <v>46166</v>
      </c>
      <c r="B1252" t="s">
        <v>1446</v>
      </c>
      <c r="C1252" t="s">
        <v>138</v>
      </c>
      <c r="D1252" t="s">
        <v>24</v>
      </c>
      <c r="E1252" t="s">
        <v>25</v>
      </c>
      <c r="F1252" t="s">
        <v>26</v>
      </c>
      <c r="G1252" t="s">
        <v>51</v>
      </c>
      <c r="H1252" t="s">
        <v>52</v>
      </c>
      <c r="I1252" t="s">
        <v>87</v>
      </c>
      <c r="J1252" s="2">
        <v>6</v>
      </c>
      <c r="K1252" s="3">
        <v>267.38</v>
      </c>
      <c r="L1252" s="3">
        <v>120.07</v>
      </c>
      <c r="M1252" s="4">
        <v>0.10059999999999999</v>
      </c>
      <c r="N1252" s="3">
        <f t="shared" si="95"/>
        <v>1604.28</v>
      </c>
      <c r="O1252" s="3">
        <f t="shared" si="96"/>
        <v>1442.89</v>
      </c>
      <c r="P1252" s="3">
        <f t="shared" si="97"/>
        <v>720.42</v>
      </c>
      <c r="Q1252" s="3">
        <f t="shared" si="98"/>
        <v>722.47</v>
      </c>
      <c r="R1252" s="4">
        <f t="shared" si="99"/>
        <v>0.50070000000000003</v>
      </c>
      <c r="S1252" s="2">
        <v>4</v>
      </c>
      <c r="T1252" t="s">
        <v>46</v>
      </c>
      <c r="U1252">
        <v>4</v>
      </c>
    </row>
    <row r="1253" spans="1:21" x14ac:dyDescent="0.25">
      <c r="A1253" s="1">
        <v>46067</v>
      </c>
      <c r="B1253" t="s">
        <v>1447</v>
      </c>
      <c r="C1253" t="s">
        <v>216</v>
      </c>
      <c r="D1253" t="s">
        <v>207</v>
      </c>
      <c r="E1253" t="s">
        <v>35</v>
      </c>
      <c r="F1253" t="s">
        <v>64</v>
      </c>
      <c r="G1253" t="s">
        <v>37</v>
      </c>
      <c r="H1253" t="s">
        <v>178</v>
      </c>
      <c r="I1253" t="s">
        <v>92</v>
      </c>
      <c r="J1253" s="2">
        <v>8</v>
      </c>
      <c r="K1253" s="3">
        <v>536.92999999999995</v>
      </c>
      <c r="L1253" s="3">
        <v>236.98</v>
      </c>
      <c r="M1253" s="4">
        <v>0</v>
      </c>
      <c r="N1253" s="3">
        <f t="shared" si="95"/>
        <v>4295.4399999999996</v>
      </c>
      <c r="O1253" s="3">
        <f t="shared" si="96"/>
        <v>4295.4399999999996</v>
      </c>
      <c r="P1253" s="3">
        <f t="shared" si="97"/>
        <v>1895.84</v>
      </c>
      <c r="Q1253" s="3">
        <f t="shared" si="98"/>
        <v>2399.6</v>
      </c>
      <c r="R1253" s="4">
        <f t="shared" si="99"/>
        <v>0.55859999999999999</v>
      </c>
      <c r="S1253" s="2">
        <v>5</v>
      </c>
      <c r="T1253" t="s">
        <v>46</v>
      </c>
      <c r="U1253">
        <v>2</v>
      </c>
    </row>
    <row r="1254" spans="1:21" x14ac:dyDescent="0.25">
      <c r="A1254" s="1">
        <v>46092</v>
      </c>
      <c r="B1254" t="s">
        <v>1448</v>
      </c>
      <c r="C1254" t="s">
        <v>329</v>
      </c>
      <c r="D1254" t="s">
        <v>207</v>
      </c>
      <c r="E1254" t="s">
        <v>35</v>
      </c>
      <c r="F1254" t="s">
        <v>26</v>
      </c>
      <c r="G1254" t="s">
        <v>37</v>
      </c>
      <c r="H1254" t="s">
        <v>178</v>
      </c>
      <c r="I1254" t="s">
        <v>74</v>
      </c>
      <c r="J1254" s="2">
        <v>4</v>
      </c>
      <c r="K1254" s="3">
        <v>511.61</v>
      </c>
      <c r="L1254" s="3">
        <v>251.28</v>
      </c>
      <c r="M1254" s="4">
        <v>0.11650000000000001</v>
      </c>
      <c r="N1254" s="3">
        <f t="shared" si="95"/>
        <v>2046.44</v>
      </c>
      <c r="O1254" s="3">
        <f t="shared" si="96"/>
        <v>1808.03</v>
      </c>
      <c r="P1254" s="3">
        <f t="shared" si="97"/>
        <v>1005.12</v>
      </c>
      <c r="Q1254" s="3">
        <f t="shared" si="98"/>
        <v>802.91</v>
      </c>
      <c r="R1254" s="4">
        <f t="shared" si="99"/>
        <v>0.44409999999999999</v>
      </c>
      <c r="S1254" s="2">
        <v>4</v>
      </c>
      <c r="T1254" t="s">
        <v>46</v>
      </c>
      <c r="U1254">
        <v>5</v>
      </c>
    </row>
    <row r="1255" spans="1:21" x14ac:dyDescent="0.25">
      <c r="A1255" s="1">
        <v>46130</v>
      </c>
      <c r="B1255" t="s">
        <v>1449</v>
      </c>
      <c r="C1255" t="s">
        <v>136</v>
      </c>
      <c r="D1255" t="s">
        <v>121</v>
      </c>
      <c r="E1255" t="s">
        <v>72</v>
      </c>
      <c r="F1255" t="s">
        <v>26</v>
      </c>
      <c r="G1255" t="s">
        <v>51</v>
      </c>
      <c r="H1255" t="s">
        <v>116</v>
      </c>
      <c r="I1255" t="s">
        <v>29</v>
      </c>
      <c r="J1255" s="2">
        <v>2</v>
      </c>
      <c r="K1255" s="3">
        <v>2633.84</v>
      </c>
      <c r="L1255" s="3">
        <v>1931.63</v>
      </c>
      <c r="M1255" s="4">
        <v>0</v>
      </c>
      <c r="N1255" s="3">
        <f t="shared" si="95"/>
        <v>5267.68</v>
      </c>
      <c r="O1255" s="3">
        <f t="shared" si="96"/>
        <v>5267.68</v>
      </c>
      <c r="P1255" s="3">
        <f t="shared" si="97"/>
        <v>3863.26</v>
      </c>
      <c r="Q1255" s="3">
        <f t="shared" si="98"/>
        <v>1404.42</v>
      </c>
      <c r="R1255" s="4">
        <f t="shared" si="99"/>
        <v>0.2666</v>
      </c>
      <c r="S1255" s="2">
        <v>4</v>
      </c>
      <c r="T1255" t="s">
        <v>46</v>
      </c>
      <c r="U1255">
        <v>5</v>
      </c>
    </row>
    <row r="1256" spans="1:21" x14ac:dyDescent="0.25">
      <c r="A1256" s="1">
        <v>46048</v>
      </c>
      <c r="B1256" t="s">
        <v>1450</v>
      </c>
      <c r="C1256" t="s">
        <v>84</v>
      </c>
      <c r="D1256" t="s">
        <v>34</v>
      </c>
      <c r="E1256" t="s">
        <v>35</v>
      </c>
      <c r="F1256" t="s">
        <v>26</v>
      </c>
      <c r="G1256" t="s">
        <v>51</v>
      </c>
      <c r="H1256" t="s">
        <v>59</v>
      </c>
      <c r="I1256" t="s">
        <v>92</v>
      </c>
      <c r="J1256" s="2">
        <v>2</v>
      </c>
      <c r="K1256" s="3">
        <v>2171.9699999999998</v>
      </c>
      <c r="L1256" s="3">
        <v>1363.3</v>
      </c>
      <c r="M1256" s="4">
        <v>0</v>
      </c>
      <c r="N1256" s="3">
        <f t="shared" si="95"/>
        <v>4343.9399999999996</v>
      </c>
      <c r="O1256" s="3">
        <f t="shared" si="96"/>
        <v>4343.9399999999996</v>
      </c>
      <c r="P1256" s="3">
        <f t="shared" si="97"/>
        <v>2726.6</v>
      </c>
      <c r="Q1256" s="3">
        <f t="shared" si="98"/>
        <v>1617.34</v>
      </c>
      <c r="R1256" s="4">
        <f t="shared" si="99"/>
        <v>0.37230000000000002</v>
      </c>
      <c r="S1256" s="2">
        <v>13</v>
      </c>
      <c r="T1256" t="s">
        <v>30</v>
      </c>
      <c r="U1256">
        <v>2</v>
      </c>
    </row>
    <row r="1257" spans="1:21" x14ac:dyDescent="0.25">
      <c r="A1257" s="1">
        <v>46136</v>
      </c>
      <c r="B1257" t="s">
        <v>1451</v>
      </c>
      <c r="C1257" t="s">
        <v>23</v>
      </c>
      <c r="D1257" t="s">
        <v>113</v>
      </c>
      <c r="E1257" t="s">
        <v>50</v>
      </c>
      <c r="F1257" t="s">
        <v>58</v>
      </c>
      <c r="G1257" t="s">
        <v>37</v>
      </c>
      <c r="H1257" t="s">
        <v>38</v>
      </c>
      <c r="I1257" t="s">
        <v>53</v>
      </c>
      <c r="J1257" s="2">
        <v>6</v>
      </c>
      <c r="K1257" s="3">
        <v>452.17</v>
      </c>
      <c r="L1257" s="3">
        <v>189</v>
      </c>
      <c r="M1257" s="4">
        <v>0.10199999999999999</v>
      </c>
      <c r="N1257" s="3">
        <f t="shared" si="95"/>
        <v>2713.02</v>
      </c>
      <c r="O1257" s="3">
        <f t="shared" si="96"/>
        <v>2436.29</v>
      </c>
      <c r="P1257" s="3">
        <f t="shared" si="97"/>
        <v>1134</v>
      </c>
      <c r="Q1257" s="3">
        <f t="shared" si="98"/>
        <v>1302.29</v>
      </c>
      <c r="R1257" s="4">
        <f t="shared" si="99"/>
        <v>0.53449999999999998</v>
      </c>
      <c r="S1257" s="2">
        <v>11</v>
      </c>
      <c r="T1257" t="s">
        <v>30</v>
      </c>
      <c r="U1257">
        <v>3</v>
      </c>
    </row>
    <row r="1258" spans="1:21" x14ac:dyDescent="0.25">
      <c r="A1258" s="1">
        <v>46035</v>
      </c>
      <c r="B1258" t="s">
        <v>1452</v>
      </c>
      <c r="C1258" t="s">
        <v>82</v>
      </c>
      <c r="D1258" t="s">
        <v>121</v>
      </c>
      <c r="E1258" t="s">
        <v>72</v>
      </c>
      <c r="F1258" t="s">
        <v>26</v>
      </c>
      <c r="G1258" t="s">
        <v>51</v>
      </c>
      <c r="H1258" t="s">
        <v>116</v>
      </c>
      <c r="I1258" t="s">
        <v>39</v>
      </c>
      <c r="J1258" s="2">
        <v>2</v>
      </c>
      <c r="K1258" s="3">
        <v>2647.66</v>
      </c>
      <c r="L1258" s="3">
        <v>1869.7</v>
      </c>
      <c r="M1258" s="4">
        <v>0</v>
      </c>
      <c r="N1258" s="3">
        <f t="shared" si="95"/>
        <v>5295.32</v>
      </c>
      <c r="O1258" s="3">
        <f t="shared" si="96"/>
        <v>5295.32</v>
      </c>
      <c r="P1258" s="3">
        <f t="shared" si="97"/>
        <v>3739.4</v>
      </c>
      <c r="Q1258" s="3">
        <f t="shared" si="98"/>
        <v>1555.92</v>
      </c>
      <c r="R1258" s="4">
        <f t="shared" si="99"/>
        <v>0.29380000000000001</v>
      </c>
      <c r="S1258" s="2">
        <v>3</v>
      </c>
      <c r="T1258" t="s">
        <v>46</v>
      </c>
      <c r="U1258">
        <v>4</v>
      </c>
    </row>
    <row r="1259" spans="1:21" x14ac:dyDescent="0.25">
      <c r="A1259" s="1">
        <v>46084</v>
      </c>
      <c r="B1259" t="s">
        <v>1453</v>
      </c>
      <c r="C1259" t="s">
        <v>48</v>
      </c>
      <c r="D1259" t="s">
        <v>97</v>
      </c>
      <c r="E1259" t="s">
        <v>57</v>
      </c>
      <c r="F1259" t="s">
        <v>58</v>
      </c>
      <c r="G1259" t="s">
        <v>51</v>
      </c>
      <c r="H1259" t="s">
        <v>52</v>
      </c>
      <c r="I1259" t="s">
        <v>77</v>
      </c>
      <c r="J1259" s="2">
        <v>7</v>
      </c>
      <c r="K1259" s="3">
        <v>259.33999999999997</v>
      </c>
      <c r="L1259" s="3">
        <v>120.29</v>
      </c>
      <c r="M1259" s="4">
        <v>5.11E-2</v>
      </c>
      <c r="N1259" s="3">
        <f t="shared" si="95"/>
        <v>1815.38</v>
      </c>
      <c r="O1259" s="3">
        <f t="shared" si="96"/>
        <v>1722.61</v>
      </c>
      <c r="P1259" s="3">
        <f t="shared" si="97"/>
        <v>842.03</v>
      </c>
      <c r="Q1259" s="3">
        <f t="shared" si="98"/>
        <v>880.58</v>
      </c>
      <c r="R1259" s="4">
        <f t="shared" si="99"/>
        <v>0.51119999999999999</v>
      </c>
      <c r="S1259" s="2">
        <v>4</v>
      </c>
      <c r="T1259" t="s">
        <v>46</v>
      </c>
      <c r="U1259">
        <v>4</v>
      </c>
    </row>
    <row r="1260" spans="1:21" x14ac:dyDescent="0.25">
      <c r="A1260" s="1">
        <v>46179</v>
      </c>
      <c r="B1260" t="s">
        <v>1454</v>
      </c>
      <c r="C1260" t="s">
        <v>187</v>
      </c>
      <c r="D1260" t="s">
        <v>207</v>
      </c>
      <c r="E1260" t="s">
        <v>35</v>
      </c>
      <c r="F1260" t="s">
        <v>64</v>
      </c>
      <c r="G1260" t="s">
        <v>51</v>
      </c>
      <c r="H1260" t="s">
        <v>116</v>
      </c>
      <c r="I1260" t="s">
        <v>87</v>
      </c>
      <c r="J1260" s="2">
        <v>2</v>
      </c>
      <c r="K1260" s="3">
        <v>2889.94</v>
      </c>
      <c r="L1260" s="3">
        <v>1767.45</v>
      </c>
      <c r="M1260" s="4">
        <v>0.12230000000000001</v>
      </c>
      <c r="N1260" s="3">
        <f t="shared" si="95"/>
        <v>5779.88</v>
      </c>
      <c r="O1260" s="3">
        <f t="shared" si="96"/>
        <v>5073</v>
      </c>
      <c r="P1260" s="3">
        <f t="shared" si="97"/>
        <v>3534.9</v>
      </c>
      <c r="Q1260" s="3">
        <f t="shared" si="98"/>
        <v>1538.1</v>
      </c>
      <c r="R1260" s="4">
        <f t="shared" si="99"/>
        <v>0.30320000000000003</v>
      </c>
      <c r="S1260" s="2">
        <v>8</v>
      </c>
      <c r="T1260" t="s">
        <v>46</v>
      </c>
      <c r="U1260">
        <v>3</v>
      </c>
    </row>
    <row r="1261" spans="1:21" x14ac:dyDescent="0.25">
      <c r="A1261" s="1">
        <v>46156</v>
      </c>
      <c r="B1261" t="s">
        <v>1455</v>
      </c>
      <c r="C1261" t="s">
        <v>55</v>
      </c>
      <c r="D1261" t="s">
        <v>207</v>
      </c>
      <c r="E1261" t="s">
        <v>35</v>
      </c>
      <c r="F1261" t="s">
        <v>26</v>
      </c>
      <c r="G1261" t="s">
        <v>37</v>
      </c>
      <c r="H1261" t="s">
        <v>178</v>
      </c>
      <c r="I1261" t="s">
        <v>60</v>
      </c>
      <c r="J1261" s="2">
        <v>6</v>
      </c>
      <c r="K1261" s="3">
        <v>499.08</v>
      </c>
      <c r="L1261" s="3">
        <v>246.95</v>
      </c>
      <c r="M1261" s="4">
        <v>1.41E-2</v>
      </c>
      <c r="N1261" s="3">
        <f t="shared" si="95"/>
        <v>2994.48</v>
      </c>
      <c r="O1261" s="3">
        <f t="shared" si="96"/>
        <v>2952.26</v>
      </c>
      <c r="P1261" s="3">
        <f t="shared" si="97"/>
        <v>1481.7</v>
      </c>
      <c r="Q1261" s="3">
        <f t="shared" si="98"/>
        <v>1470.56</v>
      </c>
      <c r="R1261" s="4">
        <f t="shared" si="99"/>
        <v>0.49809999999999999</v>
      </c>
      <c r="S1261" s="2">
        <v>7</v>
      </c>
      <c r="T1261" t="s">
        <v>46</v>
      </c>
      <c r="U1261">
        <v>3</v>
      </c>
    </row>
    <row r="1262" spans="1:21" x14ac:dyDescent="0.25">
      <c r="A1262" s="1">
        <v>46039</v>
      </c>
      <c r="B1262" t="s">
        <v>1456</v>
      </c>
      <c r="C1262" t="s">
        <v>284</v>
      </c>
      <c r="D1262" t="s">
        <v>113</v>
      </c>
      <c r="E1262" t="s">
        <v>50</v>
      </c>
      <c r="F1262" t="s">
        <v>26</v>
      </c>
      <c r="G1262" t="s">
        <v>51</v>
      </c>
      <c r="H1262" t="s">
        <v>52</v>
      </c>
      <c r="I1262" t="s">
        <v>65</v>
      </c>
      <c r="J1262" s="2">
        <v>2</v>
      </c>
      <c r="K1262" s="3">
        <v>246.2</v>
      </c>
      <c r="L1262" s="3">
        <v>121.27</v>
      </c>
      <c r="M1262" s="4">
        <v>4.5900000000000003E-2</v>
      </c>
      <c r="N1262" s="3">
        <f t="shared" si="95"/>
        <v>492.4</v>
      </c>
      <c r="O1262" s="3">
        <f t="shared" si="96"/>
        <v>469.8</v>
      </c>
      <c r="P1262" s="3">
        <f t="shared" si="97"/>
        <v>242.54</v>
      </c>
      <c r="Q1262" s="3">
        <f t="shared" si="98"/>
        <v>227.26</v>
      </c>
      <c r="R1262" s="4">
        <f t="shared" si="99"/>
        <v>0.48370000000000002</v>
      </c>
      <c r="S1262" s="2">
        <v>12</v>
      </c>
      <c r="T1262" t="s">
        <v>30</v>
      </c>
      <c r="U1262">
        <v>2</v>
      </c>
    </row>
    <row r="1263" spans="1:21" x14ac:dyDescent="0.25">
      <c r="A1263" s="1">
        <v>46208</v>
      </c>
      <c r="B1263" t="s">
        <v>1457</v>
      </c>
      <c r="C1263" t="s">
        <v>82</v>
      </c>
      <c r="D1263" t="s">
        <v>207</v>
      </c>
      <c r="E1263" t="s">
        <v>35</v>
      </c>
      <c r="F1263" t="s">
        <v>26</v>
      </c>
      <c r="G1263" t="s">
        <v>51</v>
      </c>
      <c r="H1263" t="s">
        <v>52</v>
      </c>
      <c r="I1263" t="s">
        <v>53</v>
      </c>
      <c r="J1263" s="2">
        <v>6</v>
      </c>
      <c r="K1263" s="3">
        <v>273.29000000000002</v>
      </c>
      <c r="L1263" s="3">
        <v>116.04</v>
      </c>
      <c r="M1263" s="4">
        <v>3.5700000000000003E-2</v>
      </c>
      <c r="N1263" s="3">
        <f t="shared" si="95"/>
        <v>1639.74</v>
      </c>
      <c r="O1263" s="3">
        <f t="shared" si="96"/>
        <v>1581.2</v>
      </c>
      <c r="P1263" s="3">
        <f t="shared" si="97"/>
        <v>696.24</v>
      </c>
      <c r="Q1263" s="3">
        <f t="shared" si="98"/>
        <v>884.96</v>
      </c>
      <c r="R1263" s="4">
        <f t="shared" si="99"/>
        <v>0.55969999999999998</v>
      </c>
      <c r="S1263" s="2">
        <v>13</v>
      </c>
      <c r="T1263" t="s">
        <v>30</v>
      </c>
      <c r="U1263">
        <v>4</v>
      </c>
    </row>
    <row r="1264" spans="1:21" x14ac:dyDescent="0.25">
      <c r="A1264" s="1">
        <v>46152</v>
      </c>
      <c r="B1264" t="s">
        <v>1458</v>
      </c>
      <c r="C1264" t="s">
        <v>297</v>
      </c>
      <c r="D1264" t="s">
        <v>56</v>
      </c>
      <c r="E1264" t="s">
        <v>57</v>
      </c>
      <c r="F1264" t="s">
        <v>64</v>
      </c>
      <c r="G1264" t="s">
        <v>27</v>
      </c>
      <c r="H1264" t="s">
        <v>28</v>
      </c>
      <c r="I1264" t="s">
        <v>60</v>
      </c>
      <c r="J1264" s="2">
        <v>8</v>
      </c>
      <c r="K1264" s="3">
        <v>797.04</v>
      </c>
      <c r="L1264" s="3">
        <v>460.6</v>
      </c>
      <c r="M1264" s="4">
        <v>0</v>
      </c>
      <c r="N1264" s="3">
        <f t="shared" si="95"/>
        <v>6376.32</v>
      </c>
      <c r="O1264" s="3">
        <f t="shared" si="96"/>
        <v>6376.32</v>
      </c>
      <c r="P1264" s="3">
        <f t="shared" si="97"/>
        <v>3684.8</v>
      </c>
      <c r="Q1264" s="3">
        <f t="shared" si="98"/>
        <v>2691.52</v>
      </c>
      <c r="R1264" s="4">
        <f t="shared" si="99"/>
        <v>0.42209999999999998</v>
      </c>
      <c r="S1264" s="2">
        <v>11</v>
      </c>
      <c r="T1264" t="s">
        <v>30</v>
      </c>
      <c r="U1264">
        <v>3</v>
      </c>
    </row>
    <row r="1265" spans="1:22" x14ac:dyDescent="0.25">
      <c r="A1265" s="1">
        <v>46184</v>
      </c>
      <c r="B1265" t="s">
        <v>1459</v>
      </c>
      <c r="C1265" t="s">
        <v>48</v>
      </c>
      <c r="D1265" t="s">
        <v>97</v>
      </c>
      <c r="E1265" t="s">
        <v>57</v>
      </c>
      <c r="F1265" t="s">
        <v>64</v>
      </c>
      <c r="G1265" t="s">
        <v>27</v>
      </c>
      <c r="H1265" t="s">
        <v>86</v>
      </c>
      <c r="I1265" t="s">
        <v>92</v>
      </c>
      <c r="J1265" s="2">
        <v>3</v>
      </c>
      <c r="K1265" s="3">
        <v>1922.42</v>
      </c>
      <c r="L1265" s="3">
        <v>1183</v>
      </c>
      <c r="M1265" s="4">
        <v>6.83E-2</v>
      </c>
      <c r="N1265" s="3">
        <f t="shared" si="95"/>
        <v>5767.26</v>
      </c>
      <c r="O1265" s="3">
        <f t="shared" si="96"/>
        <v>5373.36</v>
      </c>
      <c r="P1265" s="3">
        <f t="shared" si="97"/>
        <v>3549</v>
      </c>
      <c r="Q1265" s="3">
        <f t="shared" si="98"/>
        <v>1824.36</v>
      </c>
      <c r="R1265" s="4">
        <f t="shared" si="99"/>
        <v>0.33950000000000002</v>
      </c>
      <c r="S1265" s="2">
        <v>12</v>
      </c>
      <c r="T1265" t="s">
        <v>40</v>
      </c>
    </row>
    <row r="1266" spans="1:22" x14ac:dyDescent="0.25">
      <c r="A1266" s="1">
        <v>46098</v>
      </c>
      <c r="B1266" t="s">
        <v>1460</v>
      </c>
      <c r="C1266" t="s">
        <v>142</v>
      </c>
      <c r="D1266" t="s">
        <v>56</v>
      </c>
      <c r="E1266" t="s">
        <v>57</v>
      </c>
      <c r="F1266" t="s">
        <v>58</v>
      </c>
      <c r="G1266" t="s">
        <v>44</v>
      </c>
      <c r="H1266" t="s">
        <v>73</v>
      </c>
      <c r="I1266" t="s">
        <v>29</v>
      </c>
      <c r="J1266" s="2">
        <v>5</v>
      </c>
      <c r="K1266" s="3">
        <v>1648.92</v>
      </c>
      <c r="L1266" s="3">
        <v>1079.55</v>
      </c>
      <c r="M1266" s="4">
        <v>8.8900000000000007E-2</v>
      </c>
      <c r="N1266" s="3">
        <f t="shared" si="95"/>
        <v>8244.6</v>
      </c>
      <c r="O1266" s="3">
        <f t="shared" si="96"/>
        <v>7511.66</v>
      </c>
      <c r="P1266" s="3">
        <f t="shared" si="97"/>
        <v>5397.75</v>
      </c>
      <c r="Q1266" s="3">
        <f t="shared" si="98"/>
        <v>2113.91</v>
      </c>
      <c r="R1266" s="4">
        <f t="shared" si="99"/>
        <v>0.28139999999999998</v>
      </c>
      <c r="S1266" s="2">
        <v>11</v>
      </c>
      <c r="T1266" t="s">
        <v>30</v>
      </c>
      <c r="U1266">
        <v>2</v>
      </c>
    </row>
    <row r="1267" spans="1:22" x14ac:dyDescent="0.25">
      <c r="A1267" s="1">
        <v>46030</v>
      </c>
      <c r="B1267" t="s">
        <v>1461</v>
      </c>
      <c r="C1267" t="s">
        <v>157</v>
      </c>
      <c r="D1267" t="s">
        <v>126</v>
      </c>
      <c r="E1267" t="s">
        <v>57</v>
      </c>
      <c r="F1267" t="s">
        <v>26</v>
      </c>
      <c r="G1267" t="s">
        <v>27</v>
      </c>
      <c r="H1267" t="s">
        <v>28</v>
      </c>
      <c r="I1267" t="s">
        <v>29</v>
      </c>
      <c r="J1267" s="2">
        <v>8</v>
      </c>
      <c r="K1267" s="3">
        <v>783</v>
      </c>
      <c r="L1267" s="3">
        <v>441.84</v>
      </c>
      <c r="M1267" s="4">
        <v>8.9899999999999994E-2</v>
      </c>
      <c r="N1267" s="3">
        <f t="shared" si="95"/>
        <v>6264</v>
      </c>
      <c r="O1267" s="3">
        <f t="shared" si="96"/>
        <v>5700.87</v>
      </c>
      <c r="P1267" s="3">
        <f t="shared" si="97"/>
        <v>3534.72</v>
      </c>
      <c r="Q1267" s="3">
        <f t="shared" si="98"/>
        <v>2166.15</v>
      </c>
      <c r="R1267" s="4">
        <f t="shared" si="99"/>
        <v>0.38</v>
      </c>
      <c r="S1267" s="2">
        <v>9</v>
      </c>
      <c r="T1267" t="s">
        <v>40</v>
      </c>
    </row>
    <row r="1268" spans="1:22" x14ac:dyDescent="0.25">
      <c r="A1268" s="1">
        <v>46112</v>
      </c>
      <c r="B1268" t="s">
        <v>1462</v>
      </c>
      <c r="C1268" t="s">
        <v>166</v>
      </c>
      <c r="D1268" t="s">
        <v>121</v>
      </c>
      <c r="E1268" t="s">
        <v>72</v>
      </c>
      <c r="F1268" t="s">
        <v>36</v>
      </c>
      <c r="G1268" t="s">
        <v>37</v>
      </c>
      <c r="H1268" t="s">
        <v>38</v>
      </c>
      <c r="I1268" t="s">
        <v>87</v>
      </c>
      <c r="J1268" s="2">
        <v>1</v>
      </c>
      <c r="K1268" s="3">
        <v>434.77</v>
      </c>
      <c r="L1268" s="3">
        <v>497.06</v>
      </c>
      <c r="M1268" s="4">
        <v>0</v>
      </c>
      <c r="N1268" s="3">
        <f t="shared" si="95"/>
        <v>434.77</v>
      </c>
      <c r="O1268" s="3">
        <f t="shared" si="96"/>
        <v>434.77</v>
      </c>
      <c r="P1268" s="3">
        <f t="shared" si="97"/>
        <v>497.06</v>
      </c>
      <c r="Q1268" s="3">
        <f t="shared" si="98"/>
        <v>-62.29</v>
      </c>
      <c r="R1268" s="4">
        <f t="shared" si="99"/>
        <v>-0.14330000000000001</v>
      </c>
      <c r="S1268" s="2">
        <v>4</v>
      </c>
      <c r="T1268" t="s">
        <v>46</v>
      </c>
      <c r="U1268">
        <v>4</v>
      </c>
      <c r="V1268" t="s">
        <v>388</v>
      </c>
    </row>
    <row r="1269" spans="1:22" x14ac:dyDescent="0.25">
      <c r="A1269" s="1">
        <v>46194</v>
      </c>
      <c r="B1269" t="s">
        <v>1463</v>
      </c>
      <c r="C1269" t="s">
        <v>560</v>
      </c>
      <c r="D1269" t="s">
        <v>71</v>
      </c>
      <c r="E1269" t="s">
        <v>72</v>
      </c>
      <c r="F1269" t="s">
        <v>36</v>
      </c>
      <c r="G1269" t="s">
        <v>37</v>
      </c>
      <c r="H1269" t="s">
        <v>38</v>
      </c>
      <c r="I1269" t="s">
        <v>29</v>
      </c>
      <c r="J1269" s="2">
        <v>5</v>
      </c>
      <c r="K1269" s="3">
        <v>451.81</v>
      </c>
      <c r="L1269" s="3">
        <v>198.27</v>
      </c>
      <c r="M1269" s="4">
        <v>8.2500000000000004E-2</v>
      </c>
      <c r="N1269" s="3">
        <f t="shared" si="95"/>
        <v>2259.0500000000002</v>
      </c>
      <c r="O1269" s="3">
        <f t="shared" si="96"/>
        <v>2072.6799999999998</v>
      </c>
      <c r="P1269" s="3">
        <f t="shared" si="97"/>
        <v>991.35</v>
      </c>
      <c r="Q1269" s="3">
        <f t="shared" si="98"/>
        <v>1081.33</v>
      </c>
      <c r="R1269" s="4">
        <f t="shared" si="99"/>
        <v>0.52170000000000005</v>
      </c>
      <c r="S1269" s="2">
        <v>8</v>
      </c>
      <c r="T1269" t="s">
        <v>46</v>
      </c>
      <c r="U1269">
        <v>2</v>
      </c>
    </row>
    <row r="1270" spans="1:22" x14ac:dyDescent="0.25">
      <c r="A1270" s="1">
        <v>46066</v>
      </c>
      <c r="B1270" t="s">
        <v>1464</v>
      </c>
      <c r="C1270" t="s">
        <v>76</v>
      </c>
      <c r="D1270" t="s">
        <v>85</v>
      </c>
      <c r="E1270" t="s">
        <v>50</v>
      </c>
      <c r="F1270" t="s">
        <v>36</v>
      </c>
      <c r="G1270" t="s">
        <v>37</v>
      </c>
      <c r="H1270" t="s">
        <v>38</v>
      </c>
      <c r="I1270" t="s">
        <v>39</v>
      </c>
      <c r="J1270" s="2">
        <v>5</v>
      </c>
      <c r="K1270" s="3">
        <v>425.27</v>
      </c>
      <c r="L1270" s="3">
        <v>182.8</v>
      </c>
      <c r="M1270" s="4">
        <v>0</v>
      </c>
      <c r="N1270" s="3">
        <f t="shared" si="95"/>
        <v>2126.35</v>
      </c>
      <c r="O1270" s="3">
        <f t="shared" si="96"/>
        <v>2126.35</v>
      </c>
      <c r="P1270" s="3">
        <f t="shared" si="97"/>
        <v>914</v>
      </c>
      <c r="Q1270" s="3">
        <f t="shared" si="98"/>
        <v>1212.3499999999999</v>
      </c>
      <c r="R1270" s="4">
        <f t="shared" si="99"/>
        <v>0.57020000000000004</v>
      </c>
      <c r="S1270" s="2">
        <v>7</v>
      </c>
      <c r="T1270" t="s">
        <v>46</v>
      </c>
      <c r="U1270">
        <v>3</v>
      </c>
    </row>
    <row r="1271" spans="1:22" x14ac:dyDescent="0.25">
      <c r="A1271" s="1">
        <v>46234</v>
      </c>
      <c r="B1271" t="s">
        <v>1465</v>
      </c>
      <c r="C1271" t="s">
        <v>418</v>
      </c>
      <c r="D1271" t="s">
        <v>24</v>
      </c>
      <c r="E1271" t="s">
        <v>25</v>
      </c>
      <c r="F1271" t="s">
        <v>58</v>
      </c>
      <c r="G1271" t="s">
        <v>37</v>
      </c>
      <c r="H1271" t="s">
        <v>38</v>
      </c>
      <c r="I1271" t="s">
        <v>53</v>
      </c>
      <c r="J1271" s="2">
        <v>5</v>
      </c>
      <c r="K1271" s="3">
        <v>432.11</v>
      </c>
      <c r="L1271" s="3">
        <v>205.12</v>
      </c>
      <c r="M1271" s="4">
        <v>3.5000000000000003E-2</v>
      </c>
      <c r="N1271" s="3">
        <f t="shared" si="95"/>
        <v>2160.5500000000002</v>
      </c>
      <c r="O1271" s="3">
        <f t="shared" si="96"/>
        <v>2084.9299999999998</v>
      </c>
      <c r="P1271" s="3">
        <f t="shared" si="97"/>
        <v>1025.5999999999999</v>
      </c>
      <c r="Q1271" s="3">
        <f t="shared" si="98"/>
        <v>1059.33</v>
      </c>
      <c r="R1271" s="4">
        <f t="shared" si="99"/>
        <v>0.5081</v>
      </c>
      <c r="S1271" s="2">
        <v>14</v>
      </c>
      <c r="T1271" t="s">
        <v>30</v>
      </c>
      <c r="U1271">
        <v>3</v>
      </c>
    </row>
    <row r="1272" spans="1:22" x14ac:dyDescent="0.25">
      <c r="A1272" s="1">
        <v>46142</v>
      </c>
      <c r="B1272" t="s">
        <v>1466</v>
      </c>
      <c r="C1272" t="s">
        <v>392</v>
      </c>
      <c r="D1272" t="s">
        <v>63</v>
      </c>
      <c r="E1272" t="s">
        <v>35</v>
      </c>
      <c r="F1272" t="s">
        <v>58</v>
      </c>
      <c r="G1272" t="s">
        <v>51</v>
      </c>
      <c r="H1272" t="s">
        <v>59</v>
      </c>
      <c r="I1272" t="s">
        <v>60</v>
      </c>
      <c r="J1272" s="2">
        <v>8</v>
      </c>
      <c r="K1272" s="3">
        <v>2098.46</v>
      </c>
      <c r="L1272" s="3">
        <v>1380.24</v>
      </c>
      <c r="M1272" s="4">
        <v>7.1999999999999995E-2</v>
      </c>
      <c r="N1272" s="3">
        <f t="shared" si="95"/>
        <v>16787.68</v>
      </c>
      <c r="O1272" s="3">
        <f t="shared" si="96"/>
        <v>15578.97</v>
      </c>
      <c r="P1272" s="3">
        <f t="shared" si="97"/>
        <v>11041.92</v>
      </c>
      <c r="Q1272" s="3">
        <f t="shared" si="98"/>
        <v>4537.05</v>
      </c>
      <c r="R1272" s="4">
        <f t="shared" si="99"/>
        <v>0.29120000000000001</v>
      </c>
      <c r="S1272" s="2">
        <v>7</v>
      </c>
      <c r="T1272" t="s">
        <v>46</v>
      </c>
      <c r="U1272">
        <v>2</v>
      </c>
    </row>
    <row r="1273" spans="1:22" x14ac:dyDescent="0.25">
      <c r="A1273" s="1">
        <v>46039</v>
      </c>
      <c r="B1273" t="s">
        <v>1467</v>
      </c>
      <c r="C1273" t="s">
        <v>42</v>
      </c>
      <c r="D1273" t="s">
        <v>113</v>
      </c>
      <c r="E1273" t="s">
        <v>50</v>
      </c>
      <c r="F1273" t="s">
        <v>58</v>
      </c>
      <c r="G1273" t="s">
        <v>37</v>
      </c>
      <c r="H1273" t="s">
        <v>178</v>
      </c>
      <c r="I1273" t="s">
        <v>74</v>
      </c>
      <c r="J1273" s="2">
        <v>1</v>
      </c>
      <c r="K1273" s="3">
        <v>482.15</v>
      </c>
      <c r="L1273" s="3">
        <v>235.31</v>
      </c>
      <c r="M1273" s="4">
        <v>3.5000000000000003E-2</v>
      </c>
      <c r="N1273" s="3">
        <f t="shared" si="95"/>
        <v>482.15</v>
      </c>
      <c r="O1273" s="3">
        <f t="shared" si="96"/>
        <v>465.27</v>
      </c>
      <c r="P1273" s="3">
        <f t="shared" si="97"/>
        <v>235.31</v>
      </c>
      <c r="Q1273" s="3">
        <f t="shared" si="98"/>
        <v>229.96</v>
      </c>
      <c r="R1273" s="4">
        <f t="shared" si="99"/>
        <v>0.49430000000000002</v>
      </c>
      <c r="S1273" s="2">
        <v>7</v>
      </c>
      <c r="T1273" t="s">
        <v>46</v>
      </c>
      <c r="U1273">
        <v>4</v>
      </c>
    </row>
    <row r="1274" spans="1:22" x14ac:dyDescent="0.25">
      <c r="A1274" s="1">
        <v>46218</v>
      </c>
      <c r="B1274" t="s">
        <v>1468</v>
      </c>
      <c r="C1274" t="s">
        <v>132</v>
      </c>
      <c r="D1274" t="s">
        <v>113</v>
      </c>
      <c r="E1274" t="s">
        <v>50</v>
      </c>
      <c r="F1274" t="s">
        <v>26</v>
      </c>
      <c r="G1274" t="s">
        <v>51</v>
      </c>
      <c r="H1274" t="s">
        <v>59</v>
      </c>
      <c r="I1274" t="s">
        <v>74</v>
      </c>
      <c r="J1274" s="2">
        <v>5</v>
      </c>
      <c r="K1274" s="3">
        <v>2130.42</v>
      </c>
      <c r="L1274" s="3">
        <v>1387.01</v>
      </c>
      <c r="M1274" s="4">
        <v>0</v>
      </c>
      <c r="N1274" s="3">
        <f t="shared" si="95"/>
        <v>10652.1</v>
      </c>
      <c r="O1274" s="3">
        <f t="shared" si="96"/>
        <v>10652.1</v>
      </c>
      <c r="P1274" s="3">
        <f t="shared" si="97"/>
        <v>6935.05</v>
      </c>
      <c r="Q1274" s="3">
        <f t="shared" si="98"/>
        <v>3717.05</v>
      </c>
      <c r="R1274" s="4">
        <f t="shared" si="99"/>
        <v>0.34889999999999999</v>
      </c>
      <c r="S1274" s="2">
        <v>2</v>
      </c>
      <c r="T1274" t="s">
        <v>46</v>
      </c>
      <c r="U1274">
        <v>3</v>
      </c>
    </row>
    <row r="1275" spans="1:22" x14ac:dyDescent="0.25">
      <c r="A1275" s="1">
        <v>46057</v>
      </c>
      <c r="B1275" t="s">
        <v>1469</v>
      </c>
      <c r="C1275" t="s">
        <v>84</v>
      </c>
      <c r="D1275" t="s">
        <v>63</v>
      </c>
      <c r="E1275" t="s">
        <v>35</v>
      </c>
      <c r="F1275" t="s">
        <v>64</v>
      </c>
      <c r="G1275" t="s">
        <v>51</v>
      </c>
      <c r="H1275" t="s">
        <v>116</v>
      </c>
      <c r="I1275" t="s">
        <v>77</v>
      </c>
      <c r="J1275" s="2">
        <v>1</v>
      </c>
      <c r="K1275" s="3">
        <v>2954.12</v>
      </c>
      <c r="L1275" s="3">
        <v>1814.84</v>
      </c>
      <c r="M1275" s="4">
        <v>0.11360000000000001</v>
      </c>
      <c r="N1275" s="3">
        <f t="shared" si="95"/>
        <v>2954.12</v>
      </c>
      <c r="O1275" s="3">
        <f t="shared" si="96"/>
        <v>2618.5300000000002</v>
      </c>
      <c r="P1275" s="3">
        <f t="shared" si="97"/>
        <v>1814.84</v>
      </c>
      <c r="Q1275" s="3">
        <f t="shared" si="98"/>
        <v>803.69</v>
      </c>
      <c r="R1275" s="4">
        <f t="shared" si="99"/>
        <v>0.30690000000000001</v>
      </c>
      <c r="S1275" s="2">
        <v>2</v>
      </c>
      <c r="T1275" t="s">
        <v>46</v>
      </c>
      <c r="U1275">
        <v>5</v>
      </c>
    </row>
    <row r="1276" spans="1:22" x14ac:dyDescent="0.25">
      <c r="A1276" s="1">
        <v>46123</v>
      </c>
      <c r="B1276" t="s">
        <v>1470</v>
      </c>
      <c r="C1276" t="s">
        <v>155</v>
      </c>
      <c r="D1276" t="s">
        <v>139</v>
      </c>
      <c r="E1276" t="s">
        <v>72</v>
      </c>
      <c r="F1276" t="s">
        <v>26</v>
      </c>
      <c r="G1276" t="s">
        <v>44</v>
      </c>
      <c r="H1276" t="s">
        <v>45</v>
      </c>
      <c r="I1276" t="s">
        <v>65</v>
      </c>
      <c r="J1276" s="2">
        <v>4</v>
      </c>
      <c r="K1276" s="3">
        <v>382.07</v>
      </c>
      <c r="L1276" s="3">
        <v>220.92</v>
      </c>
      <c r="M1276" s="4">
        <v>2.47E-2</v>
      </c>
      <c r="N1276" s="3">
        <f t="shared" si="95"/>
        <v>1528.28</v>
      </c>
      <c r="O1276" s="3">
        <f t="shared" si="96"/>
        <v>1490.53</v>
      </c>
      <c r="P1276" s="3">
        <f t="shared" si="97"/>
        <v>883.68</v>
      </c>
      <c r="Q1276" s="3">
        <f t="shared" si="98"/>
        <v>606.85</v>
      </c>
      <c r="R1276" s="4">
        <f t="shared" si="99"/>
        <v>0.40710000000000002</v>
      </c>
      <c r="S1276" s="2">
        <v>2</v>
      </c>
      <c r="T1276" t="s">
        <v>46</v>
      </c>
      <c r="U1276">
        <v>2</v>
      </c>
    </row>
    <row r="1277" spans="1:22" x14ac:dyDescent="0.25">
      <c r="A1277" s="1">
        <v>46088</v>
      </c>
      <c r="B1277" t="s">
        <v>1471</v>
      </c>
      <c r="C1277" t="s">
        <v>67</v>
      </c>
      <c r="D1277" t="s">
        <v>126</v>
      </c>
      <c r="E1277" t="s">
        <v>57</v>
      </c>
      <c r="F1277" t="s">
        <v>26</v>
      </c>
      <c r="G1277" t="s">
        <v>27</v>
      </c>
      <c r="H1277" t="s">
        <v>86</v>
      </c>
      <c r="I1277" t="s">
        <v>39</v>
      </c>
      <c r="J1277" s="2">
        <v>3</v>
      </c>
      <c r="K1277" s="3">
        <v>1930.35</v>
      </c>
      <c r="L1277" s="3">
        <v>1149.2</v>
      </c>
      <c r="M1277" s="4">
        <v>0</v>
      </c>
      <c r="N1277" s="3">
        <f t="shared" si="95"/>
        <v>5791.05</v>
      </c>
      <c r="O1277" s="3">
        <f t="shared" si="96"/>
        <v>5791.05</v>
      </c>
      <c r="P1277" s="3">
        <f t="shared" si="97"/>
        <v>3447.6</v>
      </c>
      <c r="Q1277" s="3">
        <f t="shared" si="98"/>
        <v>2343.4499999999998</v>
      </c>
      <c r="R1277" s="4">
        <f t="shared" si="99"/>
        <v>0.4047</v>
      </c>
      <c r="S1277" s="2">
        <v>5</v>
      </c>
      <c r="T1277" t="s">
        <v>46</v>
      </c>
      <c r="U1277">
        <v>2</v>
      </c>
    </row>
    <row r="1278" spans="1:22" x14ac:dyDescent="0.25">
      <c r="A1278" s="1">
        <v>46200</v>
      </c>
      <c r="B1278" t="s">
        <v>1472</v>
      </c>
      <c r="C1278" t="s">
        <v>82</v>
      </c>
      <c r="D1278" t="s">
        <v>113</v>
      </c>
      <c r="E1278" t="s">
        <v>50</v>
      </c>
      <c r="F1278" t="s">
        <v>26</v>
      </c>
      <c r="G1278" t="s">
        <v>27</v>
      </c>
      <c r="H1278" t="s">
        <v>86</v>
      </c>
      <c r="I1278" t="s">
        <v>94</v>
      </c>
      <c r="J1278" s="2">
        <v>5</v>
      </c>
      <c r="K1278" s="3">
        <v>1841.92</v>
      </c>
      <c r="L1278" s="3">
        <v>1204.8699999999999</v>
      </c>
      <c r="M1278" s="4">
        <v>0</v>
      </c>
      <c r="N1278" s="3">
        <f t="shared" si="95"/>
        <v>9209.6</v>
      </c>
      <c r="O1278" s="3">
        <f t="shared" si="96"/>
        <v>9209.6</v>
      </c>
      <c r="P1278" s="3">
        <f t="shared" si="97"/>
        <v>6024.35</v>
      </c>
      <c r="Q1278" s="3">
        <f t="shared" si="98"/>
        <v>3185.25</v>
      </c>
      <c r="R1278" s="4">
        <f t="shared" si="99"/>
        <v>0.34589999999999999</v>
      </c>
      <c r="S1278" s="2">
        <v>9</v>
      </c>
      <c r="T1278" t="s">
        <v>46</v>
      </c>
      <c r="U1278">
        <v>5</v>
      </c>
    </row>
    <row r="1279" spans="1:22" x14ac:dyDescent="0.25">
      <c r="A1279" s="1">
        <v>46100</v>
      </c>
      <c r="B1279" t="s">
        <v>1473</v>
      </c>
      <c r="C1279" t="s">
        <v>118</v>
      </c>
      <c r="D1279" t="s">
        <v>71</v>
      </c>
      <c r="E1279" t="s">
        <v>72</v>
      </c>
      <c r="F1279" t="s">
        <v>58</v>
      </c>
      <c r="G1279" t="s">
        <v>51</v>
      </c>
      <c r="H1279" t="s">
        <v>52</v>
      </c>
      <c r="I1279" t="s">
        <v>87</v>
      </c>
      <c r="J1279" s="2">
        <v>4</v>
      </c>
      <c r="K1279" s="3">
        <v>247.47</v>
      </c>
      <c r="L1279" s="3">
        <v>127.36</v>
      </c>
      <c r="M1279" s="4">
        <v>3.5000000000000003E-2</v>
      </c>
      <c r="N1279" s="3">
        <f t="shared" si="95"/>
        <v>989.88</v>
      </c>
      <c r="O1279" s="3">
        <f t="shared" si="96"/>
        <v>955.23</v>
      </c>
      <c r="P1279" s="3">
        <f t="shared" si="97"/>
        <v>509.44</v>
      </c>
      <c r="Q1279" s="3">
        <f t="shared" si="98"/>
        <v>445.79</v>
      </c>
      <c r="R1279" s="4">
        <f t="shared" si="99"/>
        <v>0.4667</v>
      </c>
      <c r="S1279" s="2">
        <v>6</v>
      </c>
      <c r="T1279" t="s">
        <v>46</v>
      </c>
      <c r="U1279">
        <v>3</v>
      </c>
    </row>
    <row r="1280" spans="1:22" x14ac:dyDescent="0.25">
      <c r="A1280" s="1">
        <v>46100</v>
      </c>
      <c r="B1280" t="s">
        <v>1474</v>
      </c>
      <c r="C1280" t="s">
        <v>247</v>
      </c>
      <c r="D1280" t="s">
        <v>97</v>
      </c>
      <c r="E1280" t="s">
        <v>57</v>
      </c>
      <c r="F1280" t="s">
        <v>64</v>
      </c>
      <c r="G1280" t="s">
        <v>37</v>
      </c>
      <c r="H1280" t="s">
        <v>178</v>
      </c>
      <c r="I1280" t="s">
        <v>74</v>
      </c>
      <c r="J1280" s="2">
        <v>8</v>
      </c>
      <c r="K1280" s="3">
        <v>494.86</v>
      </c>
      <c r="L1280" s="3">
        <v>230.45</v>
      </c>
      <c r="M1280" s="4">
        <v>0.1154</v>
      </c>
      <c r="N1280" s="3">
        <f t="shared" si="95"/>
        <v>3958.88</v>
      </c>
      <c r="O1280" s="3">
        <f t="shared" si="96"/>
        <v>3502.03</v>
      </c>
      <c r="P1280" s="3">
        <f t="shared" si="97"/>
        <v>1843.6</v>
      </c>
      <c r="Q1280" s="3">
        <f t="shared" si="98"/>
        <v>1658.43</v>
      </c>
      <c r="R1280" s="4">
        <f t="shared" si="99"/>
        <v>0.47360000000000002</v>
      </c>
      <c r="S1280" s="2">
        <v>7</v>
      </c>
      <c r="T1280" t="s">
        <v>46</v>
      </c>
      <c r="U1280">
        <v>5</v>
      </c>
    </row>
    <row r="1281" spans="1:21" x14ac:dyDescent="0.25">
      <c r="A1281" s="1">
        <v>46084</v>
      </c>
      <c r="B1281" t="s">
        <v>1475</v>
      </c>
      <c r="C1281" t="s">
        <v>33</v>
      </c>
      <c r="D1281" t="s">
        <v>130</v>
      </c>
      <c r="E1281" t="s">
        <v>72</v>
      </c>
      <c r="F1281" t="s">
        <v>64</v>
      </c>
      <c r="G1281" t="s">
        <v>51</v>
      </c>
      <c r="H1281" t="s">
        <v>116</v>
      </c>
      <c r="I1281" t="s">
        <v>77</v>
      </c>
      <c r="J1281" s="2">
        <v>8</v>
      </c>
      <c r="K1281" s="3">
        <v>2848.43</v>
      </c>
      <c r="L1281" s="3">
        <v>1900.5</v>
      </c>
      <c r="M1281" s="4">
        <v>0</v>
      </c>
      <c r="N1281" s="3">
        <f t="shared" si="95"/>
        <v>22787.439999999999</v>
      </c>
      <c r="O1281" s="3">
        <f t="shared" si="96"/>
        <v>22787.439999999999</v>
      </c>
      <c r="P1281" s="3">
        <f t="shared" si="97"/>
        <v>15204</v>
      </c>
      <c r="Q1281" s="3">
        <f t="shared" si="98"/>
        <v>7583.44</v>
      </c>
      <c r="R1281" s="4">
        <f t="shared" si="99"/>
        <v>0.33279999999999998</v>
      </c>
      <c r="S1281" s="2">
        <v>14</v>
      </c>
      <c r="T1281" t="s">
        <v>30</v>
      </c>
      <c r="U1281">
        <v>5</v>
      </c>
    </row>
    <row r="1282" spans="1:21" x14ac:dyDescent="0.25">
      <c r="A1282" s="1">
        <v>46028</v>
      </c>
      <c r="B1282" t="s">
        <v>1476</v>
      </c>
      <c r="C1282" t="s">
        <v>247</v>
      </c>
      <c r="D1282" t="s">
        <v>34</v>
      </c>
      <c r="E1282" t="s">
        <v>35</v>
      </c>
      <c r="F1282" t="s">
        <v>26</v>
      </c>
      <c r="G1282" t="s">
        <v>44</v>
      </c>
      <c r="H1282" t="s">
        <v>45</v>
      </c>
      <c r="I1282" t="s">
        <v>60</v>
      </c>
      <c r="J1282" s="2">
        <v>2</v>
      </c>
      <c r="K1282" s="3">
        <v>388.88</v>
      </c>
      <c r="L1282" s="3">
        <v>209.96</v>
      </c>
      <c r="M1282" s="4">
        <v>0</v>
      </c>
      <c r="N1282" s="3">
        <f t="shared" ref="N1282:N1345" si="100">ROUND(J1282*K1282,2)</f>
        <v>777.76</v>
      </c>
      <c r="O1282" s="3">
        <f t="shared" ref="O1282:O1345" si="101">ROUND(N1282*(1-M1282),2)</f>
        <v>777.76</v>
      </c>
      <c r="P1282" s="3">
        <f t="shared" ref="P1282:P1345" si="102">ROUND(J1282*L1282,2)</f>
        <v>419.92</v>
      </c>
      <c r="Q1282" s="3">
        <f t="shared" ref="Q1282:Q1345" si="103">ROUND(O1282-P1282,2)</f>
        <v>357.84</v>
      </c>
      <c r="R1282" s="4">
        <f t="shared" ref="R1282:R1345" si="104">IF(O1282=0,0,ROUND(Q1282/O1282,4))</f>
        <v>0.46010000000000001</v>
      </c>
      <c r="S1282" s="2">
        <v>3</v>
      </c>
      <c r="T1282" t="s">
        <v>46</v>
      </c>
      <c r="U1282">
        <v>3</v>
      </c>
    </row>
    <row r="1283" spans="1:21" x14ac:dyDescent="0.25">
      <c r="A1283" s="1">
        <v>46201</v>
      </c>
      <c r="B1283" t="s">
        <v>1477</v>
      </c>
      <c r="C1283" t="s">
        <v>216</v>
      </c>
      <c r="D1283" t="s">
        <v>121</v>
      </c>
      <c r="E1283" t="s">
        <v>72</v>
      </c>
      <c r="F1283" t="s">
        <v>36</v>
      </c>
      <c r="G1283" t="s">
        <v>51</v>
      </c>
      <c r="H1283" t="s">
        <v>52</v>
      </c>
      <c r="I1283" t="s">
        <v>53</v>
      </c>
      <c r="J1283" s="2">
        <v>5</v>
      </c>
      <c r="K1283" s="3">
        <v>267.05</v>
      </c>
      <c r="L1283" s="3">
        <v>124.03</v>
      </c>
      <c r="M1283" s="4">
        <v>5.5599999999999997E-2</v>
      </c>
      <c r="N1283" s="3">
        <f t="shared" si="100"/>
        <v>1335.25</v>
      </c>
      <c r="O1283" s="3">
        <f t="shared" si="101"/>
        <v>1261.01</v>
      </c>
      <c r="P1283" s="3">
        <f t="shared" si="102"/>
        <v>620.15</v>
      </c>
      <c r="Q1283" s="3">
        <f t="shared" si="103"/>
        <v>640.86</v>
      </c>
      <c r="R1283" s="4">
        <f t="shared" si="104"/>
        <v>0.50819999999999999</v>
      </c>
      <c r="S1283" s="2">
        <v>5</v>
      </c>
      <c r="T1283" t="s">
        <v>46</v>
      </c>
      <c r="U1283">
        <v>3</v>
      </c>
    </row>
    <row r="1284" spans="1:21" x14ac:dyDescent="0.25">
      <c r="A1284" s="1">
        <v>46226</v>
      </c>
      <c r="B1284" t="s">
        <v>1478</v>
      </c>
      <c r="C1284" t="s">
        <v>284</v>
      </c>
      <c r="D1284" t="s">
        <v>56</v>
      </c>
      <c r="E1284" t="s">
        <v>57</v>
      </c>
      <c r="F1284" t="s">
        <v>64</v>
      </c>
      <c r="G1284" t="s">
        <v>27</v>
      </c>
      <c r="H1284" t="s">
        <v>68</v>
      </c>
      <c r="I1284" t="s">
        <v>53</v>
      </c>
      <c r="J1284" s="2">
        <v>8</v>
      </c>
      <c r="K1284" s="3">
        <v>1329.91</v>
      </c>
      <c r="L1284" s="3">
        <v>749.47</v>
      </c>
      <c r="M1284" s="4">
        <v>3.5299999999999998E-2</v>
      </c>
      <c r="N1284" s="3">
        <f t="shared" si="100"/>
        <v>10639.28</v>
      </c>
      <c r="O1284" s="3">
        <f t="shared" si="101"/>
        <v>10263.709999999999</v>
      </c>
      <c r="P1284" s="3">
        <f t="shared" si="102"/>
        <v>5995.76</v>
      </c>
      <c r="Q1284" s="3">
        <f t="shared" si="103"/>
        <v>4267.95</v>
      </c>
      <c r="R1284" s="4">
        <f t="shared" si="104"/>
        <v>0.4158</v>
      </c>
      <c r="S1284" s="2">
        <v>9</v>
      </c>
      <c r="T1284" t="s">
        <v>46</v>
      </c>
      <c r="U1284">
        <v>5</v>
      </c>
    </row>
    <row r="1285" spans="1:21" x14ac:dyDescent="0.25">
      <c r="A1285" s="1">
        <v>46167</v>
      </c>
      <c r="B1285" t="s">
        <v>1479</v>
      </c>
      <c r="C1285" t="s">
        <v>456</v>
      </c>
      <c r="D1285" t="s">
        <v>63</v>
      </c>
      <c r="E1285" t="s">
        <v>35</v>
      </c>
      <c r="F1285" t="s">
        <v>26</v>
      </c>
      <c r="G1285" t="s">
        <v>27</v>
      </c>
      <c r="H1285" t="s">
        <v>28</v>
      </c>
      <c r="I1285" t="s">
        <v>60</v>
      </c>
      <c r="J1285" s="2">
        <v>1</v>
      </c>
      <c r="K1285" s="3">
        <v>767.06</v>
      </c>
      <c r="L1285" s="3">
        <v>453.4</v>
      </c>
      <c r="M1285" s="4">
        <v>7.0000000000000007E-2</v>
      </c>
      <c r="N1285" s="3">
        <f t="shared" si="100"/>
        <v>767.06</v>
      </c>
      <c r="O1285" s="3">
        <f t="shared" si="101"/>
        <v>713.37</v>
      </c>
      <c r="P1285" s="3">
        <f t="shared" si="102"/>
        <v>453.4</v>
      </c>
      <c r="Q1285" s="3">
        <f t="shared" si="103"/>
        <v>259.97000000000003</v>
      </c>
      <c r="R1285" s="4">
        <f t="shared" si="104"/>
        <v>0.3644</v>
      </c>
      <c r="S1285" s="2">
        <v>8</v>
      </c>
      <c r="T1285" t="s">
        <v>46</v>
      </c>
      <c r="U1285">
        <v>2</v>
      </c>
    </row>
    <row r="1286" spans="1:21" x14ac:dyDescent="0.25">
      <c r="A1286" s="1">
        <v>46058</v>
      </c>
      <c r="B1286" t="s">
        <v>1480</v>
      </c>
      <c r="C1286" t="s">
        <v>527</v>
      </c>
      <c r="D1286" t="s">
        <v>139</v>
      </c>
      <c r="E1286" t="s">
        <v>72</v>
      </c>
      <c r="F1286" t="s">
        <v>36</v>
      </c>
      <c r="G1286" t="s">
        <v>51</v>
      </c>
      <c r="H1286" t="s">
        <v>59</v>
      </c>
      <c r="I1286" t="s">
        <v>92</v>
      </c>
      <c r="J1286" s="2">
        <v>7</v>
      </c>
      <c r="K1286" s="3">
        <v>2226.42</v>
      </c>
      <c r="L1286" s="3">
        <v>1414.09</v>
      </c>
      <c r="M1286" s="4">
        <v>3.6799999999999999E-2</v>
      </c>
      <c r="N1286" s="3">
        <f t="shared" si="100"/>
        <v>15584.94</v>
      </c>
      <c r="O1286" s="3">
        <f t="shared" si="101"/>
        <v>15011.41</v>
      </c>
      <c r="P1286" s="3">
        <f t="shared" si="102"/>
        <v>9898.6299999999992</v>
      </c>
      <c r="Q1286" s="3">
        <f t="shared" si="103"/>
        <v>5112.78</v>
      </c>
      <c r="R1286" s="4">
        <f t="shared" si="104"/>
        <v>0.34060000000000001</v>
      </c>
      <c r="S1286" s="2">
        <v>2</v>
      </c>
      <c r="T1286" t="s">
        <v>46</v>
      </c>
      <c r="U1286">
        <v>5</v>
      </c>
    </row>
    <row r="1287" spans="1:21" x14ac:dyDescent="0.25">
      <c r="A1287" s="1">
        <v>46159</v>
      </c>
      <c r="B1287" t="s">
        <v>1481</v>
      </c>
      <c r="C1287" t="s">
        <v>120</v>
      </c>
      <c r="D1287" t="s">
        <v>43</v>
      </c>
      <c r="E1287" t="s">
        <v>25</v>
      </c>
      <c r="F1287" t="s">
        <v>26</v>
      </c>
      <c r="G1287" t="s">
        <v>51</v>
      </c>
      <c r="H1287" t="s">
        <v>59</v>
      </c>
      <c r="I1287" t="s">
        <v>94</v>
      </c>
      <c r="J1287" s="2">
        <v>8</v>
      </c>
      <c r="K1287" s="3">
        <v>2105.7800000000002</v>
      </c>
      <c r="L1287" s="3">
        <v>1480.07</v>
      </c>
      <c r="M1287" s="4">
        <v>0</v>
      </c>
      <c r="N1287" s="3">
        <f t="shared" si="100"/>
        <v>16846.240000000002</v>
      </c>
      <c r="O1287" s="3">
        <f t="shared" si="101"/>
        <v>16846.240000000002</v>
      </c>
      <c r="P1287" s="3">
        <f t="shared" si="102"/>
        <v>11840.56</v>
      </c>
      <c r="Q1287" s="3">
        <f t="shared" si="103"/>
        <v>5005.68</v>
      </c>
      <c r="R1287" s="4">
        <f t="shared" si="104"/>
        <v>0.29709999999999998</v>
      </c>
      <c r="S1287" s="2">
        <v>11</v>
      </c>
      <c r="T1287" t="s">
        <v>30</v>
      </c>
      <c r="U1287">
        <v>2</v>
      </c>
    </row>
    <row r="1288" spans="1:21" x14ac:dyDescent="0.25">
      <c r="A1288" s="1">
        <v>46136</v>
      </c>
      <c r="B1288" t="s">
        <v>1482</v>
      </c>
      <c r="C1288" t="s">
        <v>321</v>
      </c>
      <c r="D1288" t="s">
        <v>63</v>
      </c>
      <c r="E1288" t="s">
        <v>35</v>
      </c>
      <c r="F1288" t="s">
        <v>58</v>
      </c>
      <c r="G1288" t="s">
        <v>37</v>
      </c>
      <c r="H1288" t="s">
        <v>178</v>
      </c>
      <c r="I1288" t="s">
        <v>87</v>
      </c>
      <c r="J1288" s="2">
        <v>7</v>
      </c>
      <c r="K1288" s="3">
        <v>499.56</v>
      </c>
      <c r="L1288" s="3">
        <v>239</v>
      </c>
      <c r="M1288" s="4">
        <v>3.5000000000000003E-2</v>
      </c>
      <c r="N1288" s="3">
        <f t="shared" si="100"/>
        <v>3496.92</v>
      </c>
      <c r="O1288" s="3">
        <f t="shared" si="101"/>
        <v>3374.53</v>
      </c>
      <c r="P1288" s="3">
        <f t="shared" si="102"/>
        <v>1673</v>
      </c>
      <c r="Q1288" s="3">
        <f t="shared" si="103"/>
        <v>1701.53</v>
      </c>
      <c r="R1288" s="4">
        <f t="shared" si="104"/>
        <v>0.50419999999999998</v>
      </c>
      <c r="S1288" s="2">
        <v>10</v>
      </c>
      <c r="T1288" t="s">
        <v>46</v>
      </c>
      <c r="U1288">
        <v>2</v>
      </c>
    </row>
    <row r="1289" spans="1:21" x14ac:dyDescent="0.25">
      <c r="A1289" s="1">
        <v>46053</v>
      </c>
      <c r="B1289" t="s">
        <v>1483</v>
      </c>
      <c r="C1289" t="s">
        <v>609</v>
      </c>
      <c r="D1289" t="s">
        <v>126</v>
      </c>
      <c r="E1289" t="s">
        <v>57</v>
      </c>
      <c r="F1289" t="s">
        <v>26</v>
      </c>
      <c r="G1289" t="s">
        <v>44</v>
      </c>
      <c r="H1289" t="s">
        <v>73</v>
      </c>
      <c r="I1289" t="s">
        <v>65</v>
      </c>
      <c r="J1289" s="2">
        <v>2</v>
      </c>
      <c r="K1289" s="3">
        <v>1643.9</v>
      </c>
      <c r="L1289" s="3">
        <v>1063.8800000000001</v>
      </c>
      <c r="M1289" s="4">
        <v>1.1599999999999999E-2</v>
      </c>
      <c r="N1289" s="3">
        <f t="shared" si="100"/>
        <v>3287.8</v>
      </c>
      <c r="O1289" s="3">
        <f t="shared" si="101"/>
        <v>3249.66</v>
      </c>
      <c r="P1289" s="3">
        <f t="shared" si="102"/>
        <v>2127.7600000000002</v>
      </c>
      <c r="Q1289" s="3">
        <f t="shared" si="103"/>
        <v>1121.9000000000001</v>
      </c>
      <c r="R1289" s="4">
        <f t="shared" si="104"/>
        <v>0.34520000000000001</v>
      </c>
      <c r="S1289" s="2">
        <v>4</v>
      </c>
      <c r="T1289" t="s">
        <v>46</v>
      </c>
      <c r="U1289">
        <v>2</v>
      </c>
    </row>
    <row r="1290" spans="1:21" x14ac:dyDescent="0.25">
      <c r="A1290" s="1">
        <v>46213</v>
      </c>
      <c r="B1290" t="s">
        <v>1484</v>
      </c>
      <c r="C1290" t="s">
        <v>247</v>
      </c>
      <c r="D1290" t="s">
        <v>121</v>
      </c>
      <c r="E1290" t="s">
        <v>72</v>
      </c>
      <c r="F1290" t="s">
        <v>64</v>
      </c>
      <c r="G1290" t="s">
        <v>27</v>
      </c>
      <c r="H1290" t="s">
        <v>86</v>
      </c>
      <c r="I1290" t="s">
        <v>53</v>
      </c>
      <c r="J1290" s="2">
        <v>8</v>
      </c>
      <c r="K1290" s="3">
        <v>1971.33</v>
      </c>
      <c r="L1290" s="3">
        <v>1243.21</v>
      </c>
      <c r="M1290" s="4">
        <v>2.5999999999999999E-2</v>
      </c>
      <c r="N1290" s="3">
        <f t="shared" si="100"/>
        <v>15770.64</v>
      </c>
      <c r="O1290" s="3">
        <f t="shared" si="101"/>
        <v>15360.6</v>
      </c>
      <c r="P1290" s="3">
        <f t="shared" si="102"/>
        <v>9945.68</v>
      </c>
      <c r="Q1290" s="3">
        <f t="shared" si="103"/>
        <v>5414.92</v>
      </c>
      <c r="R1290" s="4">
        <f t="shared" si="104"/>
        <v>0.35249999999999998</v>
      </c>
      <c r="S1290" s="2">
        <v>11</v>
      </c>
      <c r="T1290" t="s">
        <v>30</v>
      </c>
      <c r="U1290">
        <v>5</v>
      </c>
    </row>
    <row r="1291" spans="1:21" x14ac:dyDescent="0.25">
      <c r="A1291" s="1">
        <v>46191</v>
      </c>
      <c r="B1291" t="s">
        <v>1485</v>
      </c>
      <c r="C1291" t="s">
        <v>226</v>
      </c>
      <c r="D1291" t="s">
        <v>207</v>
      </c>
      <c r="E1291" t="s">
        <v>35</v>
      </c>
      <c r="F1291" t="s">
        <v>58</v>
      </c>
      <c r="G1291" t="s">
        <v>37</v>
      </c>
      <c r="H1291" t="s">
        <v>178</v>
      </c>
      <c r="I1291" t="s">
        <v>77</v>
      </c>
      <c r="J1291" s="2">
        <v>2</v>
      </c>
      <c r="K1291" s="3">
        <v>482.14</v>
      </c>
      <c r="L1291" s="3">
        <v>234.97</v>
      </c>
      <c r="M1291" s="4">
        <v>0.1159</v>
      </c>
      <c r="N1291" s="3">
        <f t="shared" si="100"/>
        <v>964.28</v>
      </c>
      <c r="O1291" s="3">
        <f t="shared" si="101"/>
        <v>852.52</v>
      </c>
      <c r="P1291" s="3">
        <f t="shared" si="102"/>
        <v>469.94</v>
      </c>
      <c r="Q1291" s="3">
        <f t="shared" si="103"/>
        <v>382.58</v>
      </c>
      <c r="R1291" s="4">
        <f t="shared" si="104"/>
        <v>0.44879999999999998</v>
      </c>
      <c r="S1291" s="2">
        <v>9</v>
      </c>
      <c r="T1291" t="s">
        <v>46</v>
      </c>
      <c r="U1291">
        <v>5</v>
      </c>
    </row>
    <row r="1292" spans="1:21" x14ac:dyDescent="0.25">
      <c r="A1292" s="1">
        <v>46033</v>
      </c>
      <c r="B1292" t="s">
        <v>1486</v>
      </c>
      <c r="C1292" t="s">
        <v>560</v>
      </c>
      <c r="D1292" t="s">
        <v>56</v>
      </c>
      <c r="E1292" t="s">
        <v>57</v>
      </c>
      <c r="F1292" t="s">
        <v>36</v>
      </c>
      <c r="G1292" t="s">
        <v>27</v>
      </c>
      <c r="H1292" t="s">
        <v>86</v>
      </c>
      <c r="I1292" t="s">
        <v>74</v>
      </c>
      <c r="J1292" s="2">
        <v>6</v>
      </c>
      <c r="K1292" s="3">
        <v>1973.2</v>
      </c>
      <c r="L1292" s="3">
        <v>1170.6199999999999</v>
      </c>
      <c r="M1292" s="4">
        <v>0</v>
      </c>
      <c r="N1292" s="3">
        <f t="shared" si="100"/>
        <v>11839.2</v>
      </c>
      <c r="O1292" s="3">
        <f t="shared" si="101"/>
        <v>11839.2</v>
      </c>
      <c r="P1292" s="3">
        <f t="shared" si="102"/>
        <v>7023.72</v>
      </c>
      <c r="Q1292" s="3">
        <f t="shared" si="103"/>
        <v>4815.4799999999996</v>
      </c>
      <c r="R1292" s="4">
        <f t="shared" si="104"/>
        <v>0.40670000000000001</v>
      </c>
      <c r="S1292" s="2">
        <v>8</v>
      </c>
      <c r="T1292" t="s">
        <v>46</v>
      </c>
      <c r="U1292">
        <v>4</v>
      </c>
    </row>
    <row r="1293" spans="1:21" x14ac:dyDescent="0.25">
      <c r="A1293" s="1">
        <v>46040</v>
      </c>
      <c r="B1293" t="s">
        <v>1487</v>
      </c>
      <c r="C1293" t="s">
        <v>146</v>
      </c>
      <c r="D1293" t="s">
        <v>56</v>
      </c>
      <c r="E1293" t="s">
        <v>57</v>
      </c>
      <c r="F1293" t="s">
        <v>58</v>
      </c>
      <c r="G1293" t="s">
        <v>44</v>
      </c>
      <c r="H1293" t="s">
        <v>73</v>
      </c>
      <c r="I1293" t="s">
        <v>94</v>
      </c>
      <c r="J1293" s="2">
        <v>4</v>
      </c>
      <c r="K1293" s="3">
        <v>1666.76</v>
      </c>
      <c r="L1293" s="3">
        <v>1081.8599999999999</v>
      </c>
      <c r="M1293" s="4">
        <v>0.14219999999999999</v>
      </c>
      <c r="N1293" s="3">
        <f t="shared" si="100"/>
        <v>6667.04</v>
      </c>
      <c r="O1293" s="3">
        <f t="shared" si="101"/>
        <v>5718.99</v>
      </c>
      <c r="P1293" s="3">
        <f t="shared" si="102"/>
        <v>4327.4399999999996</v>
      </c>
      <c r="Q1293" s="3">
        <f t="shared" si="103"/>
        <v>1391.55</v>
      </c>
      <c r="R1293" s="4">
        <f t="shared" si="104"/>
        <v>0.24329999999999999</v>
      </c>
      <c r="S1293" s="2">
        <v>2</v>
      </c>
      <c r="T1293" t="s">
        <v>46</v>
      </c>
      <c r="U1293">
        <v>4</v>
      </c>
    </row>
    <row r="1294" spans="1:21" x14ac:dyDescent="0.25">
      <c r="A1294" s="1">
        <v>46217</v>
      </c>
      <c r="B1294" t="s">
        <v>1488</v>
      </c>
      <c r="C1294" t="s">
        <v>70</v>
      </c>
      <c r="D1294" t="s">
        <v>63</v>
      </c>
      <c r="E1294" t="s">
        <v>35</v>
      </c>
      <c r="F1294" t="s">
        <v>36</v>
      </c>
      <c r="G1294" t="s">
        <v>51</v>
      </c>
      <c r="H1294" t="s">
        <v>59</v>
      </c>
      <c r="I1294" t="s">
        <v>94</v>
      </c>
      <c r="J1294" s="2">
        <v>1</v>
      </c>
      <c r="K1294" s="3">
        <v>2211.81</v>
      </c>
      <c r="L1294" s="3">
        <v>1461.97</v>
      </c>
      <c r="M1294" s="4">
        <v>4.8500000000000001E-2</v>
      </c>
      <c r="N1294" s="3">
        <f t="shared" si="100"/>
        <v>2211.81</v>
      </c>
      <c r="O1294" s="3">
        <f t="shared" si="101"/>
        <v>2104.54</v>
      </c>
      <c r="P1294" s="3">
        <f t="shared" si="102"/>
        <v>1461.97</v>
      </c>
      <c r="Q1294" s="3">
        <f t="shared" si="103"/>
        <v>642.57000000000005</v>
      </c>
      <c r="R1294" s="4">
        <f t="shared" si="104"/>
        <v>0.30530000000000002</v>
      </c>
      <c r="S1294" s="2">
        <v>4</v>
      </c>
      <c r="T1294" t="s">
        <v>46</v>
      </c>
      <c r="U1294">
        <v>5</v>
      </c>
    </row>
    <row r="1295" spans="1:21" x14ac:dyDescent="0.25">
      <c r="A1295" s="1">
        <v>46053</v>
      </c>
      <c r="B1295" t="s">
        <v>1489</v>
      </c>
      <c r="C1295" t="s">
        <v>110</v>
      </c>
      <c r="D1295" t="s">
        <v>63</v>
      </c>
      <c r="E1295" t="s">
        <v>35</v>
      </c>
      <c r="F1295" t="s">
        <v>26</v>
      </c>
      <c r="G1295" t="s">
        <v>27</v>
      </c>
      <c r="H1295" t="s">
        <v>68</v>
      </c>
      <c r="I1295" t="s">
        <v>92</v>
      </c>
      <c r="J1295" s="2">
        <v>5</v>
      </c>
      <c r="K1295" s="3">
        <v>1274.8499999999999</v>
      </c>
      <c r="L1295" s="3">
        <v>781.79</v>
      </c>
      <c r="M1295" s="4">
        <v>0</v>
      </c>
      <c r="N1295" s="3">
        <f t="shared" si="100"/>
        <v>6374.25</v>
      </c>
      <c r="O1295" s="3">
        <f t="shared" si="101"/>
        <v>6374.25</v>
      </c>
      <c r="P1295" s="3">
        <f t="shared" si="102"/>
        <v>3908.95</v>
      </c>
      <c r="Q1295" s="3">
        <f t="shared" si="103"/>
        <v>2465.3000000000002</v>
      </c>
      <c r="R1295" s="4">
        <f t="shared" si="104"/>
        <v>0.38679999999999998</v>
      </c>
      <c r="S1295" s="2">
        <v>9</v>
      </c>
      <c r="T1295" t="s">
        <v>46</v>
      </c>
      <c r="U1295">
        <v>2</v>
      </c>
    </row>
    <row r="1296" spans="1:21" x14ac:dyDescent="0.25">
      <c r="A1296" s="1">
        <v>46052</v>
      </c>
      <c r="B1296" t="s">
        <v>1490</v>
      </c>
      <c r="C1296" t="s">
        <v>590</v>
      </c>
      <c r="D1296" t="s">
        <v>101</v>
      </c>
      <c r="E1296" t="s">
        <v>35</v>
      </c>
      <c r="F1296" t="s">
        <v>36</v>
      </c>
      <c r="G1296" t="s">
        <v>44</v>
      </c>
      <c r="H1296" t="s">
        <v>45</v>
      </c>
      <c r="I1296" t="s">
        <v>65</v>
      </c>
      <c r="J1296" s="2">
        <v>3</v>
      </c>
      <c r="K1296" s="3">
        <v>372.76</v>
      </c>
      <c r="L1296" s="3">
        <v>214.52</v>
      </c>
      <c r="M1296" s="4">
        <v>7.5300000000000006E-2</v>
      </c>
      <c r="N1296" s="3">
        <f t="shared" si="100"/>
        <v>1118.28</v>
      </c>
      <c r="O1296" s="3">
        <f t="shared" si="101"/>
        <v>1034.07</v>
      </c>
      <c r="P1296" s="3">
        <f t="shared" si="102"/>
        <v>643.55999999999995</v>
      </c>
      <c r="Q1296" s="3">
        <f t="shared" si="103"/>
        <v>390.51</v>
      </c>
      <c r="R1296" s="4">
        <f t="shared" si="104"/>
        <v>0.37759999999999999</v>
      </c>
      <c r="S1296" s="2">
        <v>7</v>
      </c>
      <c r="T1296" t="s">
        <v>46</v>
      </c>
      <c r="U1296">
        <v>5</v>
      </c>
    </row>
    <row r="1297" spans="1:21" x14ac:dyDescent="0.25">
      <c r="A1297" s="1">
        <v>46148</v>
      </c>
      <c r="B1297" t="s">
        <v>1491</v>
      </c>
      <c r="C1297" t="s">
        <v>356</v>
      </c>
      <c r="D1297" t="s">
        <v>85</v>
      </c>
      <c r="E1297" t="s">
        <v>50</v>
      </c>
      <c r="F1297" t="s">
        <v>26</v>
      </c>
      <c r="G1297" t="s">
        <v>27</v>
      </c>
      <c r="H1297" t="s">
        <v>28</v>
      </c>
      <c r="I1297" t="s">
        <v>65</v>
      </c>
      <c r="J1297" s="2">
        <v>3</v>
      </c>
      <c r="K1297" s="3">
        <v>784.16</v>
      </c>
      <c r="L1297" s="3">
        <v>441.24</v>
      </c>
      <c r="M1297" s="4">
        <v>0</v>
      </c>
      <c r="N1297" s="3">
        <f t="shared" si="100"/>
        <v>2352.48</v>
      </c>
      <c r="O1297" s="3">
        <f t="shared" si="101"/>
        <v>2352.48</v>
      </c>
      <c r="P1297" s="3">
        <f t="shared" si="102"/>
        <v>1323.72</v>
      </c>
      <c r="Q1297" s="3">
        <f t="shared" si="103"/>
        <v>1028.76</v>
      </c>
      <c r="R1297" s="4">
        <f t="shared" si="104"/>
        <v>0.43730000000000002</v>
      </c>
      <c r="S1297" s="2">
        <v>9</v>
      </c>
      <c r="T1297" t="s">
        <v>46</v>
      </c>
      <c r="U1297">
        <v>2</v>
      </c>
    </row>
    <row r="1298" spans="1:21" x14ac:dyDescent="0.25">
      <c r="A1298" s="1">
        <v>46041</v>
      </c>
      <c r="B1298" t="s">
        <v>1492</v>
      </c>
      <c r="C1298" t="s">
        <v>358</v>
      </c>
      <c r="D1298" t="s">
        <v>113</v>
      </c>
      <c r="E1298" t="s">
        <v>50</v>
      </c>
      <c r="F1298" t="s">
        <v>26</v>
      </c>
      <c r="G1298" t="s">
        <v>27</v>
      </c>
      <c r="H1298" t="s">
        <v>68</v>
      </c>
      <c r="I1298" t="s">
        <v>77</v>
      </c>
      <c r="J1298" s="2">
        <v>8</v>
      </c>
      <c r="K1298" s="3">
        <v>1312</v>
      </c>
      <c r="L1298" s="3">
        <v>800.34</v>
      </c>
      <c r="M1298" s="4">
        <v>0</v>
      </c>
      <c r="N1298" s="3">
        <f t="shared" si="100"/>
        <v>10496</v>
      </c>
      <c r="O1298" s="3">
        <f t="shared" si="101"/>
        <v>10496</v>
      </c>
      <c r="P1298" s="3">
        <f t="shared" si="102"/>
        <v>6402.72</v>
      </c>
      <c r="Q1298" s="3">
        <f t="shared" si="103"/>
        <v>4093.28</v>
      </c>
      <c r="R1298" s="4">
        <f t="shared" si="104"/>
        <v>0.39</v>
      </c>
      <c r="S1298" s="2">
        <v>10</v>
      </c>
      <c r="T1298" t="s">
        <v>46</v>
      </c>
      <c r="U1298">
        <v>2</v>
      </c>
    </row>
    <row r="1299" spans="1:21" x14ac:dyDescent="0.25">
      <c r="A1299" s="1">
        <v>46159</v>
      </c>
      <c r="B1299" t="s">
        <v>1493</v>
      </c>
      <c r="C1299" t="s">
        <v>321</v>
      </c>
      <c r="D1299" t="s">
        <v>56</v>
      </c>
      <c r="E1299" t="s">
        <v>57</v>
      </c>
      <c r="F1299" t="s">
        <v>36</v>
      </c>
      <c r="G1299" t="s">
        <v>37</v>
      </c>
      <c r="H1299" t="s">
        <v>38</v>
      </c>
      <c r="I1299" t="s">
        <v>77</v>
      </c>
      <c r="J1299" s="2">
        <v>7</v>
      </c>
      <c r="K1299" s="3">
        <v>442.74</v>
      </c>
      <c r="L1299" s="3">
        <v>192.14</v>
      </c>
      <c r="M1299" s="4">
        <v>0.10630000000000001</v>
      </c>
      <c r="N1299" s="3">
        <f t="shared" si="100"/>
        <v>3099.18</v>
      </c>
      <c r="O1299" s="3">
        <f t="shared" si="101"/>
        <v>2769.74</v>
      </c>
      <c r="P1299" s="3">
        <f t="shared" si="102"/>
        <v>1344.98</v>
      </c>
      <c r="Q1299" s="3">
        <f t="shared" si="103"/>
        <v>1424.76</v>
      </c>
      <c r="R1299" s="4">
        <f t="shared" si="104"/>
        <v>0.51439999999999997</v>
      </c>
      <c r="S1299" s="2">
        <v>3</v>
      </c>
      <c r="T1299" t="s">
        <v>46</v>
      </c>
      <c r="U1299">
        <v>5</v>
      </c>
    </row>
    <row r="1300" spans="1:21" x14ac:dyDescent="0.25">
      <c r="A1300" s="1">
        <v>46178</v>
      </c>
      <c r="B1300" t="s">
        <v>1494</v>
      </c>
      <c r="C1300" t="s">
        <v>115</v>
      </c>
      <c r="D1300" t="s">
        <v>97</v>
      </c>
      <c r="E1300" t="s">
        <v>57</v>
      </c>
      <c r="F1300" t="s">
        <v>26</v>
      </c>
      <c r="G1300" t="s">
        <v>44</v>
      </c>
      <c r="H1300" t="s">
        <v>124</v>
      </c>
      <c r="I1300" t="s">
        <v>92</v>
      </c>
      <c r="J1300" s="2">
        <v>1</v>
      </c>
      <c r="K1300" s="3">
        <v>5975.06</v>
      </c>
      <c r="L1300" s="3">
        <v>4286.1099999999997</v>
      </c>
      <c r="M1300" s="4">
        <v>7.7000000000000002E-3</v>
      </c>
      <c r="N1300" s="3">
        <f t="shared" si="100"/>
        <v>5975.06</v>
      </c>
      <c r="O1300" s="3">
        <f t="shared" si="101"/>
        <v>5929.05</v>
      </c>
      <c r="P1300" s="3">
        <f t="shared" si="102"/>
        <v>4286.1099999999997</v>
      </c>
      <c r="Q1300" s="3">
        <f t="shared" si="103"/>
        <v>1642.94</v>
      </c>
      <c r="R1300" s="4">
        <f t="shared" si="104"/>
        <v>0.27710000000000001</v>
      </c>
      <c r="S1300" s="2">
        <v>14</v>
      </c>
      <c r="T1300" t="s">
        <v>40</v>
      </c>
    </row>
    <row r="1301" spans="1:21" x14ac:dyDescent="0.25">
      <c r="A1301" s="1">
        <v>46129</v>
      </c>
      <c r="B1301" t="s">
        <v>1495</v>
      </c>
      <c r="C1301" t="s">
        <v>224</v>
      </c>
      <c r="D1301" t="s">
        <v>63</v>
      </c>
      <c r="E1301" t="s">
        <v>35</v>
      </c>
      <c r="F1301" t="s">
        <v>26</v>
      </c>
      <c r="G1301" t="s">
        <v>44</v>
      </c>
      <c r="H1301" t="s">
        <v>124</v>
      </c>
      <c r="I1301" t="s">
        <v>94</v>
      </c>
      <c r="J1301" s="2">
        <v>7</v>
      </c>
      <c r="K1301" s="3">
        <v>5934.02</v>
      </c>
      <c r="L1301" s="3">
        <v>4427.3999999999996</v>
      </c>
      <c r="M1301" s="4">
        <v>0.1053</v>
      </c>
      <c r="N1301" s="3">
        <f t="shared" si="100"/>
        <v>41538.14</v>
      </c>
      <c r="O1301" s="3">
        <f t="shared" si="101"/>
        <v>37164.17</v>
      </c>
      <c r="P1301" s="3">
        <f t="shared" si="102"/>
        <v>30991.8</v>
      </c>
      <c r="Q1301" s="3">
        <f t="shared" si="103"/>
        <v>6172.37</v>
      </c>
      <c r="R1301" s="4">
        <f t="shared" si="104"/>
        <v>0.1661</v>
      </c>
      <c r="S1301" s="2">
        <v>8</v>
      </c>
      <c r="T1301" t="s">
        <v>46</v>
      </c>
      <c r="U1301">
        <v>3</v>
      </c>
    </row>
    <row r="1302" spans="1:21" x14ac:dyDescent="0.25">
      <c r="A1302" s="1">
        <v>46169</v>
      </c>
      <c r="B1302" t="s">
        <v>1496</v>
      </c>
      <c r="C1302" t="s">
        <v>79</v>
      </c>
      <c r="D1302" t="s">
        <v>49</v>
      </c>
      <c r="E1302" t="s">
        <v>50</v>
      </c>
      <c r="F1302" t="s">
        <v>26</v>
      </c>
      <c r="G1302" t="s">
        <v>27</v>
      </c>
      <c r="H1302" t="s">
        <v>68</v>
      </c>
      <c r="I1302" t="s">
        <v>94</v>
      </c>
      <c r="J1302" s="2">
        <v>8</v>
      </c>
      <c r="K1302" s="3">
        <v>1226.81</v>
      </c>
      <c r="L1302" s="3">
        <v>807.2</v>
      </c>
      <c r="M1302" s="4">
        <v>0</v>
      </c>
      <c r="N1302" s="3">
        <f t="shared" si="100"/>
        <v>9814.48</v>
      </c>
      <c r="O1302" s="3">
        <f t="shared" si="101"/>
        <v>9814.48</v>
      </c>
      <c r="P1302" s="3">
        <f t="shared" si="102"/>
        <v>6457.6</v>
      </c>
      <c r="Q1302" s="3">
        <f t="shared" si="103"/>
        <v>3356.88</v>
      </c>
      <c r="R1302" s="4">
        <f t="shared" si="104"/>
        <v>0.34200000000000003</v>
      </c>
      <c r="S1302" s="2">
        <v>6</v>
      </c>
      <c r="T1302" t="s">
        <v>46</v>
      </c>
      <c r="U1302">
        <v>4</v>
      </c>
    </row>
    <row r="1303" spans="1:21" x14ac:dyDescent="0.25">
      <c r="A1303" s="1">
        <v>46059</v>
      </c>
      <c r="B1303" t="s">
        <v>1497</v>
      </c>
      <c r="C1303" t="s">
        <v>240</v>
      </c>
      <c r="D1303" t="s">
        <v>63</v>
      </c>
      <c r="E1303" t="s">
        <v>35</v>
      </c>
      <c r="F1303" t="s">
        <v>58</v>
      </c>
      <c r="G1303" t="s">
        <v>51</v>
      </c>
      <c r="H1303" t="s">
        <v>52</v>
      </c>
      <c r="I1303" t="s">
        <v>60</v>
      </c>
      <c r="J1303" s="2">
        <v>4</v>
      </c>
      <c r="K1303" s="3">
        <v>258.51</v>
      </c>
      <c r="L1303" s="3">
        <v>115.83</v>
      </c>
      <c r="M1303" s="4">
        <v>3.5000000000000003E-2</v>
      </c>
      <c r="N1303" s="3">
        <f t="shared" si="100"/>
        <v>1034.04</v>
      </c>
      <c r="O1303" s="3">
        <f t="shared" si="101"/>
        <v>997.85</v>
      </c>
      <c r="P1303" s="3">
        <f t="shared" si="102"/>
        <v>463.32</v>
      </c>
      <c r="Q1303" s="3">
        <f t="shared" si="103"/>
        <v>534.53</v>
      </c>
      <c r="R1303" s="4">
        <f t="shared" si="104"/>
        <v>0.53569999999999995</v>
      </c>
      <c r="S1303" s="2">
        <v>14</v>
      </c>
      <c r="T1303" t="s">
        <v>30</v>
      </c>
      <c r="U1303">
        <v>2</v>
      </c>
    </row>
    <row r="1304" spans="1:21" x14ac:dyDescent="0.25">
      <c r="A1304" s="1">
        <v>46226</v>
      </c>
      <c r="B1304" t="s">
        <v>1498</v>
      </c>
      <c r="C1304" t="s">
        <v>418</v>
      </c>
      <c r="D1304" t="s">
        <v>121</v>
      </c>
      <c r="E1304" t="s">
        <v>72</v>
      </c>
      <c r="F1304" t="s">
        <v>36</v>
      </c>
      <c r="G1304" t="s">
        <v>37</v>
      </c>
      <c r="H1304" t="s">
        <v>38</v>
      </c>
      <c r="I1304" t="s">
        <v>92</v>
      </c>
      <c r="J1304" s="2">
        <v>6</v>
      </c>
      <c r="K1304" s="3">
        <v>408.69</v>
      </c>
      <c r="L1304" s="3">
        <v>195.68</v>
      </c>
      <c r="M1304" s="4">
        <v>7.2999999999999995E-2</v>
      </c>
      <c r="N1304" s="3">
        <f t="shared" si="100"/>
        <v>2452.14</v>
      </c>
      <c r="O1304" s="3">
        <f t="shared" si="101"/>
        <v>2273.13</v>
      </c>
      <c r="P1304" s="3">
        <f t="shared" si="102"/>
        <v>1174.08</v>
      </c>
      <c r="Q1304" s="3">
        <f t="shared" si="103"/>
        <v>1099.05</v>
      </c>
      <c r="R1304" s="4">
        <f t="shared" si="104"/>
        <v>0.48349999999999999</v>
      </c>
      <c r="S1304" s="2">
        <v>3</v>
      </c>
      <c r="T1304" t="s">
        <v>46</v>
      </c>
      <c r="U1304">
        <v>5</v>
      </c>
    </row>
    <row r="1305" spans="1:21" x14ac:dyDescent="0.25">
      <c r="A1305" s="1">
        <v>46047</v>
      </c>
      <c r="B1305" t="s">
        <v>1499</v>
      </c>
      <c r="C1305" t="s">
        <v>315</v>
      </c>
      <c r="D1305" t="s">
        <v>139</v>
      </c>
      <c r="E1305" t="s">
        <v>72</v>
      </c>
      <c r="F1305" t="s">
        <v>36</v>
      </c>
      <c r="G1305" t="s">
        <v>44</v>
      </c>
      <c r="H1305" t="s">
        <v>124</v>
      </c>
      <c r="I1305" t="s">
        <v>53</v>
      </c>
      <c r="J1305" s="2">
        <v>4</v>
      </c>
      <c r="K1305" s="3">
        <v>5997.38</v>
      </c>
      <c r="L1305" s="3">
        <v>4308.5600000000004</v>
      </c>
      <c r="M1305" s="4">
        <v>0</v>
      </c>
      <c r="N1305" s="3">
        <f t="shared" si="100"/>
        <v>23989.52</v>
      </c>
      <c r="O1305" s="3">
        <f t="shared" si="101"/>
        <v>23989.52</v>
      </c>
      <c r="P1305" s="3">
        <f t="shared" si="102"/>
        <v>17234.240000000002</v>
      </c>
      <c r="Q1305" s="3">
        <f t="shared" si="103"/>
        <v>6755.28</v>
      </c>
      <c r="R1305" s="4">
        <f t="shared" si="104"/>
        <v>0.28160000000000002</v>
      </c>
      <c r="S1305" s="2">
        <v>2</v>
      </c>
      <c r="T1305" t="s">
        <v>46</v>
      </c>
      <c r="U1305">
        <v>4</v>
      </c>
    </row>
    <row r="1306" spans="1:21" x14ac:dyDescent="0.25">
      <c r="A1306" s="1">
        <v>46061</v>
      </c>
      <c r="B1306" t="s">
        <v>1500</v>
      </c>
      <c r="C1306" t="s">
        <v>132</v>
      </c>
      <c r="D1306" t="s">
        <v>34</v>
      </c>
      <c r="E1306" t="s">
        <v>35</v>
      </c>
      <c r="F1306" t="s">
        <v>58</v>
      </c>
      <c r="G1306" t="s">
        <v>44</v>
      </c>
      <c r="H1306" t="s">
        <v>124</v>
      </c>
      <c r="I1306" t="s">
        <v>94</v>
      </c>
      <c r="J1306" s="2">
        <v>2</v>
      </c>
      <c r="K1306" s="3">
        <v>5897.43</v>
      </c>
      <c r="L1306" s="3">
        <v>4522.5600000000004</v>
      </c>
      <c r="M1306" s="4">
        <v>6.93E-2</v>
      </c>
      <c r="N1306" s="3">
        <f t="shared" si="100"/>
        <v>11794.86</v>
      </c>
      <c r="O1306" s="3">
        <f t="shared" si="101"/>
        <v>10977.48</v>
      </c>
      <c r="P1306" s="3">
        <f t="shared" si="102"/>
        <v>9045.1200000000008</v>
      </c>
      <c r="Q1306" s="3">
        <f t="shared" si="103"/>
        <v>1932.36</v>
      </c>
      <c r="R1306" s="4">
        <f t="shared" si="104"/>
        <v>0.17599999999999999</v>
      </c>
      <c r="S1306" s="2">
        <v>7</v>
      </c>
      <c r="T1306" t="s">
        <v>46</v>
      </c>
      <c r="U1306">
        <v>5</v>
      </c>
    </row>
    <row r="1307" spans="1:21" x14ac:dyDescent="0.25">
      <c r="A1307" s="1">
        <v>46233</v>
      </c>
      <c r="B1307" t="s">
        <v>1501</v>
      </c>
      <c r="C1307" t="s">
        <v>606</v>
      </c>
      <c r="D1307" t="s">
        <v>63</v>
      </c>
      <c r="E1307" t="s">
        <v>35</v>
      </c>
      <c r="F1307" t="s">
        <v>64</v>
      </c>
      <c r="G1307" t="s">
        <v>27</v>
      </c>
      <c r="H1307" t="s">
        <v>86</v>
      </c>
      <c r="I1307" t="s">
        <v>65</v>
      </c>
      <c r="J1307" s="2">
        <v>5</v>
      </c>
      <c r="K1307" s="3">
        <v>1873.39</v>
      </c>
      <c r="L1307" s="3">
        <v>1177.31</v>
      </c>
      <c r="M1307" s="4">
        <v>0</v>
      </c>
      <c r="N1307" s="3">
        <f t="shared" si="100"/>
        <v>9366.9500000000007</v>
      </c>
      <c r="O1307" s="3">
        <f t="shared" si="101"/>
        <v>9366.9500000000007</v>
      </c>
      <c r="P1307" s="3">
        <f t="shared" si="102"/>
        <v>5886.55</v>
      </c>
      <c r="Q1307" s="3">
        <f t="shared" si="103"/>
        <v>3480.4</v>
      </c>
      <c r="R1307" s="4">
        <f t="shared" si="104"/>
        <v>0.37159999999999999</v>
      </c>
      <c r="S1307" s="2">
        <v>13</v>
      </c>
      <c r="T1307" t="s">
        <v>30</v>
      </c>
      <c r="U1307">
        <v>4</v>
      </c>
    </row>
    <row r="1308" spans="1:21" x14ac:dyDescent="0.25">
      <c r="A1308" s="1">
        <v>46035</v>
      </c>
      <c r="B1308" t="s">
        <v>1502</v>
      </c>
      <c r="C1308" t="s">
        <v>150</v>
      </c>
      <c r="D1308" t="s">
        <v>113</v>
      </c>
      <c r="E1308" t="s">
        <v>50</v>
      </c>
      <c r="F1308" t="s">
        <v>58</v>
      </c>
      <c r="G1308" t="s">
        <v>37</v>
      </c>
      <c r="H1308" t="s">
        <v>178</v>
      </c>
      <c r="I1308" t="s">
        <v>29</v>
      </c>
      <c r="J1308" s="2">
        <v>5</v>
      </c>
      <c r="K1308" s="3">
        <v>483.14</v>
      </c>
      <c r="L1308" s="3">
        <v>247.1</v>
      </c>
      <c r="M1308" s="4">
        <v>0.16320000000000001</v>
      </c>
      <c r="N1308" s="3">
        <f t="shared" si="100"/>
        <v>2415.6999999999998</v>
      </c>
      <c r="O1308" s="3">
        <f t="shared" si="101"/>
        <v>2021.46</v>
      </c>
      <c r="P1308" s="3">
        <f t="shared" si="102"/>
        <v>1235.5</v>
      </c>
      <c r="Q1308" s="3">
        <f t="shared" si="103"/>
        <v>785.96</v>
      </c>
      <c r="R1308" s="4">
        <f t="shared" si="104"/>
        <v>0.38879999999999998</v>
      </c>
      <c r="S1308" s="2">
        <v>6</v>
      </c>
      <c r="T1308" t="s">
        <v>46</v>
      </c>
      <c r="U1308">
        <v>3</v>
      </c>
    </row>
    <row r="1309" spans="1:21" x14ac:dyDescent="0.25">
      <c r="A1309" s="1">
        <v>46044</v>
      </c>
      <c r="B1309" t="s">
        <v>1503</v>
      </c>
      <c r="C1309" t="s">
        <v>233</v>
      </c>
      <c r="D1309" t="s">
        <v>24</v>
      </c>
      <c r="E1309" t="s">
        <v>25</v>
      </c>
      <c r="F1309" t="s">
        <v>26</v>
      </c>
      <c r="G1309" t="s">
        <v>51</v>
      </c>
      <c r="H1309" t="s">
        <v>52</v>
      </c>
      <c r="I1309" t="s">
        <v>39</v>
      </c>
      <c r="J1309" s="2">
        <v>8</v>
      </c>
      <c r="K1309" s="3">
        <v>274.64999999999998</v>
      </c>
      <c r="L1309" s="3">
        <v>127.32</v>
      </c>
      <c r="M1309" s="4">
        <v>0.1162</v>
      </c>
      <c r="N1309" s="3">
        <f t="shared" si="100"/>
        <v>2197.1999999999998</v>
      </c>
      <c r="O1309" s="3">
        <f t="shared" si="101"/>
        <v>1941.89</v>
      </c>
      <c r="P1309" s="3">
        <f t="shared" si="102"/>
        <v>1018.56</v>
      </c>
      <c r="Q1309" s="3">
        <f t="shared" si="103"/>
        <v>923.33</v>
      </c>
      <c r="R1309" s="4">
        <f t="shared" si="104"/>
        <v>0.47549999999999998</v>
      </c>
      <c r="S1309" s="2">
        <v>7</v>
      </c>
      <c r="T1309" t="s">
        <v>46</v>
      </c>
      <c r="U1309">
        <v>2</v>
      </c>
    </row>
    <row r="1310" spans="1:21" x14ac:dyDescent="0.25">
      <c r="A1310" s="1">
        <v>46047</v>
      </c>
      <c r="B1310" t="s">
        <v>1504</v>
      </c>
      <c r="C1310" t="s">
        <v>218</v>
      </c>
      <c r="D1310" t="s">
        <v>207</v>
      </c>
      <c r="E1310" t="s">
        <v>35</v>
      </c>
      <c r="F1310" t="s">
        <v>26</v>
      </c>
      <c r="G1310" t="s">
        <v>37</v>
      </c>
      <c r="H1310" t="s">
        <v>38</v>
      </c>
      <c r="I1310" t="s">
        <v>29</v>
      </c>
      <c r="J1310" s="2">
        <v>7</v>
      </c>
      <c r="K1310" s="3">
        <v>426.91</v>
      </c>
      <c r="L1310" s="3">
        <v>191.33</v>
      </c>
      <c r="M1310" s="4">
        <v>0</v>
      </c>
      <c r="N1310" s="3">
        <f t="shared" si="100"/>
        <v>2988.37</v>
      </c>
      <c r="O1310" s="3">
        <f t="shared" si="101"/>
        <v>2988.37</v>
      </c>
      <c r="P1310" s="3">
        <f t="shared" si="102"/>
        <v>1339.31</v>
      </c>
      <c r="Q1310" s="3">
        <f t="shared" si="103"/>
        <v>1649.06</v>
      </c>
      <c r="R1310" s="4">
        <f t="shared" si="104"/>
        <v>0.55179999999999996</v>
      </c>
      <c r="S1310" s="2">
        <v>5</v>
      </c>
      <c r="T1310" t="s">
        <v>46</v>
      </c>
      <c r="U1310">
        <v>3</v>
      </c>
    </row>
    <row r="1311" spans="1:21" x14ac:dyDescent="0.25">
      <c r="A1311" s="1">
        <v>46070</v>
      </c>
      <c r="B1311" t="s">
        <v>1505</v>
      </c>
      <c r="C1311" t="s">
        <v>386</v>
      </c>
      <c r="D1311" t="s">
        <v>56</v>
      </c>
      <c r="E1311" t="s">
        <v>57</v>
      </c>
      <c r="F1311" t="s">
        <v>64</v>
      </c>
      <c r="G1311" t="s">
        <v>37</v>
      </c>
      <c r="H1311" t="s">
        <v>38</v>
      </c>
      <c r="I1311" t="s">
        <v>29</v>
      </c>
      <c r="J1311" s="2">
        <v>5</v>
      </c>
      <c r="K1311" s="3">
        <v>455.02</v>
      </c>
      <c r="L1311" s="3">
        <v>190.9</v>
      </c>
      <c r="M1311" s="4">
        <v>0.1128</v>
      </c>
      <c r="N1311" s="3">
        <f t="shared" si="100"/>
        <v>2275.1</v>
      </c>
      <c r="O1311" s="3">
        <f t="shared" si="101"/>
        <v>2018.47</v>
      </c>
      <c r="P1311" s="3">
        <f t="shared" si="102"/>
        <v>954.5</v>
      </c>
      <c r="Q1311" s="3">
        <f t="shared" si="103"/>
        <v>1063.97</v>
      </c>
      <c r="R1311" s="4">
        <f t="shared" si="104"/>
        <v>0.52710000000000001</v>
      </c>
      <c r="S1311" s="2">
        <v>5</v>
      </c>
      <c r="T1311" t="s">
        <v>46</v>
      </c>
      <c r="U1311">
        <v>2</v>
      </c>
    </row>
    <row r="1312" spans="1:21" x14ac:dyDescent="0.25">
      <c r="A1312" s="1">
        <v>46159</v>
      </c>
      <c r="B1312" t="s">
        <v>1506</v>
      </c>
      <c r="C1312" t="s">
        <v>153</v>
      </c>
      <c r="D1312" t="s">
        <v>101</v>
      </c>
      <c r="E1312" t="s">
        <v>35</v>
      </c>
      <c r="F1312" t="s">
        <v>58</v>
      </c>
      <c r="G1312" t="s">
        <v>27</v>
      </c>
      <c r="H1312" t="s">
        <v>86</v>
      </c>
      <c r="I1312" t="s">
        <v>29</v>
      </c>
      <c r="J1312" s="2">
        <v>7</v>
      </c>
      <c r="K1312" s="3">
        <v>1932.24</v>
      </c>
      <c r="L1312" s="3">
        <v>1164.8399999999999</v>
      </c>
      <c r="M1312" s="4">
        <v>3.5000000000000003E-2</v>
      </c>
      <c r="N1312" s="3">
        <f t="shared" si="100"/>
        <v>13525.68</v>
      </c>
      <c r="O1312" s="3">
        <f t="shared" si="101"/>
        <v>13052.28</v>
      </c>
      <c r="P1312" s="3">
        <f t="shared" si="102"/>
        <v>8153.88</v>
      </c>
      <c r="Q1312" s="3">
        <f t="shared" si="103"/>
        <v>4898.3999999999996</v>
      </c>
      <c r="R1312" s="4">
        <f t="shared" si="104"/>
        <v>0.37530000000000002</v>
      </c>
      <c r="S1312" s="2">
        <v>13</v>
      </c>
      <c r="T1312" t="s">
        <v>30</v>
      </c>
      <c r="U1312">
        <v>2</v>
      </c>
    </row>
    <row r="1313" spans="1:22" x14ac:dyDescent="0.25">
      <c r="A1313" s="1">
        <v>46176</v>
      </c>
      <c r="B1313" t="s">
        <v>1507</v>
      </c>
      <c r="C1313" t="s">
        <v>150</v>
      </c>
      <c r="D1313" t="s">
        <v>97</v>
      </c>
      <c r="E1313" t="s">
        <v>57</v>
      </c>
      <c r="F1313" t="s">
        <v>64</v>
      </c>
      <c r="G1313" t="s">
        <v>51</v>
      </c>
      <c r="H1313" t="s">
        <v>116</v>
      </c>
      <c r="I1313" t="s">
        <v>94</v>
      </c>
      <c r="J1313" s="2">
        <v>2</v>
      </c>
      <c r="K1313" s="3">
        <v>2767.09</v>
      </c>
      <c r="L1313" s="3">
        <v>1754.44</v>
      </c>
      <c r="M1313" s="4">
        <v>6.8900000000000003E-2</v>
      </c>
      <c r="N1313" s="3">
        <f t="shared" si="100"/>
        <v>5534.18</v>
      </c>
      <c r="O1313" s="3">
        <f t="shared" si="101"/>
        <v>5152.87</v>
      </c>
      <c r="P1313" s="3">
        <f t="shared" si="102"/>
        <v>3508.88</v>
      </c>
      <c r="Q1313" s="3">
        <f t="shared" si="103"/>
        <v>1643.99</v>
      </c>
      <c r="R1313" s="4">
        <f t="shared" si="104"/>
        <v>0.31900000000000001</v>
      </c>
      <c r="S1313" s="2">
        <v>4</v>
      </c>
      <c r="T1313" t="s">
        <v>46</v>
      </c>
      <c r="U1313">
        <v>4</v>
      </c>
    </row>
    <row r="1314" spans="1:22" x14ac:dyDescent="0.25">
      <c r="A1314" s="1">
        <v>46198</v>
      </c>
      <c r="B1314" t="s">
        <v>1508</v>
      </c>
      <c r="C1314" t="s">
        <v>184</v>
      </c>
      <c r="D1314" t="s">
        <v>139</v>
      </c>
      <c r="E1314" t="s">
        <v>72</v>
      </c>
      <c r="F1314" t="s">
        <v>26</v>
      </c>
      <c r="G1314" t="s">
        <v>44</v>
      </c>
      <c r="H1314" t="s">
        <v>45</v>
      </c>
      <c r="I1314" t="s">
        <v>29</v>
      </c>
      <c r="J1314" s="2">
        <v>1</v>
      </c>
      <c r="K1314" s="3">
        <v>407.79</v>
      </c>
      <c r="L1314" s="3">
        <v>222.96</v>
      </c>
      <c r="M1314" s="4">
        <v>0</v>
      </c>
      <c r="N1314" s="3">
        <f t="shared" si="100"/>
        <v>407.79</v>
      </c>
      <c r="O1314" s="3">
        <f t="shared" si="101"/>
        <v>407.79</v>
      </c>
      <c r="P1314" s="3">
        <f t="shared" si="102"/>
        <v>222.96</v>
      </c>
      <c r="Q1314" s="3">
        <f t="shared" si="103"/>
        <v>184.83</v>
      </c>
      <c r="R1314" s="4">
        <f t="shared" si="104"/>
        <v>0.45319999999999999</v>
      </c>
      <c r="S1314" s="2">
        <v>10</v>
      </c>
      <c r="T1314" t="s">
        <v>46</v>
      </c>
      <c r="U1314">
        <v>2</v>
      </c>
    </row>
    <row r="1315" spans="1:22" x14ac:dyDescent="0.25">
      <c r="A1315" s="1">
        <v>46120</v>
      </c>
      <c r="B1315" t="s">
        <v>1509</v>
      </c>
      <c r="C1315" t="s">
        <v>182</v>
      </c>
      <c r="D1315" t="s">
        <v>43</v>
      </c>
      <c r="E1315" t="s">
        <v>25</v>
      </c>
      <c r="F1315" t="s">
        <v>58</v>
      </c>
      <c r="G1315" t="s">
        <v>37</v>
      </c>
      <c r="H1315" t="s">
        <v>104</v>
      </c>
      <c r="I1315" t="s">
        <v>94</v>
      </c>
      <c r="J1315" s="2">
        <v>3</v>
      </c>
      <c r="K1315" s="3">
        <v>327.27999999999997</v>
      </c>
      <c r="L1315" s="3">
        <v>142.61000000000001</v>
      </c>
      <c r="M1315" s="4">
        <v>3.5000000000000003E-2</v>
      </c>
      <c r="N1315" s="3">
        <f t="shared" si="100"/>
        <v>981.84</v>
      </c>
      <c r="O1315" s="3">
        <f t="shared" si="101"/>
        <v>947.48</v>
      </c>
      <c r="P1315" s="3">
        <f t="shared" si="102"/>
        <v>427.83</v>
      </c>
      <c r="Q1315" s="3">
        <f t="shared" si="103"/>
        <v>519.65</v>
      </c>
      <c r="R1315" s="4">
        <f t="shared" si="104"/>
        <v>0.54849999999999999</v>
      </c>
      <c r="S1315" s="2">
        <v>9</v>
      </c>
      <c r="T1315" t="s">
        <v>46</v>
      </c>
      <c r="U1315">
        <v>5</v>
      </c>
    </row>
    <row r="1316" spans="1:22" x14ac:dyDescent="0.25">
      <c r="A1316" s="1">
        <v>46080</v>
      </c>
      <c r="B1316" t="s">
        <v>1510</v>
      </c>
      <c r="C1316" t="s">
        <v>184</v>
      </c>
      <c r="D1316" t="s">
        <v>85</v>
      </c>
      <c r="E1316" t="s">
        <v>50</v>
      </c>
      <c r="F1316" t="s">
        <v>64</v>
      </c>
      <c r="G1316" t="s">
        <v>51</v>
      </c>
      <c r="H1316" t="s">
        <v>52</v>
      </c>
      <c r="I1316" t="s">
        <v>60</v>
      </c>
      <c r="J1316" s="2">
        <v>5</v>
      </c>
      <c r="K1316" s="3">
        <v>269.56</v>
      </c>
      <c r="L1316" s="3">
        <v>120.31</v>
      </c>
      <c r="M1316" s="4">
        <v>0</v>
      </c>
      <c r="N1316" s="3">
        <f t="shared" si="100"/>
        <v>1347.8</v>
      </c>
      <c r="O1316" s="3">
        <f t="shared" si="101"/>
        <v>1347.8</v>
      </c>
      <c r="P1316" s="3">
        <f t="shared" si="102"/>
        <v>601.54999999999995</v>
      </c>
      <c r="Q1316" s="3">
        <f t="shared" si="103"/>
        <v>746.25</v>
      </c>
      <c r="R1316" s="4">
        <f t="shared" si="104"/>
        <v>0.55369999999999997</v>
      </c>
      <c r="S1316" s="2">
        <v>32</v>
      </c>
      <c r="T1316" t="s">
        <v>30</v>
      </c>
      <c r="U1316">
        <v>1</v>
      </c>
      <c r="V1316" t="s">
        <v>208</v>
      </c>
    </row>
    <row r="1317" spans="1:22" x14ac:dyDescent="0.25">
      <c r="A1317" s="1">
        <v>46148</v>
      </c>
      <c r="B1317" t="s">
        <v>1511</v>
      </c>
      <c r="C1317" t="s">
        <v>106</v>
      </c>
      <c r="D1317" t="s">
        <v>43</v>
      </c>
      <c r="E1317" t="s">
        <v>25</v>
      </c>
      <c r="F1317" t="s">
        <v>36</v>
      </c>
      <c r="G1317" t="s">
        <v>51</v>
      </c>
      <c r="H1317" t="s">
        <v>116</v>
      </c>
      <c r="I1317" t="s">
        <v>92</v>
      </c>
      <c r="J1317" s="2">
        <v>1</v>
      </c>
      <c r="K1317" s="3">
        <v>2757.04</v>
      </c>
      <c r="L1317" s="3">
        <v>1863.38</v>
      </c>
      <c r="M1317" s="4">
        <v>4.1399999999999999E-2</v>
      </c>
      <c r="N1317" s="3">
        <f t="shared" si="100"/>
        <v>2757.04</v>
      </c>
      <c r="O1317" s="3">
        <f t="shared" si="101"/>
        <v>2642.9</v>
      </c>
      <c r="P1317" s="3">
        <f t="shared" si="102"/>
        <v>1863.38</v>
      </c>
      <c r="Q1317" s="3">
        <f t="shared" si="103"/>
        <v>779.52</v>
      </c>
      <c r="R1317" s="4">
        <f t="shared" si="104"/>
        <v>0.2949</v>
      </c>
      <c r="S1317" s="2">
        <v>14</v>
      </c>
      <c r="T1317" t="s">
        <v>30</v>
      </c>
      <c r="U1317">
        <v>5</v>
      </c>
    </row>
    <row r="1318" spans="1:22" x14ac:dyDescent="0.25">
      <c r="A1318" s="1">
        <v>46116</v>
      </c>
      <c r="B1318" t="s">
        <v>1512</v>
      </c>
      <c r="C1318" t="s">
        <v>525</v>
      </c>
      <c r="D1318" t="s">
        <v>24</v>
      </c>
      <c r="E1318" t="s">
        <v>25</v>
      </c>
      <c r="F1318" t="s">
        <v>26</v>
      </c>
      <c r="G1318" t="s">
        <v>44</v>
      </c>
      <c r="H1318" t="s">
        <v>45</v>
      </c>
      <c r="I1318" t="s">
        <v>29</v>
      </c>
      <c r="J1318" s="2">
        <v>2</v>
      </c>
      <c r="K1318" s="3">
        <v>402.35</v>
      </c>
      <c r="L1318" s="3">
        <v>219.93</v>
      </c>
      <c r="M1318" s="4">
        <v>0</v>
      </c>
      <c r="N1318" s="3">
        <f t="shared" si="100"/>
        <v>804.7</v>
      </c>
      <c r="O1318" s="3">
        <f t="shared" si="101"/>
        <v>804.7</v>
      </c>
      <c r="P1318" s="3">
        <f t="shared" si="102"/>
        <v>439.86</v>
      </c>
      <c r="Q1318" s="3">
        <f t="shared" si="103"/>
        <v>364.84</v>
      </c>
      <c r="R1318" s="4">
        <f t="shared" si="104"/>
        <v>0.45340000000000003</v>
      </c>
      <c r="S1318" s="2">
        <v>12</v>
      </c>
      <c r="T1318" t="s">
        <v>30</v>
      </c>
      <c r="U1318">
        <v>4</v>
      </c>
    </row>
    <row r="1319" spans="1:22" x14ac:dyDescent="0.25">
      <c r="A1319" s="1">
        <v>46036</v>
      </c>
      <c r="B1319" t="s">
        <v>1513</v>
      </c>
      <c r="C1319" t="s">
        <v>201</v>
      </c>
      <c r="D1319" t="s">
        <v>49</v>
      </c>
      <c r="E1319" t="s">
        <v>50</v>
      </c>
      <c r="F1319" t="s">
        <v>26</v>
      </c>
      <c r="G1319" t="s">
        <v>37</v>
      </c>
      <c r="H1319" t="s">
        <v>178</v>
      </c>
      <c r="I1319" t="s">
        <v>92</v>
      </c>
      <c r="J1319" s="2">
        <v>1</v>
      </c>
      <c r="K1319" s="3">
        <v>503.59</v>
      </c>
      <c r="L1319" s="3">
        <v>242.88</v>
      </c>
      <c r="M1319" s="4">
        <v>0.1278</v>
      </c>
      <c r="N1319" s="3">
        <f t="shared" si="100"/>
        <v>503.59</v>
      </c>
      <c r="O1319" s="3">
        <f t="shared" si="101"/>
        <v>439.23</v>
      </c>
      <c r="P1319" s="3">
        <f t="shared" si="102"/>
        <v>242.88</v>
      </c>
      <c r="Q1319" s="3">
        <f t="shared" si="103"/>
        <v>196.35</v>
      </c>
      <c r="R1319" s="4">
        <f t="shared" si="104"/>
        <v>0.44700000000000001</v>
      </c>
      <c r="S1319" s="2">
        <v>11</v>
      </c>
      <c r="T1319" t="s">
        <v>30</v>
      </c>
      <c r="U1319">
        <v>4</v>
      </c>
    </row>
    <row r="1320" spans="1:22" x14ac:dyDescent="0.25">
      <c r="A1320" s="1">
        <v>46064</v>
      </c>
      <c r="B1320" t="s">
        <v>1514</v>
      </c>
      <c r="C1320" t="s">
        <v>70</v>
      </c>
      <c r="D1320" t="s">
        <v>43</v>
      </c>
      <c r="E1320" t="s">
        <v>25</v>
      </c>
      <c r="F1320" t="s">
        <v>36</v>
      </c>
      <c r="G1320" t="s">
        <v>44</v>
      </c>
      <c r="H1320" t="s">
        <v>124</v>
      </c>
      <c r="I1320" t="s">
        <v>94</v>
      </c>
      <c r="J1320" s="2">
        <v>5</v>
      </c>
      <c r="K1320" s="3">
        <v>5695.5</v>
      </c>
      <c r="L1320" s="3">
        <v>4361.8500000000004</v>
      </c>
      <c r="M1320" s="4">
        <v>2.5999999999999999E-2</v>
      </c>
      <c r="N1320" s="3">
        <f t="shared" si="100"/>
        <v>28477.5</v>
      </c>
      <c r="O1320" s="3">
        <f t="shared" si="101"/>
        <v>27737.09</v>
      </c>
      <c r="P1320" s="3">
        <f t="shared" si="102"/>
        <v>21809.25</v>
      </c>
      <c r="Q1320" s="3">
        <f t="shared" si="103"/>
        <v>5927.84</v>
      </c>
      <c r="R1320" s="4">
        <f t="shared" si="104"/>
        <v>0.2137</v>
      </c>
      <c r="S1320" s="2">
        <v>3</v>
      </c>
      <c r="T1320" t="s">
        <v>46</v>
      </c>
      <c r="U1320">
        <v>3</v>
      </c>
    </row>
    <row r="1321" spans="1:22" x14ac:dyDescent="0.25">
      <c r="A1321" s="1">
        <v>46046</v>
      </c>
      <c r="B1321" t="s">
        <v>1515</v>
      </c>
      <c r="C1321" t="s">
        <v>331</v>
      </c>
      <c r="D1321" t="s">
        <v>113</v>
      </c>
      <c r="E1321" t="s">
        <v>50</v>
      </c>
      <c r="F1321" t="s">
        <v>36</v>
      </c>
      <c r="G1321" t="s">
        <v>44</v>
      </c>
      <c r="H1321" t="s">
        <v>45</v>
      </c>
      <c r="I1321" t="s">
        <v>53</v>
      </c>
      <c r="J1321" s="2">
        <v>8</v>
      </c>
      <c r="K1321" s="3">
        <v>384.21</v>
      </c>
      <c r="L1321" s="3">
        <v>205.49</v>
      </c>
      <c r="M1321" s="4">
        <v>0</v>
      </c>
      <c r="N1321" s="3">
        <f t="shared" si="100"/>
        <v>3073.68</v>
      </c>
      <c r="O1321" s="3">
        <f t="shared" si="101"/>
        <v>3073.68</v>
      </c>
      <c r="P1321" s="3">
        <f t="shared" si="102"/>
        <v>1643.92</v>
      </c>
      <c r="Q1321" s="3">
        <f t="shared" si="103"/>
        <v>1429.76</v>
      </c>
      <c r="R1321" s="4">
        <f t="shared" si="104"/>
        <v>0.4652</v>
      </c>
      <c r="S1321" s="2">
        <v>9</v>
      </c>
      <c r="T1321" t="s">
        <v>46</v>
      </c>
      <c r="U1321">
        <v>3</v>
      </c>
    </row>
    <row r="1322" spans="1:22" x14ac:dyDescent="0.25">
      <c r="A1322" s="1">
        <v>46178</v>
      </c>
      <c r="B1322" t="s">
        <v>1516</v>
      </c>
      <c r="C1322" t="s">
        <v>284</v>
      </c>
      <c r="D1322" t="s">
        <v>34</v>
      </c>
      <c r="E1322" t="s">
        <v>35</v>
      </c>
      <c r="F1322" t="s">
        <v>64</v>
      </c>
      <c r="G1322" t="s">
        <v>44</v>
      </c>
      <c r="H1322" t="s">
        <v>73</v>
      </c>
      <c r="I1322" t="s">
        <v>53</v>
      </c>
      <c r="J1322" s="2">
        <v>1</v>
      </c>
      <c r="K1322" s="3">
        <v>1713.62</v>
      </c>
      <c r="L1322" s="3">
        <v>1039.26</v>
      </c>
      <c r="M1322" s="4">
        <v>2.86E-2</v>
      </c>
      <c r="N1322" s="3">
        <f t="shared" si="100"/>
        <v>1713.62</v>
      </c>
      <c r="O1322" s="3">
        <f t="shared" si="101"/>
        <v>1664.61</v>
      </c>
      <c r="P1322" s="3">
        <f t="shared" si="102"/>
        <v>1039.26</v>
      </c>
      <c r="Q1322" s="3">
        <f t="shared" si="103"/>
        <v>625.35</v>
      </c>
      <c r="R1322" s="4">
        <f t="shared" si="104"/>
        <v>0.37569999999999998</v>
      </c>
      <c r="S1322" s="2">
        <v>12</v>
      </c>
      <c r="T1322" t="s">
        <v>30</v>
      </c>
      <c r="U1322">
        <v>2</v>
      </c>
    </row>
    <row r="1323" spans="1:22" x14ac:dyDescent="0.25">
      <c r="A1323" s="1">
        <v>46171</v>
      </c>
      <c r="B1323" t="s">
        <v>1517</v>
      </c>
      <c r="C1323" t="s">
        <v>386</v>
      </c>
      <c r="D1323" t="s">
        <v>130</v>
      </c>
      <c r="E1323" t="s">
        <v>72</v>
      </c>
      <c r="F1323" t="s">
        <v>64</v>
      </c>
      <c r="G1323" t="s">
        <v>44</v>
      </c>
      <c r="H1323" t="s">
        <v>124</v>
      </c>
      <c r="I1323" t="s">
        <v>94</v>
      </c>
      <c r="J1323" s="2">
        <v>8</v>
      </c>
      <c r="K1323" s="3">
        <v>5856.61</v>
      </c>
      <c r="L1323" s="3">
        <v>4539.2700000000004</v>
      </c>
      <c r="M1323" s="4">
        <v>6.0299999999999999E-2</v>
      </c>
      <c r="N1323" s="3">
        <f t="shared" si="100"/>
        <v>46852.88</v>
      </c>
      <c r="O1323" s="3">
        <f t="shared" si="101"/>
        <v>44027.65</v>
      </c>
      <c r="P1323" s="3">
        <f t="shared" si="102"/>
        <v>36314.160000000003</v>
      </c>
      <c r="Q1323" s="3">
        <f t="shared" si="103"/>
        <v>7713.49</v>
      </c>
      <c r="R1323" s="4">
        <f t="shared" si="104"/>
        <v>0.17519999999999999</v>
      </c>
      <c r="S1323" s="2">
        <v>8</v>
      </c>
      <c r="T1323" t="s">
        <v>46</v>
      </c>
      <c r="U1323">
        <v>3</v>
      </c>
    </row>
    <row r="1324" spans="1:22" x14ac:dyDescent="0.25">
      <c r="A1324" s="1">
        <v>46140</v>
      </c>
      <c r="B1324" t="s">
        <v>1518</v>
      </c>
      <c r="C1324" t="s">
        <v>590</v>
      </c>
      <c r="D1324" t="s">
        <v>139</v>
      </c>
      <c r="E1324" t="s">
        <v>72</v>
      </c>
      <c r="F1324" t="s">
        <v>58</v>
      </c>
      <c r="G1324" t="s">
        <v>51</v>
      </c>
      <c r="H1324" t="s">
        <v>59</v>
      </c>
      <c r="I1324" t="s">
        <v>87</v>
      </c>
      <c r="J1324" s="2">
        <v>4</v>
      </c>
      <c r="K1324" s="3">
        <v>2273.61</v>
      </c>
      <c r="L1324" s="3">
        <v>1410.34</v>
      </c>
      <c r="M1324" s="4">
        <v>3.5000000000000003E-2</v>
      </c>
      <c r="N1324" s="3">
        <f t="shared" si="100"/>
        <v>9094.44</v>
      </c>
      <c r="O1324" s="3">
        <f t="shared" si="101"/>
        <v>8776.1299999999992</v>
      </c>
      <c r="P1324" s="3">
        <f t="shared" si="102"/>
        <v>5641.36</v>
      </c>
      <c r="Q1324" s="3">
        <f t="shared" si="103"/>
        <v>3134.77</v>
      </c>
      <c r="R1324" s="4">
        <f t="shared" si="104"/>
        <v>0.35720000000000002</v>
      </c>
      <c r="S1324" s="2">
        <v>12</v>
      </c>
      <c r="T1324" t="s">
        <v>30</v>
      </c>
      <c r="U1324">
        <v>3</v>
      </c>
    </row>
    <row r="1325" spans="1:22" x14ac:dyDescent="0.25">
      <c r="A1325" s="1">
        <v>46217</v>
      </c>
      <c r="B1325" t="s">
        <v>1519</v>
      </c>
      <c r="C1325" t="s">
        <v>315</v>
      </c>
      <c r="D1325" t="s">
        <v>121</v>
      </c>
      <c r="E1325" t="s">
        <v>72</v>
      </c>
      <c r="F1325" t="s">
        <v>58</v>
      </c>
      <c r="G1325" t="s">
        <v>51</v>
      </c>
      <c r="H1325" t="s">
        <v>116</v>
      </c>
      <c r="I1325" t="s">
        <v>65</v>
      </c>
      <c r="J1325" s="2">
        <v>6</v>
      </c>
      <c r="K1325" s="3">
        <v>2665.37</v>
      </c>
      <c r="L1325" s="3">
        <v>1821.6</v>
      </c>
      <c r="M1325" s="4">
        <v>0.1024</v>
      </c>
      <c r="N1325" s="3">
        <f t="shared" si="100"/>
        <v>15992.22</v>
      </c>
      <c r="O1325" s="3">
        <f t="shared" si="101"/>
        <v>14354.62</v>
      </c>
      <c r="P1325" s="3">
        <f t="shared" si="102"/>
        <v>10929.6</v>
      </c>
      <c r="Q1325" s="3">
        <f t="shared" si="103"/>
        <v>3425.02</v>
      </c>
      <c r="R1325" s="4">
        <f t="shared" si="104"/>
        <v>0.23860000000000001</v>
      </c>
      <c r="S1325" s="2">
        <v>6</v>
      </c>
      <c r="T1325" t="s">
        <v>46</v>
      </c>
      <c r="U1325">
        <v>3</v>
      </c>
    </row>
    <row r="1326" spans="1:22" x14ac:dyDescent="0.25">
      <c r="A1326" s="1">
        <v>46142</v>
      </c>
      <c r="B1326" t="s">
        <v>1520</v>
      </c>
      <c r="C1326" t="s">
        <v>159</v>
      </c>
      <c r="D1326" t="s">
        <v>130</v>
      </c>
      <c r="E1326" t="s">
        <v>72</v>
      </c>
      <c r="F1326" t="s">
        <v>36</v>
      </c>
      <c r="G1326" t="s">
        <v>51</v>
      </c>
      <c r="H1326" t="s">
        <v>52</v>
      </c>
      <c r="I1326" t="s">
        <v>94</v>
      </c>
      <c r="J1326" s="2">
        <v>3</v>
      </c>
      <c r="K1326" s="3">
        <v>259.45999999999998</v>
      </c>
      <c r="L1326" s="3">
        <v>120.74</v>
      </c>
      <c r="M1326" s="4">
        <v>0.11070000000000001</v>
      </c>
      <c r="N1326" s="3">
        <f t="shared" si="100"/>
        <v>778.38</v>
      </c>
      <c r="O1326" s="3">
        <f t="shared" si="101"/>
        <v>692.21</v>
      </c>
      <c r="P1326" s="3">
        <f t="shared" si="102"/>
        <v>362.22</v>
      </c>
      <c r="Q1326" s="3">
        <f t="shared" si="103"/>
        <v>329.99</v>
      </c>
      <c r="R1326" s="4">
        <f t="shared" si="104"/>
        <v>0.47670000000000001</v>
      </c>
      <c r="S1326" s="2">
        <v>9</v>
      </c>
      <c r="T1326" t="s">
        <v>46</v>
      </c>
      <c r="U1326">
        <v>3</v>
      </c>
    </row>
    <row r="1327" spans="1:22" x14ac:dyDescent="0.25">
      <c r="A1327" s="1">
        <v>46123</v>
      </c>
      <c r="B1327" t="s">
        <v>1521</v>
      </c>
      <c r="C1327" t="s">
        <v>247</v>
      </c>
      <c r="D1327" t="s">
        <v>49</v>
      </c>
      <c r="E1327" t="s">
        <v>50</v>
      </c>
      <c r="F1327" t="s">
        <v>58</v>
      </c>
      <c r="G1327" t="s">
        <v>37</v>
      </c>
      <c r="H1327" t="s">
        <v>178</v>
      </c>
      <c r="I1327" t="s">
        <v>53</v>
      </c>
      <c r="J1327" s="2">
        <v>3</v>
      </c>
      <c r="K1327" s="3">
        <v>538.36</v>
      </c>
      <c r="L1327" s="3">
        <v>244.39</v>
      </c>
      <c r="M1327" s="4">
        <v>3.5000000000000003E-2</v>
      </c>
      <c r="N1327" s="3">
        <f t="shared" si="100"/>
        <v>1615.08</v>
      </c>
      <c r="O1327" s="3">
        <f t="shared" si="101"/>
        <v>1558.55</v>
      </c>
      <c r="P1327" s="3">
        <f t="shared" si="102"/>
        <v>733.17</v>
      </c>
      <c r="Q1327" s="3">
        <f t="shared" si="103"/>
        <v>825.38</v>
      </c>
      <c r="R1327" s="4">
        <f t="shared" si="104"/>
        <v>0.52959999999999996</v>
      </c>
      <c r="S1327" s="2">
        <v>3</v>
      </c>
      <c r="T1327" t="s">
        <v>46</v>
      </c>
      <c r="U1327">
        <v>4</v>
      </c>
    </row>
    <row r="1328" spans="1:22" x14ac:dyDescent="0.25">
      <c r="A1328" s="1">
        <v>46152</v>
      </c>
      <c r="B1328" t="s">
        <v>1522</v>
      </c>
      <c r="C1328" t="s">
        <v>315</v>
      </c>
      <c r="D1328" t="s">
        <v>56</v>
      </c>
      <c r="E1328" t="s">
        <v>57</v>
      </c>
      <c r="F1328" t="s">
        <v>36</v>
      </c>
      <c r="G1328" t="s">
        <v>44</v>
      </c>
      <c r="H1328" t="s">
        <v>124</v>
      </c>
      <c r="I1328" t="s">
        <v>94</v>
      </c>
      <c r="J1328" s="2">
        <v>3</v>
      </c>
      <c r="K1328" s="3">
        <v>5669.34</v>
      </c>
      <c r="L1328" s="3">
        <v>4487.51</v>
      </c>
      <c r="M1328" s="4">
        <v>0</v>
      </c>
      <c r="N1328" s="3">
        <f t="shared" si="100"/>
        <v>17008.02</v>
      </c>
      <c r="O1328" s="3">
        <f t="shared" si="101"/>
        <v>17008.02</v>
      </c>
      <c r="P1328" s="3">
        <f t="shared" si="102"/>
        <v>13462.53</v>
      </c>
      <c r="Q1328" s="3">
        <f t="shared" si="103"/>
        <v>3545.49</v>
      </c>
      <c r="R1328" s="4">
        <f t="shared" si="104"/>
        <v>0.20849999999999999</v>
      </c>
      <c r="S1328" s="2">
        <v>7</v>
      </c>
      <c r="T1328" t="s">
        <v>46</v>
      </c>
      <c r="U1328">
        <v>3</v>
      </c>
    </row>
    <row r="1329" spans="1:21" x14ac:dyDescent="0.25">
      <c r="A1329" s="1">
        <v>46207</v>
      </c>
      <c r="B1329" t="s">
        <v>1523</v>
      </c>
      <c r="C1329" t="s">
        <v>392</v>
      </c>
      <c r="D1329" t="s">
        <v>101</v>
      </c>
      <c r="E1329" t="s">
        <v>35</v>
      </c>
      <c r="F1329" t="s">
        <v>58</v>
      </c>
      <c r="G1329" t="s">
        <v>37</v>
      </c>
      <c r="H1329" t="s">
        <v>178</v>
      </c>
      <c r="I1329" t="s">
        <v>77</v>
      </c>
      <c r="J1329" s="2">
        <v>8</v>
      </c>
      <c r="K1329" s="3">
        <v>480.42</v>
      </c>
      <c r="L1329" s="3">
        <v>243.13</v>
      </c>
      <c r="M1329" s="4">
        <v>0.1368</v>
      </c>
      <c r="N1329" s="3">
        <f t="shared" si="100"/>
        <v>3843.36</v>
      </c>
      <c r="O1329" s="3">
        <f t="shared" si="101"/>
        <v>3317.59</v>
      </c>
      <c r="P1329" s="3">
        <f t="shared" si="102"/>
        <v>1945.04</v>
      </c>
      <c r="Q1329" s="3">
        <f t="shared" si="103"/>
        <v>1372.55</v>
      </c>
      <c r="R1329" s="4">
        <f t="shared" si="104"/>
        <v>0.41370000000000001</v>
      </c>
      <c r="S1329" s="2">
        <v>3</v>
      </c>
      <c r="T1329" t="s">
        <v>46</v>
      </c>
      <c r="U1329">
        <v>5</v>
      </c>
    </row>
    <row r="1330" spans="1:21" x14ac:dyDescent="0.25">
      <c r="A1330" s="1">
        <v>46049</v>
      </c>
      <c r="B1330" t="s">
        <v>1524</v>
      </c>
      <c r="C1330" t="s">
        <v>476</v>
      </c>
      <c r="D1330" t="s">
        <v>49</v>
      </c>
      <c r="E1330" t="s">
        <v>50</v>
      </c>
      <c r="F1330" t="s">
        <v>58</v>
      </c>
      <c r="G1330" t="s">
        <v>27</v>
      </c>
      <c r="H1330" t="s">
        <v>68</v>
      </c>
      <c r="I1330" t="s">
        <v>60</v>
      </c>
      <c r="J1330" s="2">
        <v>8</v>
      </c>
      <c r="K1330" s="3">
        <v>1345.15</v>
      </c>
      <c r="L1330" s="3">
        <v>746.69</v>
      </c>
      <c r="M1330" s="4">
        <v>4.5199999999999997E-2</v>
      </c>
      <c r="N1330" s="3">
        <f t="shared" si="100"/>
        <v>10761.2</v>
      </c>
      <c r="O1330" s="3">
        <f t="shared" si="101"/>
        <v>10274.790000000001</v>
      </c>
      <c r="P1330" s="3">
        <f t="shared" si="102"/>
        <v>5973.52</v>
      </c>
      <c r="Q1330" s="3">
        <f t="shared" si="103"/>
        <v>4301.2700000000004</v>
      </c>
      <c r="R1330" s="4">
        <f t="shared" si="104"/>
        <v>0.41860000000000003</v>
      </c>
      <c r="S1330" s="2">
        <v>5</v>
      </c>
      <c r="T1330" t="s">
        <v>46</v>
      </c>
      <c r="U1330">
        <v>5</v>
      </c>
    </row>
    <row r="1331" spans="1:21" x14ac:dyDescent="0.25">
      <c r="A1331" s="1">
        <v>46059</v>
      </c>
      <c r="B1331" t="s">
        <v>1525</v>
      </c>
      <c r="C1331" t="s">
        <v>418</v>
      </c>
      <c r="D1331" t="s">
        <v>97</v>
      </c>
      <c r="E1331" t="s">
        <v>57</v>
      </c>
      <c r="F1331" t="s">
        <v>64</v>
      </c>
      <c r="G1331" t="s">
        <v>27</v>
      </c>
      <c r="H1331" t="s">
        <v>86</v>
      </c>
      <c r="I1331" t="s">
        <v>65</v>
      </c>
      <c r="J1331" s="2">
        <v>8</v>
      </c>
      <c r="K1331" s="3">
        <v>1939.77</v>
      </c>
      <c r="L1331" s="3">
        <v>1245.83</v>
      </c>
      <c r="M1331" s="4">
        <v>0</v>
      </c>
      <c r="N1331" s="3">
        <f t="shared" si="100"/>
        <v>15518.16</v>
      </c>
      <c r="O1331" s="3">
        <f t="shared" si="101"/>
        <v>15518.16</v>
      </c>
      <c r="P1331" s="3">
        <f t="shared" si="102"/>
        <v>9966.64</v>
      </c>
      <c r="Q1331" s="3">
        <f t="shared" si="103"/>
        <v>5551.52</v>
      </c>
      <c r="R1331" s="4">
        <f t="shared" si="104"/>
        <v>0.35770000000000002</v>
      </c>
      <c r="S1331" s="2">
        <v>10</v>
      </c>
      <c r="T1331" t="s">
        <v>46</v>
      </c>
      <c r="U1331">
        <v>3</v>
      </c>
    </row>
    <row r="1332" spans="1:21" x14ac:dyDescent="0.25">
      <c r="A1332" s="1">
        <v>46124</v>
      </c>
      <c r="B1332" t="s">
        <v>1526</v>
      </c>
      <c r="C1332" t="s">
        <v>523</v>
      </c>
      <c r="D1332" t="s">
        <v>49</v>
      </c>
      <c r="E1332" t="s">
        <v>50</v>
      </c>
      <c r="F1332" t="s">
        <v>26</v>
      </c>
      <c r="G1332" t="s">
        <v>27</v>
      </c>
      <c r="H1332" t="s">
        <v>28</v>
      </c>
      <c r="I1332" t="s">
        <v>29</v>
      </c>
      <c r="J1332" s="2">
        <v>2</v>
      </c>
      <c r="K1332" s="3">
        <v>773.25</v>
      </c>
      <c r="L1332" s="3">
        <v>441.62</v>
      </c>
      <c r="M1332" s="4">
        <v>0</v>
      </c>
      <c r="N1332" s="3">
        <f t="shared" si="100"/>
        <v>1546.5</v>
      </c>
      <c r="O1332" s="3">
        <f t="shared" si="101"/>
        <v>1546.5</v>
      </c>
      <c r="P1332" s="3">
        <f t="shared" si="102"/>
        <v>883.24</v>
      </c>
      <c r="Q1332" s="3">
        <f t="shared" si="103"/>
        <v>663.26</v>
      </c>
      <c r="R1332" s="4">
        <f t="shared" si="104"/>
        <v>0.4289</v>
      </c>
      <c r="S1332" s="2">
        <v>10</v>
      </c>
      <c r="T1332" t="s">
        <v>46</v>
      </c>
      <c r="U1332">
        <v>5</v>
      </c>
    </row>
    <row r="1333" spans="1:21" x14ac:dyDescent="0.25">
      <c r="A1333" s="1">
        <v>46039</v>
      </c>
      <c r="B1333" t="s">
        <v>1527</v>
      </c>
      <c r="C1333" t="s">
        <v>106</v>
      </c>
      <c r="D1333" t="s">
        <v>121</v>
      </c>
      <c r="E1333" t="s">
        <v>72</v>
      </c>
      <c r="F1333" t="s">
        <v>58</v>
      </c>
      <c r="G1333" t="s">
        <v>44</v>
      </c>
      <c r="H1333" t="s">
        <v>45</v>
      </c>
      <c r="I1333" t="s">
        <v>29</v>
      </c>
      <c r="J1333" s="2">
        <v>3</v>
      </c>
      <c r="K1333" s="3">
        <v>402.4</v>
      </c>
      <c r="L1333" s="3">
        <v>221.77</v>
      </c>
      <c r="M1333" s="4">
        <v>3.5000000000000003E-2</v>
      </c>
      <c r="N1333" s="3">
        <f t="shared" si="100"/>
        <v>1207.2</v>
      </c>
      <c r="O1333" s="3">
        <f t="shared" si="101"/>
        <v>1164.95</v>
      </c>
      <c r="P1333" s="3">
        <f t="shared" si="102"/>
        <v>665.31</v>
      </c>
      <c r="Q1333" s="3">
        <f t="shared" si="103"/>
        <v>499.64</v>
      </c>
      <c r="R1333" s="4">
        <f t="shared" si="104"/>
        <v>0.4289</v>
      </c>
      <c r="S1333" s="2">
        <v>14</v>
      </c>
      <c r="T1333" t="s">
        <v>30</v>
      </c>
      <c r="U1333">
        <v>5</v>
      </c>
    </row>
    <row r="1334" spans="1:21" x14ac:dyDescent="0.25">
      <c r="A1334" s="1">
        <v>46033</v>
      </c>
      <c r="B1334" t="s">
        <v>1528</v>
      </c>
      <c r="C1334" t="s">
        <v>514</v>
      </c>
      <c r="D1334" t="s">
        <v>207</v>
      </c>
      <c r="E1334" t="s">
        <v>35</v>
      </c>
      <c r="F1334" t="s">
        <v>26</v>
      </c>
      <c r="G1334" t="s">
        <v>37</v>
      </c>
      <c r="H1334" t="s">
        <v>178</v>
      </c>
      <c r="I1334" t="s">
        <v>77</v>
      </c>
      <c r="J1334" s="2">
        <v>4</v>
      </c>
      <c r="K1334" s="3">
        <v>516.58000000000004</v>
      </c>
      <c r="L1334" s="3">
        <v>244.78</v>
      </c>
      <c r="M1334" s="4">
        <v>0</v>
      </c>
      <c r="N1334" s="3">
        <f t="shared" si="100"/>
        <v>2066.3200000000002</v>
      </c>
      <c r="O1334" s="3">
        <f t="shared" si="101"/>
        <v>2066.3200000000002</v>
      </c>
      <c r="P1334" s="3">
        <f t="shared" si="102"/>
        <v>979.12</v>
      </c>
      <c r="Q1334" s="3">
        <f t="shared" si="103"/>
        <v>1087.2</v>
      </c>
      <c r="R1334" s="4">
        <f t="shared" si="104"/>
        <v>0.5262</v>
      </c>
      <c r="S1334" s="2">
        <v>3</v>
      </c>
      <c r="T1334" t="s">
        <v>46</v>
      </c>
      <c r="U1334">
        <v>2</v>
      </c>
    </row>
    <row r="1335" spans="1:21" x14ac:dyDescent="0.25">
      <c r="A1335" s="1">
        <v>46170</v>
      </c>
      <c r="B1335" t="s">
        <v>1529</v>
      </c>
      <c r="C1335" t="s">
        <v>129</v>
      </c>
      <c r="D1335" t="s">
        <v>130</v>
      </c>
      <c r="E1335" t="s">
        <v>72</v>
      </c>
      <c r="F1335" t="s">
        <v>26</v>
      </c>
      <c r="G1335" t="s">
        <v>51</v>
      </c>
      <c r="H1335" t="s">
        <v>116</v>
      </c>
      <c r="I1335" t="s">
        <v>92</v>
      </c>
      <c r="J1335" s="2">
        <v>4</v>
      </c>
      <c r="K1335" s="3">
        <v>2829.24</v>
      </c>
      <c r="L1335" s="3">
        <v>1893.14</v>
      </c>
      <c r="M1335" s="4">
        <v>0.1031</v>
      </c>
      <c r="N1335" s="3">
        <f t="shared" si="100"/>
        <v>11316.96</v>
      </c>
      <c r="O1335" s="3">
        <f t="shared" si="101"/>
        <v>10150.18</v>
      </c>
      <c r="P1335" s="3">
        <f t="shared" si="102"/>
        <v>7572.56</v>
      </c>
      <c r="Q1335" s="3">
        <f t="shared" si="103"/>
        <v>2577.62</v>
      </c>
      <c r="R1335" s="4">
        <f t="shared" si="104"/>
        <v>0.25390000000000001</v>
      </c>
      <c r="S1335" s="2">
        <v>9</v>
      </c>
      <c r="T1335" t="s">
        <v>46</v>
      </c>
      <c r="U1335">
        <v>4</v>
      </c>
    </row>
    <row r="1336" spans="1:21" x14ac:dyDescent="0.25">
      <c r="A1336" s="1">
        <v>46231</v>
      </c>
      <c r="B1336" t="s">
        <v>1530</v>
      </c>
      <c r="C1336" t="s">
        <v>23</v>
      </c>
      <c r="D1336" t="s">
        <v>207</v>
      </c>
      <c r="E1336" t="s">
        <v>35</v>
      </c>
      <c r="F1336" t="s">
        <v>64</v>
      </c>
      <c r="G1336" t="s">
        <v>37</v>
      </c>
      <c r="H1336" t="s">
        <v>104</v>
      </c>
      <c r="I1336" t="s">
        <v>92</v>
      </c>
      <c r="J1336" s="2">
        <v>4</v>
      </c>
      <c r="K1336" s="3">
        <v>322.45</v>
      </c>
      <c r="L1336" s="3">
        <v>138.93</v>
      </c>
      <c r="M1336" s="4">
        <v>3.1399999999999997E-2</v>
      </c>
      <c r="N1336" s="3">
        <f t="shared" si="100"/>
        <v>1289.8</v>
      </c>
      <c r="O1336" s="3">
        <f t="shared" si="101"/>
        <v>1249.3</v>
      </c>
      <c r="P1336" s="3">
        <f t="shared" si="102"/>
        <v>555.72</v>
      </c>
      <c r="Q1336" s="3">
        <f t="shared" si="103"/>
        <v>693.58</v>
      </c>
      <c r="R1336" s="4">
        <f t="shared" si="104"/>
        <v>0.55520000000000003</v>
      </c>
      <c r="S1336" s="2">
        <v>8</v>
      </c>
      <c r="T1336" t="s">
        <v>46</v>
      </c>
      <c r="U1336">
        <v>3</v>
      </c>
    </row>
    <row r="1337" spans="1:21" x14ac:dyDescent="0.25">
      <c r="A1337" s="1">
        <v>46124</v>
      </c>
      <c r="B1337" t="s">
        <v>1531</v>
      </c>
      <c r="C1337" t="s">
        <v>275</v>
      </c>
      <c r="D1337" t="s">
        <v>24</v>
      </c>
      <c r="E1337" t="s">
        <v>25</v>
      </c>
      <c r="F1337" t="s">
        <v>36</v>
      </c>
      <c r="G1337" t="s">
        <v>51</v>
      </c>
      <c r="H1337" t="s">
        <v>52</v>
      </c>
      <c r="I1337" t="s">
        <v>53</v>
      </c>
      <c r="J1337" s="2">
        <v>5</v>
      </c>
      <c r="K1337" s="3">
        <v>256.75</v>
      </c>
      <c r="L1337" s="3">
        <v>125.88</v>
      </c>
      <c r="M1337" s="4">
        <v>0</v>
      </c>
      <c r="N1337" s="3">
        <f t="shared" si="100"/>
        <v>1283.75</v>
      </c>
      <c r="O1337" s="3">
        <f t="shared" si="101"/>
        <v>1283.75</v>
      </c>
      <c r="P1337" s="3">
        <f t="shared" si="102"/>
        <v>629.4</v>
      </c>
      <c r="Q1337" s="3">
        <f t="shared" si="103"/>
        <v>654.35</v>
      </c>
      <c r="R1337" s="4">
        <f t="shared" si="104"/>
        <v>0.50970000000000004</v>
      </c>
      <c r="S1337" s="2">
        <v>14</v>
      </c>
      <c r="T1337" t="s">
        <v>30</v>
      </c>
      <c r="U1337">
        <v>4</v>
      </c>
    </row>
    <row r="1338" spans="1:21" x14ac:dyDescent="0.25">
      <c r="A1338" s="1">
        <v>46088</v>
      </c>
      <c r="B1338" t="s">
        <v>1532</v>
      </c>
      <c r="C1338" t="s">
        <v>392</v>
      </c>
      <c r="D1338" t="s">
        <v>24</v>
      </c>
      <c r="E1338" t="s">
        <v>25</v>
      </c>
      <c r="F1338" t="s">
        <v>58</v>
      </c>
      <c r="G1338" t="s">
        <v>27</v>
      </c>
      <c r="H1338" t="s">
        <v>68</v>
      </c>
      <c r="I1338" t="s">
        <v>92</v>
      </c>
      <c r="J1338" s="2">
        <v>8</v>
      </c>
      <c r="K1338" s="3">
        <v>1308.57</v>
      </c>
      <c r="L1338" s="3">
        <v>835.91</v>
      </c>
      <c r="M1338" s="4">
        <v>3.5000000000000003E-2</v>
      </c>
      <c r="N1338" s="3">
        <f t="shared" si="100"/>
        <v>10468.56</v>
      </c>
      <c r="O1338" s="3">
        <f t="shared" si="101"/>
        <v>10102.16</v>
      </c>
      <c r="P1338" s="3">
        <f t="shared" si="102"/>
        <v>6687.28</v>
      </c>
      <c r="Q1338" s="3">
        <f t="shared" si="103"/>
        <v>3414.88</v>
      </c>
      <c r="R1338" s="4">
        <f t="shared" si="104"/>
        <v>0.33800000000000002</v>
      </c>
      <c r="S1338" s="2">
        <v>5</v>
      </c>
      <c r="T1338" t="s">
        <v>46</v>
      </c>
      <c r="U1338">
        <v>3</v>
      </c>
    </row>
    <row r="1339" spans="1:21" x14ac:dyDescent="0.25">
      <c r="A1339" s="1">
        <v>46050</v>
      </c>
      <c r="B1339" t="s">
        <v>1533</v>
      </c>
      <c r="C1339" t="s">
        <v>110</v>
      </c>
      <c r="D1339" t="s">
        <v>56</v>
      </c>
      <c r="E1339" t="s">
        <v>57</v>
      </c>
      <c r="F1339" t="s">
        <v>36</v>
      </c>
      <c r="G1339" t="s">
        <v>37</v>
      </c>
      <c r="H1339" t="s">
        <v>178</v>
      </c>
      <c r="I1339" t="s">
        <v>77</v>
      </c>
      <c r="J1339" s="2">
        <v>5</v>
      </c>
      <c r="K1339" s="3">
        <v>525.92999999999995</v>
      </c>
      <c r="L1339" s="3">
        <v>249.07</v>
      </c>
      <c r="M1339" s="4">
        <v>3.2399999999999998E-2</v>
      </c>
      <c r="N1339" s="3">
        <f t="shared" si="100"/>
        <v>2629.65</v>
      </c>
      <c r="O1339" s="3">
        <f t="shared" si="101"/>
        <v>2544.4499999999998</v>
      </c>
      <c r="P1339" s="3">
        <f t="shared" si="102"/>
        <v>1245.3499999999999</v>
      </c>
      <c r="Q1339" s="3">
        <f t="shared" si="103"/>
        <v>1299.0999999999999</v>
      </c>
      <c r="R1339" s="4">
        <f t="shared" si="104"/>
        <v>0.51060000000000005</v>
      </c>
      <c r="S1339" s="2">
        <v>7</v>
      </c>
      <c r="T1339" t="s">
        <v>46</v>
      </c>
      <c r="U1339">
        <v>4</v>
      </c>
    </row>
    <row r="1340" spans="1:21" x14ac:dyDescent="0.25">
      <c r="A1340" s="1">
        <v>46144</v>
      </c>
      <c r="B1340" t="s">
        <v>1534</v>
      </c>
      <c r="C1340" t="s">
        <v>687</v>
      </c>
      <c r="D1340" t="s">
        <v>63</v>
      </c>
      <c r="E1340" t="s">
        <v>35</v>
      </c>
      <c r="F1340" t="s">
        <v>58</v>
      </c>
      <c r="G1340" t="s">
        <v>27</v>
      </c>
      <c r="H1340" t="s">
        <v>28</v>
      </c>
      <c r="I1340" t="s">
        <v>92</v>
      </c>
      <c r="J1340" s="2">
        <v>4</v>
      </c>
      <c r="K1340" s="3">
        <v>765.39</v>
      </c>
      <c r="L1340" s="3">
        <v>465.84</v>
      </c>
      <c r="M1340" s="4">
        <v>3.5000000000000003E-2</v>
      </c>
      <c r="N1340" s="3">
        <f t="shared" si="100"/>
        <v>3061.56</v>
      </c>
      <c r="O1340" s="3">
        <f t="shared" si="101"/>
        <v>2954.41</v>
      </c>
      <c r="P1340" s="3">
        <f t="shared" si="102"/>
        <v>1863.36</v>
      </c>
      <c r="Q1340" s="3">
        <f t="shared" si="103"/>
        <v>1091.05</v>
      </c>
      <c r="R1340" s="4">
        <f t="shared" si="104"/>
        <v>0.36930000000000002</v>
      </c>
      <c r="S1340" s="2">
        <v>7</v>
      </c>
      <c r="T1340" t="s">
        <v>46</v>
      </c>
      <c r="U1340">
        <v>2</v>
      </c>
    </row>
    <row r="1341" spans="1:21" x14ac:dyDescent="0.25">
      <c r="A1341" s="1">
        <v>46144</v>
      </c>
      <c r="B1341" t="s">
        <v>1535</v>
      </c>
      <c r="C1341" t="s">
        <v>329</v>
      </c>
      <c r="D1341" t="s">
        <v>56</v>
      </c>
      <c r="E1341" t="s">
        <v>57</v>
      </c>
      <c r="F1341" t="s">
        <v>26</v>
      </c>
      <c r="G1341" t="s">
        <v>37</v>
      </c>
      <c r="H1341" t="s">
        <v>178</v>
      </c>
      <c r="I1341" t="s">
        <v>94</v>
      </c>
      <c r="J1341" s="2">
        <v>6</v>
      </c>
      <c r="K1341" s="3">
        <v>540.16999999999996</v>
      </c>
      <c r="L1341" s="3">
        <v>240.49</v>
      </c>
      <c r="M1341" s="4">
        <v>0</v>
      </c>
      <c r="N1341" s="3">
        <f t="shared" si="100"/>
        <v>3241.02</v>
      </c>
      <c r="O1341" s="3">
        <f t="shared" si="101"/>
        <v>3241.02</v>
      </c>
      <c r="P1341" s="3">
        <f t="shared" si="102"/>
        <v>1442.94</v>
      </c>
      <c r="Q1341" s="3">
        <f t="shared" si="103"/>
        <v>1798.08</v>
      </c>
      <c r="R1341" s="4">
        <f t="shared" si="104"/>
        <v>0.55479999999999996</v>
      </c>
      <c r="S1341" s="2">
        <v>4</v>
      </c>
      <c r="T1341" t="s">
        <v>46</v>
      </c>
      <c r="U1341">
        <v>5</v>
      </c>
    </row>
    <row r="1342" spans="1:21" x14ac:dyDescent="0.25">
      <c r="A1342" s="1">
        <v>46176</v>
      </c>
      <c r="B1342" t="s">
        <v>1536</v>
      </c>
      <c r="C1342" t="s">
        <v>266</v>
      </c>
      <c r="D1342" t="s">
        <v>24</v>
      </c>
      <c r="E1342" t="s">
        <v>25</v>
      </c>
      <c r="F1342" t="s">
        <v>26</v>
      </c>
      <c r="G1342" t="s">
        <v>44</v>
      </c>
      <c r="H1342" t="s">
        <v>73</v>
      </c>
      <c r="I1342" t="s">
        <v>74</v>
      </c>
      <c r="J1342" s="2">
        <v>3</v>
      </c>
      <c r="K1342" s="3">
        <v>1725.33</v>
      </c>
      <c r="L1342" s="3">
        <v>1125.8699999999999</v>
      </c>
      <c r="M1342" s="4">
        <v>0</v>
      </c>
      <c r="N1342" s="3">
        <f t="shared" si="100"/>
        <v>5175.99</v>
      </c>
      <c r="O1342" s="3">
        <f t="shared" si="101"/>
        <v>5175.99</v>
      </c>
      <c r="P1342" s="3">
        <f t="shared" si="102"/>
        <v>3377.61</v>
      </c>
      <c r="Q1342" s="3">
        <f t="shared" si="103"/>
        <v>1798.38</v>
      </c>
      <c r="R1342" s="4">
        <f t="shared" si="104"/>
        <v>0.34739999999999999</v>
      </c>
      <c r="S1342" s="2">
        <v>2</v>
      </c>
      <c r="T1342" t="s">
        <v>46</v>
      </c>
      <c r="U1342">
        <v>2</v>
      </c>
    </row>
    <row r="1343" spans="1:21" x14ac:dyDescent="0.25">
      <c r="A1343" s="1">
        <v>46220</v>
      </c>
      <c r="B1343" t="s">
        <v>1537</v>
      </c>
      <c r="C1343" t="s">
        <v>226</v>
      </c>
      <c r="D1343" t="s">
        <v>121</v>
      </c>
      <c r="E1343" t="s">
        <v>72</v>
      </c>
      <c r="F1343" t="s">
        <v>36</v>
      </c>
      <c r="G1343" t="s">
        <v>37</v>
      </c>
      <c r="H1343" t="s">
        <v>104</v>
      </c>
      <c r="I1343" t="s">
        <v>77</v>
      </c>
      <c r="J1343" s="2">
        <v>7</v>
      </c>
      <c r="K1343" s="3">
        <v>309.52</v>
      </c>
      <c r="L1343" s="3">
        <v>135.13</v>
      </c>
      <c r="M1343" s="4">
        <v>2.4799999999999999E-2</v>
      </c>
      <c r="N1343" s="3">
        <f t="shared" si="100"/>
        <v>2166.64</v>
      </c>
      <c r="O1343" s="3">
        <f t="shared" si="101"/>
        <v>2112.91</v>
      </c>
      <c r="P1343" s="3">
        <f t="shared" si="102"/>
        <v>945.91</v>
      </c>
      <c r="Q1343" s="3">
        <f t="shared" si="103"/>
        <v>1167</v>
      </c>
      <c r="R1343" s="4">
        <f t="shared" si="104"/>
        <v>0.55230000000000001</v>
      </c>
      <c r="S1343" s="2">
        <v>6</v>
      </c>
      <c r="T1343" t="s">
        <v>46</v>
      </c>
      <c r="U1343">
        <v>4</v>
      </c>
    </row>
    <row r="1344" spans="1:21" x14ac:dyDescent="0.25">
      <c r="A1344" s="1">
        <v>46071</v>
      </c>
      <c r="B1344" t="s">
        <v>1538</v>
      </c>
      <c r="C1344" t="s">
        <v>386</v>
      </c>
      <c r="D1344" t="s">
        <v>207</v>
      </c>
      <c r="E1344" t="s">
        <v>35</v>
      </c>
      <c r="F1344" t="s">
        <v>26</v>
      </c>
      <c r="G1344" t="s">
        <v>51</v>
      </c>
      <c r="H1344" t="s">
        <v>116</v>
      </c>
      <c r="I1344" t="s">
        <v>77</v>
      </c>
      <c r="J1344" s="2">
        <v>3</v>
      </c>
      <c r="K1344" s="3">
        <v>2739.68</v>
      </c>
      <c r="L1344" s="3">
        <v>1795.16</v>
      </c>
      <c r="M1344" s="4">
        <v>1.7399999999999999E-2</v>
      </c>
      <c r="N1344" s="3">
        <f t="shared" si="100"/>
        <v>8219.0400000000009</v>
      </c>
      <c r="O1344" s="3">
        <f t="shared" si="101"/>
        <v>8076.03</v>
      </c>
      <c r="P1344" s="3">
        <f t="shared" si="102"/>
        <v>5385.48</v>
      </c>
      <c r="Q1344" s="3">
        <f t="shared" si="103"/>
        <v>2690.55</v>
      </c>
      <c r="R1344" s="4">
        <f t="shared" si="104"/>
        <v>0.3332</v>
      </c>
      <c r="S1344" s="2">
        <v>12</v>
      </c>
      <c r="T1344" t="s">
        <v>30</v>
      </c>
      <c r="U1344">
        <v>2</v>
      </c>
    </row>
    <row r="1345" spans="1:21" x14ac:dyDescent="0.25">
      <c r="A1345" s="1">
        <v>46079</v>
      </c>
      <c r="B1345" t="s">
        <v>1539</v>
      </c>
      <c r="C1345" t="s">
        <v>251</v>
      </c>
      <c r="D1345" t="s">
        <v>121</v>
      </c>
      <c r="E1345" t="s">
        <v>72</v>
      </c>
      <c r="F1345" t="s">
        <v>58</v>
      </c>
      <c r="G1345" t="s">
        <v>51</v>
      </c>
      <c r="H1345" t="s">
        <v>59</v>
      </c>
      <c r="I1345" t="s">
        <v>39</v>
      </c>
      <c r="J1345" s="2">
        <v>2</v>
      </c>
      <c r="K1345" s="3">
        <v>2176.1</v>
      </c>
      <c r="L1345" s="3">
        <v>1441.1</v>
      </c>
      <c r="M1345" s="4">
        <v>3.5000000000000003E-2</v>
      </c>
      <c r="N1345" s="3">
        <f t="shared" si="100"/>
        <v>4352.2</v>
      </c>
      <c r="O1345" s="3">
        <f t="shared" si="101"/>
        <v>4199.87</v>
      </c>
      <c r="P1345" s="3">
        <f t="shared" si="102"/>
        <v>2882.2</v>
      </c>
      <c r="Q1345" s="3">
        <f t="shared" si="103"/>
        <v>1317.67</v>
      </c>
      <c r="R1345" s="4">
        <f t="shared" si="104"/>
        <v>0.31369999999999998</v>
      </c>
      <c r="S1345" s="2">
        <v>12</v>
      </c>
      <c r="T1345" t="s">
        <v>30</v>
      </c>
      <c r="U1345">
        <v>3</v>
      </c>
    </row>
    <row r="1346" spans="1:21" x14ac:dyDescent="0.25">
      <c r="A1346" s="1">
        <v>46126</v>
      </c>
      <c r="B1346" t="s">
        <v>1540</v>
      </c>
      <c r="C1346" t="s">
        <v>120</v>
      </c>
      <c r="D1346" t="s">
        <v>101</v>
      </c>
      <c r="E1346" t="s">
        <v>35</v>
      </c>
      <c r="F1346" t="s">
        <v>64</v>
      </c>
      <c r="G1346" t="s">
        <v>37</v>
      </c>
      <c r="H1346" t="s">
        <v>104</v>
      </c>
      <c r="I1346" t="s">
        <v>53</v>
      </c>
      <c r="J1346" s="2">
        <v>1</v>
      </c>
      <c r="K1346" s="3">
        <v>324.58999999999997</v>
      </c>
      <c r="L1346" s="3">
        <v>133.86000000000001</v>
      </c>
      <c r="M1346" s="4">
        <v>0</v>
      </c>
      <c r="N1346" s="3">
        <f t="shared" ref="N1346:N1409" si="105">ROUND(J1346*K1346,2)</f>
        <v>324.58999999999997</v>
      </c>
      <c r="O1346" s="3">
        <f t="shared" ref="O1346:O1409" si="106">ROUND(N1346*(1-M1346),2)</f>
        <v>324.58999999999997</v>
      </c>
      <c r="P1346" s="3">
        <f t="shared" ref="P1346:P1409" si="107">ROUND(J1346*L1346,2)</f>
        <v>133.86000000000001</v>
      </c>
      <c r="Q1346" s="3">
        <f t="shared" ref="Q1346:Q1409" si="108">ROUND(O1346-P1346,2)</f>
        <v>190.73</v>
      </c>
      <c r="R1346" s="4">
        <f t="shared" ref="R1346:R1409" si="109">IF(O1346=0,0,ROUND(Q1346/O1346,4))</f>
        <v>0.58760000000000001</v>
      </c>
      <c r="S1346" s="2">
        <v>5</v>
      </c>
      <c r="T1346" t="s">
        <v>46</v>
      </c>
      <c r="U1346">
        <v>4</v>
      </c>
    </row>
    <row r="1347" spans="1:21" x14ac:dyDescent="0.25">
      <c r="A1347" s="1">
        <v>46070</v>
      </c>
      <c r="B1347" t="s">
        <v>1541</v>
      </c>
      <c r="C1347" t="s">
        <v>233</v>
      </c>
      <c r="D1347" t="s">
        <v>113</v>
      </c>
      <c r="E1347" t="s">
        <v>50</v>
      </c>
      <c r="F1347" t="s">
        <v>36</v>
      </c>
      <c r="G1347" t="s">
        <v>27</v>
      </c>
      <c r="H1347" t="s">
        <v>68</v>
      </c>
      <c r="I1347" t="s">
        <v>39</v>
      </c>
      <c r="J1347" s="2">
        <v>5</v>
      </c>
      <c r="K1347" s="3">
        <v>1306</v>
      </c>
      <c r="L1347" s="3">
        <v>746.03</v>
      </c>
      <c r="M1347" s="4">
        <v>0</v>
      </c>
      <c r="N1347" s="3">
        <f t="shared" si="105"/>
        <v>6530</v>
      </c>
      <c r="O1347" s="3">
        <f t="shared" si="106"/>
        <v>6530</v>
      </c>
      <c r="P1347" s="3">
        <f t="shared" si="107"/>
        <v>3730.15</v>
      </c>
      <c r="Q1347" s="3">
        <f t="shared" si="108"/>
        <v>2799.85</v>
      </c>
      <c r="R1347" s="4">
        <f t="shared" si="109"/>
        <v>0.42880000000000001</v>
      </c>
      <c r="S1347" s="2">
        <v>10</v>
      </c>
      <c r="T1347" t="s">
        <v>40</v>
      </c>
    </row>
    <row r="1348" spans="1:21" x14ac:dyDescent="0.25">
      <c r="A1348" s="1">
        <v>46112</v>
      </c>
      <c r="B1348" t="s">
        <v>1542</v>
      </c>
      <c r="C1348" t="s">
        <v>184</v>
      </c>
      <c r="D1348" t="s">
        <v>49</v>
      </c>
      <c r="E1348" t="s">
        <v>50</v>
      </c>
      <c r="F1348" t="s">
        <v>58</v>
      </c>
      <c r="G1348" t="s">
        <v>51</v>
      </c>
      <c r="H1348" t="s">
        <v>59</v>
      </c>
      <c r="I1348" t="s">
        <v>87</v>
      </c>
      <c r="J1348" s="2">
        <v>5</v>
      </c>
      <c r="K1348" s="3">
        <v>2155.12</v>
      </c>
      <c r="L1348" s="3">
        <v>1367.87</v>
      </c>
      <c r="M1348" s="4">
        <v>3.5000000000000003E-2</v>
      </c>
      <c r="N1348" s="3">
        <f t="shared" si="105"/>
        <v>10775.6</v>
      </c>
      <c r="O1348" s="3">
        <f t="shared" si="106"/>
        <v>10398.450000000001</v>
      </c>
      <c r="P1348" s="3">
        <f t="shared" si="107"/>
        <v>6839.35</v>
      </c>
      <c r="Q1348" s="3">
        <f t="shared" si="108"/>
        <v>3559.1</v>
      </c>
      <c r="R1348" s="4">
        <f t="shared" si="109"/>
        <v>0.34229999999999999</v>
      </c>
      <c r="S1348" s="2">
        <v>14</v>
      </c>
      <c r="T1348" t="s">
        <v>30</v>
      </c>
      <c r="U1348">
        <v>2</v>
      </c>
    </row>
    <row r="1349" spans="1:21" x14ac:dyDescent="0.25">
      <c r="A1349" s="1">
        <v>46175</v>
      </c>
      <c r="B1349" t="s">
        <v>1543</v>
      </c>
      <c r="C1349" t="s">
        <v>84</v>
      </c>
      <c r="D1349" t="s">
        <v>24</v>
      </c>
      <c r="E1349" t="s">
        <v>25</v>
      </c>
      <c r="F1349" t="s">
        <v>64</v>
      </c>
      <c r="G1349" t="s">
        <v>37</v>
      </c>
      <c r="H1349" t="s">
        <v>104</v>
      </c>
      <c r="I1349" t="s">
        <v>74</v>
      </c>
      <c r="J1349" s="2">
        <v>3</v>
      </c>
      <c r="K1349" s="3">
        <v>314.77</v>
      </c>
      <c r="L1349" s="3">
        <v>143.68</v>
      </c>
      <c r="M1349" s="4">
        <v>1.7999999999999999E-2</v>
      </c>
      <c r="N1349" s="3">
        <f t="shared" si="105"/>
        <v>944.31</v>
      </c>
      <c r="O1349" s="3">
        <f t="shared" si="106"/>
        <v>927.31</v>
      </c>
      <c r="P1349" s="3">
        <f t="shared" si="107"/>
        <v>431.04</v>
      </c>
      <c r="Q1349" s="3">
        <f t="shared" si="108"/>
        <v>496.27</v>
      </c>
      <c r="R1349" s="4">
        <f t="shared" si="109"/>
        <v>0.53520000000000001</v>
      </c>
      <c r="S1349" s="2">
        <v>12</v>
      </c>
      <c r="T1349" t="s">
        <v>30</v>
      </c>
      <c r="U1349">
        <v>2</v>
      </c>
    </row>
    <row r="1350" spans="1:21" x14ac:dyDescent="0.25">
      <c r="A1350" s="1">
        <v>46062</v>
      </c>
      <c r="B1350" t="s">
        <v>1544</v>
      </c>
      <c r="C1350" t="s">
        <v>136</v>
      </c>
      <c r="D1350" t="s">
        <v>34</v>
      </c>
      <c r="E1350" t="s">
        <v>35</v>
      </c>
      <c r="F1350" t="s">
        <v>26</v>
      </c>
      <c r="G1350" t="s">
        <v>51</v>
      </c>
      <c r="H1350" t="s">
        <v>59</v>
      </c>
      <c r="I1350" t="s">
        <v>39</v>
      </c>
      <c r="J1350" s="2">
        <v>7</v>
      </c>
      <c r="K1350" s="3">
        <v>2276.11</v>
      </c>
      <c r="L1350" s="3">
        <v>1398.97</v>
      </c>
      <c r="M1350" s="4">
        <v>0</v>
      </c>
      <c r="N1350" s="3">
        <f t="shared" si="105"/>
        <v>15932.77</v>
      </c>
      <c r="O1350" s="3">
        <f t="shared" si="106"/>
        <v>15932.77</v>
      </c>
      <c r="P1350" s="3">
        <f t="shared" si="107"/>
        <v>9792.7900000000009</v>
      </c>
      <c r="Q1350" s="3">
        <f t="shared" si="108"/>
        <v>6139.98</v>
      </c>
      <c r="R1350" s="4">
        <f t="shared" si="109"/>
        <v>0.38540000000000002</v>
      </c>
      <c r="S1350" s="2">
        <v>2</v>
      </c>
      <c r="T1350" t="s">
        <v>46</v>
      </c>
      <c r="U1350">
        <v>4</v>
      </c>
    </row>
    <row r="1351" spans="1:21" x14ac:dyDescent="0.25">
      <c r="A1351" s="1">
        <v>46158</v>
      </c>
      <c r="B1351" t="s">
        <v>1545</v>
      </c>
      <c r="C1351" t="s">
        <v>392</v>
      </c>
      <c r="D1351" t="s">
        <v>130</v>
      </c>
      <c r="E1351" t="s">
        <v>72</v>
      </c>
      <c r="F1351" t="s">
        <v>36</v>
      </c>
      <c r="G1351" t="s">
        <v>27</v>
      </c>
      <c r="H1351" t="s">
        <v>86</v>
      </c>
      <c r="I1351" t="s">
        <v>74</v>
      </c>
      <c r="J1351" s="2">
        <v>1</v>
      </c>
      <c r="K1351" s="3">
        <v>1991.56</v>
      </c>
      <c r="L1351" s="3">
        <v>1227.5999999999999</v>
      </c>
      <c r="M1351" s="4">
        <v>1.1299999999999999E-2</v>
      </c>
      <c r="N1351" s="3">
        <f t="shared" si="105"/>
        <v>1991.56</v>
      </c>
      <c r="O1351" s="3">
        <f t="shared" si="106"/>
        <v>1969.06</v>
      </c>
      <c r="P1351" s="3">
        <f t="shared" si="107"/>
        <v>1227.5999999999999</v>
      </c>
      <c r="Q1351" s="3">
        <f t="shared" si="108"/>
        <v>741.46</v>
      </c>
      <c r="R1351" s="4">
        <f t="shared" si="109"/>
        <v>0.37659999999999999</v>
      </c>
      <c r="S1351" s="2">
        <v>9</v>
      </c>
      <c r="T1351" t="s">
        <v>46</v>
      </c>
      <c r="U1351">
        <v>3</v>
      </c>
    </row>
    <row r="1352" spans="1:21" x14ac:dyDescent="0.25">
      <c r="A1352" s="1">
        <v>46064</v>
      </c>
      <c r="B1352" t="s">
        <v>1546</v>
      </c>
      <c r="C1352" t="s">
        <v>23</v>
      </c>
      <c r="D1352" t="s">
        <v>34</v>
      </c>
      <c r="E1352" t="s">
        <v>35</v>
      </c>
      <c r="F1352" t="s">
        <v>36</v>
      </c>
      <c r="G1352" t="s">
        <v>27</v>
      </c>
      <c r="H1352" t="s">
        <v>86</v>
      </c>
      <c r="I1352" t="s">
        <v>87</v>
      </c>
      <c r="J1352" s="2">
        <v>2</v>
      </c>
      <c r="K1352" s="3">
        <v>1801.42</v>
      </c>
      <c r="L1352" s="3">
        <v>1235.29</v>
      </c>
      <c r="M1352" s="4">
        <v>0</v>
      </c>
      <c r="N1352" s="3">
        <f t="shared" si="105"/>
        <v>3602.84</v>
      </c>
      <c r="O1352" s="3">
        <f t="shared" si="106"/>
        <v>3602.84</v>
      </c>
      <c r="P1352" s="3">
        <f t="shared" si="107"/>
        <v>2470.58</v>
      </c>
      <c r="Q1352" s="3">
        <f t="shared" si="108"/>
        <v>1132.26</v>
      </c>
      <c r="R1352" s="4">
        <f t="shared" si="109"/>
        <v>0.31430000000000002</v>
      </c>
      <c r="S1352" s="2">
        <v>6</v>
      </c>
      <c r="T1352" t="s">
        <v>46</v>
      </c>
      <c r="U1352">
        <v>2</v>
      </c>
    </row>
    <row r="1353" spans="1:21" x14ac:dyDescent="0.25">
      <c r="A1353" s="1">
        <v>46046</v>
      </c>
      <c r="B1353" t="s">
        <v>1547</v>
      </c>
      <c r="C1353" t="s">
        <v>251</v>
      </c>
      <c r="D1353" t="s">
        <v>71</v>
      </c>
      <c r="E1353" t="s">
        <v>72</v>
      </c>
      <c r="F1353" t="s">
        <v>58</v>
      </c>
      <c r="G1353" t="s">
        <v>44</v>
      </c>
      <c r="H1353" t="s">
        <v>124</v>
      </c>
      <c r="I1353" t="s">
        <v>60</v>
      </c>
      <c r="J1353" s="2">
        <v>6</v>
      </c>
      <c r="K1353" s="3">
        <v>6045.88</v>
      </c>
      <c r="L1353" s="3">
        <v>4577.3</v>
      </c>
      <c r="M1353" s="4">
        <v>3.5000000000000003E-2</v>
      </c>
      <c r="N1353" s="3">
        <f t="shared" si="105"/>
        <v>36275.279999999999</v>
      </c>
      <c r="O1353" s="3">
        <f t="shared" si="106"/>
        <v>35005.65</v>
      </c>
      <c r="P1353" s="3">
        <f t="shared" si="107"/>
        <v>27463.8</v>
      </c>
      <c r="Q1353" s="3">
        <f t="shared" si="108"/>
        <v>7541.85</v>
      </c>
      <c r="R1353" s="4">
        <f t="shared" si="109"/>
        <v>0.21540000000000001</v>
      </c>
      <c r="S1353" s="2">
        <v>7</v>
      </c>
      <c r="T1353" t="s">
        <v>46</v>
      </c>
      <c r="U1353">
        <v>4</v>
      </c>
    </row>
    <row r="1354" spans="1:21" x14ac:dyDescent="0.25">
      <c r="A1354" s="1">
        <v>46216</v>
      </c>
      <c r="B1354" t="s">
        <v>1548</v>
      </c>
      <c r="C1354" t="s">
        <v>216</v>
      </c>
      <c r="D1354" t="s">
        <v>24</v>
      </c>
      <c r="E1354" t="s">
        <v>25</v>
      </c>
      <c r="F1354" t="s">
        <v>26</v>
      </c>
      <c r="G1354" t="s">
        <v>51</v>
      </c>
      <c r="H1354" t="s">
        <v>52</v>
      </c>
      <c r="I1354" t="s">
        <v>94</v>
      </c>
      <c r="J1354" s="2">
        <v>3</v>
      </c>
      <c r="K1354" s="3">
        <v>274.29000000000002</v>
      </c>
      <c r="L1354" s="3">
        <v>127.96</v>
      </c>
      <c r="M1354" s="4">
        <v>5.8999999999999997E-2</v>
      </c>
      <c r="N1354" s="3">
        <f t="shared" si="105"/>
        <v>822.87</v>
      </c>
      <c r="O1354" s="3">
        <f t="shared" si="106"/>
        <v>774.32</v>
      </c>
      <c r="P1354" s="3">
        <f t="shared" si="107"/>
        <v>383.88</v>
      </c>
      <c r="Q1354" s="3">
        <f t="shared" si="108"/>
        <v>390.44</v>
      </c>
      <c r="R1354" s="4">
        <f t="shared" si="109"/>
        <v>0.50419999999999998</v>
      </c>
      <c r="S1354" s="2">
        <v>5</v>
      </c>
      <c r="T1354" t="s">
        <v>46</v>
      </c>
      <c r="U1354">
        <v>3</v>
      </c>
    </row>
    <row r="1355" spans="1:21" x14ac:dyDescent="0.25">
      <c r="A1355" s="1">
        <v>46032</v>
      </c>
      <c r="B1355" t="s">
        <v>1549</v>
      </c>
      <c r="C1355" t="s">
        <v>144</v>
      </c>
      <c r="D1355" t="s">
        <v>130</v>
      </c>
      <c r="E1355" t="s">
        <v>72</v>
      </c>
      <c r="F1355" t="s">
        <v>58</v>
      </c>
      <c r="G1355" t="s">
        <v>44</v>
      </c>
      <c r="H1355" t="s">
        <v>73</v>
      </c>
      <c r="I1355" t="s">
        <v>29</v>
      </c>
      <c r="J1355" s="2">
        <v>1</v>
      </c>
      <c r="K1355" s="3">
        <v>1724.66</v>
      </c>
      <c r="L1355" s="3">
        <v>1131.32</v>
      </c>
      <c r="M1355" s="4">
        <v>0.14480000000000001</v>
      </c>
      <c r="N1355" s="3">
        <f t="shared" si="105"/>
        <v>1724.66</v>
      </c>
      <c r="O1355" s="3">
        <f t="shared" si="106"/>
        <v>1474.93</v>
      </c>
      <c r="P1355" s="3">
        <f t="shared" si="107"/>
        <v>1131.32</v>
      </c>
      <c r="Q1355" s="3">
        <f t="shared" si="108"/>
        <v>343.61</v>
      </c>
      <c r="R1355" s="4">
        <f t="shared" si="109"/>
        <v>0.23300000000000001</v>
      </c>
      <c r="S1355" s="2">
        <v>7</v>
      </c>
      <c r="T1355" t="s">
        <v>46</v>
      </c>
      <c r="U1355">
        <v>2</v>
      </c>
    </row>
    <row r="1356" spans="1:21" x14ac:dyDescent="0.25">
      <c r="A1356" s="1">
        <v>46200</v>
      </c>
      <c r="B1356" t="s">
        <v>1550</v>
      </c>
      <c r="C1356" t="s">
        <v>520</v>
      </c>
      <c r="D1356" t="s">
        <v>113</v>
      </c>
      <c r="E1356" t="s">
        <v>50</v>
      </c>
      <c r="F1356" t="s">
        <v>26</v>
      </c>
      <c r="G1356" t="s">
        <v>27</v>
      </c>
      <c r="H1356" t="s">
        <v>86</v>
      </c>
      <c r="I1356" t="s">
        <v>77</v>
      </c>
      <c r="J1356" s="2">
        <v>8</v>
      </c>
      <c r="K1356" s="3">
        <v>1856.51</v>
      </c>
      <c r="L1356" s="3">
        <v>1154.22</v>
      </c>
      <c r="M1356" s="4">
        <v>6.3600000000000004E-2</v>
      </c>
      <c r="N1356" s="3">
        <f t="shared" si="105"/>
        <v>14852.08</v>
      </c>
      <c r="O1356" s="3">
        <f t="shared" si="106"/>
        <v>13907.49</v>
      </c>
      <c r="P1356" s="3">
        <f t="shared" si="107"/>
        <v>9233.76</v>
      </c>
      <c r="Q1356" s="3">
        <f t="shared" si="108"/>
        <v>4673.7299999999996</v>
      </c>
      <c r="R1356" s="4">
        <f t="shared" si="109"/>
        <v>0.33610000000000001</v>
      </c>
      <c r="S1356" s="2">
        <v>9</v>
      </c>
      <c r="T1356" t="s">
        <v>46</v>
      </c>
      <c r="U1356">
        <v>3</v>
      </c>
    </row>
    <row r="1357" spans="1:21" x14ac:dyDescent="0.25">
      <c r="A1357" s="1">
        <v>46171</v>
      </c>
      <c r="B1357" t="s">
        <v>1551</v>
      </c>
      <c r="C1357" t="s">
        <v>84</v>
      </c>
      <c r="D1357" t="s">
        <v>34</v>
      </c>
      <c r="E1357" t="s">
        <v>35</v>
      </c>
      <c r="F1357" t="s">
        <v>36</v>
      </c>
      <c r="G1357" t="s">
        <v>44</v>
      </c>
      <c r="H1357" t="s">
        <v>45</v>
      </c>
      <c r="I1357" t="s">
        <v>87</v>
      </c>
      <c r="J1357" s="2">
        <v>5</v>
      </c>
      <c r="K1357" s="3">
        <v>386.39</v>
      </c>
      <c r="L1357" s="3">
        <v>203.31</v>
      </c>
      <c r="M1357" s="4">
        <v>0.10780000000000001</v>
      </c>
      <c r="N1357" s="3">
        <f t="shared" si="105"/>
        <v>1931.95</v>
      </c>
      <c r="O1357" s="3">
        <f t="shared" si="106"/>
        <v>1723.69</v>
      </c>
      <c r="P1357" s="3">
        <f t="shared" si="107"/>
        <v>1016.55</v>
      </c>
      <c r="Q1357" s="3">
        <f t="shared" si="108"/>
        <v>707.14</v>
      </c>
      <c r="R1357" s="4">
        <f t="shared" si="109"/>
        <v>0.41020000000000001</v>
      </c>
      <c r="S1357" s="2">
        <v>14</v>
      </c>
      <c r="T1357" t="s">
        <v>30</v>
      </c>
      <c r="U1357">
        <v>4</v>
      </c>
    </row>
    <row r="1358" spans="1:21" x14ac:dyDescent="0.25">
      <c r="A1358" s="1">
        <v>46104</v>
      </c>
      <c r="B1358" t="s">
        <v>1552</v>
      </c>
      <c r="C1358" t="s">
        <v>590</v>
      </c>
      <c r="D1358" t="s">
        <v>207</v>
      </c>
      <c r="E1358" t="s">
        <v>35</v>
      </c>
      <c r="F1358" t="s">
        <v>64</v>
      </c>
      <c r="G1358" t="s">
        <v>27</v>
      </c>
      <c r="H1358" t="s">
        <v>86</v>
      </c>
      <c r="I1358" t="s">
        <v>87</v>
      </c>
      <c r="J1358" s="2">
        <v>1</v>
      </c>
      <c r="K1358" s="3">
        <v>1986.24</v>
      </c>
      <c r="L1358" s="3">
        <v>1239.1400000000001</v>
      </c>
      <c r="M1358" s="4">
        <v>2.7000000000000001E-3</v>
      </c>
      <c r="N1358" s="3">
        <f t="shared" si="105"/>
        <v>1986.24</v>
      </c>
      <c r="O1358" s="3">
        <f t="shared" si="106"/>
        <v>1980.88</v>
      </c>
      <c r="P1358" s="3">
        <f t="shared" si="107"/>
        <v>1239.1400000000001</v>
      </c>
      <c r="Q1358" s="3">
        <f t="shared" si="108"/>
        <v>741.74</v>
      </c>
      <c r="R1358" s="4">
        <f t="shared" si="109"/>
        <v>0.37440000000000001</v>
      </c>
      <c r="S1358" s="2">
        <v>13</v>
      </c>
      <c r="T1358" t="s">
        <v>30</v>
      </c>
      <c r="U1358">
        <v>2</v>
      </c>
    </row>
    <row r="1359" spans="1:21" x14ac:dyDescent="0.25">
      <c r="A1359" s="1">
        <v>46134</v>
      </c>
      <c r="B1359" t="s">
        <v>1553</v>
      </c>
      <c r="C1359" t="s">
        <v>176</v>
      </c>
      <c r="D1359" t="s">
        <v>121</v>
      </c>
      <c r="E1359" t="s">
        <v>72</v>
      </c>
      <c r="F1359" t="s">
        <v>58</v>
      </c>
      <c r="G1359" t="s">
        <v>44</v>
      </c>
      <c r="H1359" t="s">
        <v>124</v>
      </c>
      <c r="I1359" t="s">
        <v>74</v>
      </c>
      <c r="J1359" s="2">
        <v>4</v>
      </c>
      <c r="K1359" s="3">
        <v>5852.7</v>
      </c>
      <c r="L1359" s="3">
        <v>4578.3100000000004</v>
      </c>
      <c r="M1359" s="4">
        <v>0.1633</v>
      </c>
      <c r="N1359" s="3">
        <f t="shared" si="105"/>
        <v>23410.799999999999</v>
      </c>
      <c r="O1359" s="3">
        <f t="shared" si="106"/>
        <v>19587.82</v>
      </c>
      <c r="P1359" s="3">
        <f t="shared" si="107"/>
        <v>18313.240000000002</v>
      </c>
      <c r="Q1359" s="3">
        <f t="shared" si="108"/>
        <v>1274.58</v>
      </c>
      <c r="R1359" s="4">
        <f t="shared" si="109"/>
        <v>6.5100000000000005E-2</v>
      </c>
      <c r="S1359" s="2">
        <v>7</v>
      </c>
      <c r="T1359" t="s">
        <v>46</v>
      </c>
      <c r="U1359">
        <v>3</v>
      </c>
    </row>
    <row r="1360" spans="1:21" x14ac:dyDescent="0.25">
      <c r="A1360" s="1">
        <v>46138</v>
      </c>
      <c r="B1360" t="s">
        <v>1554</v>
      </c>
      <c r="C1360" t="s">
        <v>266</v>
      </c>
      <c r="D1360" t="s">
        <v>43</v>
      </c>
      <c r="E1360" t="s">
        <v>25</v>
      </c>
      <c r="F1360" t="s">
        <v>36</v>
      </c>
      <c r="G1360" t="s">
        <v>44</v>
      </c>
      <c r="H1360" t="s">
        <v>124</v>
      </c>
      <c r="I1360" t="s">
        <v>77</v>
      </c>
      <c r="J1360" s="2">
        <v>6</v>
      </c>
      <c r="K1360" s="3">
        <v>5800.34</v>
      </c>
      <c r="L1360" s="3">
        <v>4542.2</v>
      </c>
      <c r="M1360" s="4">
        <v>7.22E-2</v>
      </c>
      <c r="N1360" s="3">
        <f t="shared" si="105"/>
        <v>34802.04</v>
      </c>
      <c r="O1360" s="3">
        <f t="shared" si="106"/>
        <v>32289.33</v>
      </c>
      <c r="P1360" s="3">
        <f t="shared" si="107"/>
        <v>27253.200000000001</v>
      </c>
      <c r="Q1360" s="3">
        <f t="shared" si="108"/>
        <v>5036.13</v>
      </c>
      <c r="R1360" s="4">
        <f t="shared" si="109"/>
        <v>0.156</v>
      </c>
      <c r="S1360" s="2">
        <v>10</v>
      </c>
      <c r="T1360" t="s">
        <v>46</v>
      </c>
      <c r="U1360">
        <v>4</v>
      </c>
    </row>
    <row r="1361" spans="1:21" x14ac:dyDescent="0.25">
      <c r="A1361" s="1">
        <v>46146</v>
      </c>
      <c r="B1361" t="s">
        <v>1555</v>
      </c>
      <c r="C1361" t="s">
        <v>162</v>
      </c>
      <c r="D1361" t="s">
        <v>56</v>
      </c>
      <c r="E1361" t="s">
        <v>57</v>
      </c>
      <c r="F1361" t="s">
        <v>36</v>
      </c>
      <c r="G1361" t="s">
        <v>44</v>
      </c>
      <c r="H1361" t="s">
        <v>45</v>
      </c>
      <c r="I1361" t="s">
        <v>87</v>
      </c>
      <c r="J1361" s="2">
        <v>8</v>
      </c>
      <c r="K1361" s="3">
        <v>373.02</v>
      </c>
      <c r="L1361" s="3">
        <v>219.68</v>
      </c>
      <c r="M1361" s="4">
        <v>0</v>
      </c>
      <c r="N1361" s="3">
        <f t="shared" si="105"/>
        <v>2984.16</v>
      </c>
      <c r="O1361" s="3">
        <f t="shared" si="106"/>
        <v>2984.16</v>
      </c>
      <c r="P1361" s="3">
        <f t="shared" si="107"/>
        <v>1757.44</v>
      </c>
      <c r="Q1361" s="3">
        <f t="shared" si="108"/>
        <v>1226.72</v>
      </c>
      <c r="R1361" s="4">
        <f t="shared" si="109"/>
        <v>0.41110000000000002</v>
      </c>
      <c r="S1361" s="2">
        <v>4</v>
      </c>
      <c r="T1361" t="s">
        <v>46</v>
      </c>
      <c r="U1361">
        <v>3</v>
      </c>
    </row>
    <row r="1362" spans="1:21" x14ac:dyDescent="0.25">
      <c r="A1362" s="1">
        <v>46114</v>
      </c>
      <c r="B1362" t="s">
        <v>1556</v>
      </c>
      <c r="C1362" t="s">
        <v>271</v>
      </c>
      <c r="D1362" t="s">
        <v>126</v>
      </c>
      <c r="E1362" t="s">
        <v>57</v>
      </c>
      <c r="F1362" t="s">
        <v>64</v>
      </c>
      <c r="G1362" t="s">
        <v>44</v>
      </c>
      <c r="H1362" t="s">
        <v>124</v>
      </c>
      <c r="I1362" t="s">
        <v>65</v>
      </c>
      <c r="J1362" s="2">
        <v>2</v>
      </c>
      <c r="K1362" s="3">
        <v>5884.34</v>
      </c>
      <c r="L1362" s="3">
        <v>4195.05</v>
      </c>
      <c r="M1362" s="4">
        <v>0</v>
      </c>
      <c r="N1362" s="3">
        <f t="shared" si="105"/>
        <v>11768.68</v>
      </c>
      <c r="O1362" s="3">
        <f t="shared" si="106"/>
        <v>11768.68</v>
      </c>
      <c r="P1362" s="3">
        <f t="shared" si="107"/>
        <v>8390.1</v>
      </c>
      <c r="Q1362" s="3">
        <f t="shared" si="108"/>
        <v>3378.58</v>
      </c>
      <c r="R1362" s="4">
        <f t="shared" si="109"/>
        <v>0.28710000000000002</v>
      </c>
      <c r="S1362" s="2">
        <v>4</v>
      </c>
      <c r="T1362" t="s">
        <v>40</v>
      </c>
    </row>
    <row r="1363" spans="1:21" x14ac:dyDescent="0.25">
      <c r="A1363" s="1">
        <v>46171</v>
      </c>
      <c r="B1363" t="s">
        <v>1557</v>
      </c>
      <c r="C1363" t="s">
        <v>243</v>
      </c>
      <c r="D1363" t="s">
        <v>63</v>
      </c>
      <c r="E1363" t="s">
        <v>35</v>
      </c>
      <c r="F1363" t="s">
        <v>26</v>
      </c>
      <c r="G1363" t="s">
        <v>27</v>
      </c>
      <c r="H1363" t="s">
        <v>68</v>
      </c>
      <c r="I1363" t="s">
        <v>60</v>
      </c>
      <c r="J1363" s="2">
        <v>8</v>
      </c>
      <c r="K1363" s="3">
        <v>1228.28</v>
      </c>
      <c r="L1363" s="3">
        <v>772.56</v>
      </c>
      <c r="M1363" s="4">
        <v>3.3399999999999999E-2</v>
      </c>
      <c r="N1363" s="3">
        <f t="shared" si="105"/>
        <v>9826.24</v>
      </c>
      <c r="O1363" s="3">
        <f t="shared" si="106"/>
        <v>9498.0400000000009</v>
      </c>
      <c r="P1363" s="3">
        <f t="shared" si="107"/>
        <v>6180.48</v>
      </c>
      <c r="Q1363" s="3">
        <f t="shared" si="108"/>
        <v>3317.56</v>
      </c>
      <c r="R1363" s="4">
        <f t="shared" si="109"/>
        <v>0.3493</v>
      </c>
      <c r="S1363" s="2">
        <v>9</v>
      </c>
      <c r="T1363" t="s">
        <v>46</v>
      </c>
      <c r="U1363">
        <v>3</v>
      </c>
    </row>
    <row r="1364" spans="1:21" x14ac:dyDescent="0.25">
      <c r="A1364" s="1">
        <v>46090</v>
      </c>
      <c r="B1364" t="s">
        <v>1558</v>
      </c>
      <c r="C1364" t="s">
        <v>428</v>
      </c>
      <c r="D1364" t="s">
        <v>126</v>
      </c>
      <c r="E1364" t="s">
        <v>57</v>
      </c>
      <c r="F1364" t="s">
        <v>58</v>
      </c>
      <c r="G1364" t="s">
        <v>44</v>
      </c>
      <c r="H1364" t="s">
        <v>73</v>
      </c>
      <c r="I1364" t="s">
        <v>53</v>
      </c>
      <c r="J1364" s="2">
        <v>5</v>
      </c>
      <c r="K1364" s="3">
        <v>1646.23</v>
      </c>
      <c r="L1364" s="3">
        <v>1059.43</v>
      </c>
      <c r="M1364" s="4">
        <v>8.4900000000000003E-2</v>
      </c>
      <c r="N1364" s="3">
        <f t="shared" si="105"/>
        <v>8231.15</v>
      </c>
      <c r="O1364" s="3">
        <f t="shared" si="106"/>
        <v>7532.33</v>
      </c>
      <c r="P1364" s="3">
        <f t="shared" si="107"/>
        <v>5297.15</v>
      </c>
      <c r="Q1364" s="3">
        <f t="shared" si="108"/>
        <v>2235.1799999999998</v>
      </c>
      <c r="R1364" s="4">
        <f t="shared" si="109"/>
        <v>0.29670000000000002</v>
      </c>
      <c r="S1364" s="2">
        <v>7</v>
      </c>
      <c r="T1364" t="s">
        <v>46</v>
      </c>
      <c r="U1364">
        <v>4</v>
      </c>
    </row>
    <row r="1365" spans="1:21" x14ac:dyDescent="0.25">
      <c r="A1365" s="1">
        <v>46157</v>
      </c>
      <c r="B1365" t="s">
        <v>1559</v>
      </c>
      <c r="C1365" t="s">
        <v>418</v>
      </c>
      <c r="D1365" t="s">
        <v>56</v>
      </c>
      <c r="E1365" t="s">
        <v>57</v>
      </c>
      <c r="F1365" t="s">
        <v>64</v>
      </c>
      <c r="G1365" t="s">
        <v>37</v>
      </c>
      <c r="H1365" t="s">
        <v>178</v>
      </c>
      <c r="I1365" t="s">
        <v>39</v>
      </c>
      <c r="J1365" s="2">
        <v>2</v>
      </c>
      <c r="K1365" s="3">
        <v>480.73</v>
      </c>
      <c r="L1365" s="3">
        <v>236.97</v>
      </c>
      <c r="M1365" s="4">
        <v>0</v>
      </c>
      <c r="N1365" s="3">
        <f t="shared" si="105"/>
        <v>961.46</v>
      </c>
      <c r="O1365" s="3">
        <f t="shared" si="106"/>
        <v>961.46</v>
      </c>
      <c r="P1365" s="3">
        <f t="shared" si="107"/>
        <v>473.94</v>
      </c>
      <c r="Q1365" s="3">
        <f t="shared" si="108"/>
        <v>487.52</v>
      </c>
      <c r="R1365" s="4">
        <f t="shared" si="109"/>
        <v>0.5071</v>
      </c>
      <c r="S1365" s="2">
        <v>6</v>
      </c>
      <c r="T1365" t="s">
        <v>46</v>
      </c>
      <c r="U1365">
        <v>5</v>
      </c>
    </row>
    <row r="1366" spans="1:21" x14ac:dyDescent="0.25">
      <c r="A1366" s="1">
        <v>46207</v>
      </c>
      <c r="B1366" t="s">
        <v>1560</v>
      </c>
      <c r="C1366" t="s">
        <v>447</v>
      </c>
      <c r="D1366" t="s">
        <v>85</v>
      </c>
      <c r="E1366" t="s">
        <v>50</v>
      </c>
      <c r="F1366" t="s">
        <v>36</v>
      </c>
      <c r="G1366" t="s">
        <v>44</v>
      </c>
      <c r="H1366" t="s">
        <v>45</v>
      </c>
      <c r="I1366" t="s">
        <v>29</v>
      </c>
      <c r="J1366" s="2">
        <v>5</v>
      </c>
      <c r="K1366" s="3">
        <v>383.55</v>
      </c>
      <c r="L1366" s="3">
        <v>204.02</v>
      </c>
      <c r="M1366" s="4">
        <v>0</v>
      </c>
      <c r="N1366" s="3">
        <f t="shared" si="105"/>
        <v>1917.75</v>
      </c>
      <c r="O1366" s="3">
        <f t="shared" si="106"/>
        <v>1917.75</v>
      </c>
      <c r="P1366" s="3">
        <f t="shared" si="107"/>
        <v>1020.1</v>
      </c>
      <c r="Q1366" s="3">
        <f t="shared" si="108"/>
        <v>897.65</v>
      </c>
      <c r="R1366" s="4">
        <f t="shared" si="109"/>
        <v>0.46810000000000002</v>
      </c>
      <c r="S1366" s="2">
        <v>13</v>
      </c>
      <c r="T1366" t="s">
        <v>30</v>
      </c>
      <c r="U1366">
        <v>3</v>
      </c>
    </row>
    <row r="1367" spans="1:21" x14ac:dyDescent="0.25">
      <c r="A1367" s="1">
        <v>46203</v>
      </c>
      <c r="B1367" t="s">
        <v>1561</v>
      </c>
      <c r="C1367" t="s">
        <v>211</v>
      </c>
      <c r="D1367" t="s">
        <v>139</v>
      </c>
      <c r="E1367" t="s">
        <v>72</v>
      </c>
      <c r="F1367" t="s">
        <v>58</v>
      </c>
      <c r="G1367" t="s">
        <v>51</v>
      </c>
      <c r="H1367" t="s">
        <v>52</v>
      </c>
      <c r="I1367" t="s">
        <v>60</v>
      </c>
      <c r="J1367" s="2">
        <v>6</v>
      </c>
      <c r="K1367" s="3">
        <v>267.56</v>
      </c>
      <c r="L1367" s="3">
        <v>120.04</v>
      </c>
      <c r="M1367" s="4">
        <v>3.5000000000000003E-2</v>
      </c>
      <c r="N1367" s="3">
        <f t="shared" si="105"/>
        <v>1605.36</v>
      </c>
      <c r="O1367" s="3">
        <f t="shared" si="106"/>
        <v>1549.17</v>
      </c>
      <c r="P1367" s="3">
        <f t="shared" si="107"/>
        <v>720.24</v>
      </c>
      <c r="Q1367" s="3">
        <f t="shared" si="108"/>
        <v>828.93</v>
      </c>
      <c r="R1367" s="4">
        <f t="shared" si="109"/>
        <v>0.53510000000000002</v>
      </c>
      <c r="S1367" s="2">
        <v>9</v>
      </c>
      <c r="T1367" t="s">
        <v>46</v>
      </c>
      <c r="U1367">
        <v>2</v>
      </c>
    </row>
    <row r="1368" spans="1:21" x14ac:dyDescent="0.25">
      <c r="A1368" s="1">
        <v>46115</v>
      </c>
      <c r="B1368" t="s">
        <v>1562</v>
      </c>
      <c r="C1368" t="s">
        <v>370</v>
      </c>
      <c r="D1368" t="s">
        <v>97</v>
      </c>
      <c r="E1368" t="s">
        <v>57</v>
      </c>
      <c r="F1368" t="s">
        <v>58</v>
      </c>
      <c r="G1368" t="s">
        <v>51</v>
      </c>
      <c r="H1368" t="s">
        <v>116</v>
      </c>
      <c r="I1368" t="s">
        <v>60</v>
      </c>
      <c r="J1368" s="2">
        <v>1</v>
      </c>
      <c r="K1368" s="3">
        <v>2792.8</v>
      </c>
      <c r="L1368" s="3">
        <v>1810.88</v>
      </c>
      <c r="M1368" s="4">
        <v>0.16400000000000001</v>
      </c>
      <c r="N1368" s="3">
        <f t="shared" si="105"/>
        <v>2792.8</v>
      </c>
      <c r="O1368" s="3">
        <f t="shared" si="106"/>
        <v>2334.7800000000002</v>
      </c>
      <c r="P1368" s="3">
        <f t="shared" si="107"/>
        <v>1810.88</v>
      </c>
      <c r="Q1368" s="3">
        <f t="shared" si="108"/>
        <v>523.9</v>
      </c>
      <c r="R1368" s="4">
        <f t="shared" si="109"/>
        <v>0.22439999999999999</v>
      </c>
      <c r="S1368" s="2">
        <v>5</v>
      </c>
      <c r="T1368" t="s">
        <v>46</v>
      </c>
      <c r="U1368">
        <v>5</v>
      </c>
    </row>
    <row r="1369" spans="1:21" x14ac:dyDescent="0.25">
      <c r="A1369" s="1">
        <v>46225</v>
      </c>
      <c r="B1369" t="s">
        <v>1563</v>
      </c>
      <c r="C1369" t="s">
        <v>174</v>
      </c>
      <c r="D1369" t="s">
        <v>85</v>
      </c>
      <c r="E1369" t="s">
        <v>50</v>
      </c>
      <c r="F1369" t="s">
        <v>58</v>
      </c>
      <c r="G1369" t="s">
        <v>44</v>
      </c>
      <c r="H1369" t="s">
        <v>73</v>
      </c>
      <c r="I1369" t="s">
        <v>74</v>
      </c>
      <c r="J1369" s="2">
        <v>7</v>
      </c>
      <c r="K1369" s="3">
        <v>1666.73</v>
      </c>
      <c r="L1369" s="3">
        <v>1090.53</v>
      </c>
      <c r="M1369" s="4">
        <v>3.5000000000000003E-2</v>
      </c>
      <c r="N1369" s="3">
        <f t="shared" si="105"/>
        <v>11667.11</v>
      </c>
      <c r="O1369" s="3">
        <f t="shared" si="106"/>
        <v>11258.76</v>
      </c>
      <c r="P1369" s="3">
        <f t="shared" si="107"/>
        <v>7633.71</v>
      </c>
      <c r="Q1369" s="3">
        <f t="shared" si="108"/>
        <v>3625.05</v>
      </c>
      <c r="R1369" s="4">
        <f t="shared" si="109"/>
        <v>0.32200000000000001</v>
      </c>
      <c r="S1369" s="2">
        <v>3</v>
      </c>
      <c r="T1369" t="s">
        <v>46</v>
      </c>
      <c r="U1369">
        <v>4</v>
      </c>
    </row>
    <row r="1370" spans="1:21" x14ac:dyDescent="0.25">
      <c r="A1370" s="1">
        <v>46221</v>
      </c>
      <c r="B1370" t="s">
        <v>1564</v>
      </c>
      <c r="C1370" t="s">
        <v>142</v>
      </c>
      <c r="D1370" t="s">
        <v>207</v>
      </c>
      <c r="E1370" t="s">
        <v>35</v>
      </c>
      <c r="F1370" t="s">
        <v>64</v>
      </c>
      <c r="G1370" t="s">
        <v>37</v>
      </c>
      <c r="H1370" t="s">
        <v>178</v>
      </c>
      <c r="I1370" t="s">
        <v>87</v>
      </c>
      <c r="J1370" s="2">
        <v>7</v>
      </c>
      <c r="K1370" s="3">
        <v>525.16</v>
      </c>
      <c r="L1370" s="3">
        <v>239.97</v>
      </c>
      <c r="M1370" s="4">
        <v>0</v>
      </c>
      <c r="N1370" s="3">
        <f t="shared" si="105"/>
        <v>3676.12</v>
      </c>
      <c r="O1370" s="3">
        <f t="shared" si="106"/>
        <v>3676.12</v>
      </c>
      <c r="P1370" s="3">
        <f t="shared" si="107"/>
        <v>1679.79</v>
      </c>
      <c r="Q1370" s="3">
        <f t="shared" si="108"/>
        <v>1996.33</v>
      </c>
      <c r="R1370" s="4">
        <f t="shared" si="109"/>
        <v>0.54310000000000003</v>
      </c>
      <c r="S1370" s="2">
        <v>11</v>
      </c>
      <c r="T1370" t="s">
        <v>30</v>
      </c>
      <c r="U1370">
        <v>3</v>
      </c>
    </row>
    <row r="1371" spans="1:21" x14ac:dyDescent="0.25">
      <c r="A1371" s="1">
        <v>46094</v>
      </c>
      <c r="B1371" t="s">
        <v>1565</v>
      </c>
      <c r="C1371" t="s">
        <v>115</v>
      </c>
      <c r="D1371" t="s">
        <v>71</v>
      </c>
      <c r="E1371" t="s">
        <v>72</v>
      </c>
      <c r="F1371" t="s">
        <v>36</v>
      </c>
      <c r="G1371" t="s">
        <v>37</v>
      </c>
      <c r="H1371" t="s">
        <v>38</v>
      </c>
      <c r="I1371" t="s">
        <v>92</v>
      </c>
      <c r="J1371" s="2">
        <v>4</v>
      </c>
      <c r="K1371" s="3">
        <v>408.53</v>
      </c>
      <c r="L1371" s="3">
        <v>202.23</v>
      </c>
      <c r="M1371" s="4">
        <v>0</v>
      </c>
      <c r="N1371" s="3">
        <f t="shared" si="105"/>
        <v>1634.12</v>
      </c>
      <c r="O1371" s="3">
        <f t="shared" si="106"/>
        <v>1634.12</v>
      </c>
      <c r="P1371" s="3">
        <f t="shared" si="107"/>
        <v>808.92</v>
      </c>
      <c r="Q1371" s="3">
        <f t="shared" si="108"/>
        <v>825.2</v>
      </c>
      <c r="R1371" s="4">
        <f t="shared" si="109"/>
        <v>0.505</v>
      </c>
      <c r="S1371" s="2">
        <v>2</v>
      </c>
      <c r="T1371" t="s">
        <v>46</v>
      </c>
      <c r="U1371">
        <v>2</v>
      </c>
    </row>
    <row r="1372" spans="1:21" x14ac:dyDescent="0.25">
      <c r="A1372" s="1">
        <v>46106</v>
      </c>
      <c r="B1372" t="s">
        <v>1566</v>
      </c>
      <c r="C1372" t="s">
        <v>418</v>
      </c>
      <c r="D1372" t="s">
        <v>56</v>
      </c>
      <c r="E1372" t="s">
        <v>57</v>
      </c>
      <c r="F1372" t="s">
        <v>26</v>
      </c>
      <c r="G1372" t="s">
        <v>44</v>
      </c>
      <c r="H1372" t="s">
        <v>45</v>
      </c>
      <c r="I1372" t="s">
        <v>60</v>
      </c>
      <c r="J1372" s="2">
        <v>5</v>
      </c>
      <c r="K1372" s="3">
        <v>410.3</v>
      </c>
      <c r="L1372" s="3">
        <v>207.05</v>
      </c>
      <c r="M1372" s="4">
        <v>0</v>
      </c>
      <c r="N1372" s="3">
        <f t="shared" si="105"/>
        <v>2051.5</v>
      </c>
      <c r="O1372" s="3">
        <f t="shared" si="106"/>
        <v>2051.5</v>
      </c>
      <c r="P1372" s="3">
        <f t="shared" si="107"/>
        <v>1035.25</v>
      </c>
      <c r="Q1372" s="3">
        <f t="shared" si="108"/>
        <v>1016.25</v>
      </c>
      <c r="R1372" s="4">
        <f t="shared" si="109"/>
        <v>0.49540000000000001</v>
      </c>
      <c r="S1372" s="2">
        <v>6</v>
      </c>
      <c r="T1372" t="s">
        <v>46</v>
      </c>
      <c r="U1372">
        <v>3</v>
      </c>
    </row>
    <row r="1373" spans="1:21" x14ac:dyDescent="0.25">
      <c r="A1373" s="1">
        <v>46151</v>
      </c>
      <c r="B1373" t="s">
        <v>1567</v>
      </c>
      <c r="C1373" t="s">
        <v>253</v>
      </c>
      <c r="D1373" t="s">
        <v>121</v>
      </c>
      <c r="E1373" t="s">
        <v>72</v>
      </c>
      <c r="F1373" t="s">
        <v>64</v>
      </c>
      <c r="G1373" t="s">
        <v>37</v>
      </c>
      <c r="H1373" t="s">
        <v>38</v>
      </c>
      <c r="I1373" t="s">
        <v>65</v>
      </c>
      <c r="J1373" s="2">
        <v>3</v>
      </c>
      <c r="K1373" s="3">
        <v>455.1</v>
      </c>
      <c r="L1373" s="3">
        <v>189.28</v>
      </c>
      <c r="M1373" s="4">
        <v>0</v>
      </c>
      <c r="N1373" s="3">
        <f t="shared" si="105"/>
        <v>1365.3</v>
      </c>
      <c r="O1373" s="3">
        <f t="shared" si="106"/>
        <v>1365.3</v>
      </c>
      <c r="P1373" s="3">
        <f t="shared" si="107"/>
        <v>567.84</v>
      </c>
      <c r="Q1373" s="3">
        <f t="shared" si="108"/>
        <v>797.46</v>
      </c>
      <c r="R1373" s="4">
        <f t="shared" si="109"/>
        <v>0.58409999999999995</v>
      </c>
      <c r="S1373" s="2">
        <v>9</v>
      </c>
      <c r="T1373" t="s">
        <v>46</v>
      </c>
      <c r="U1373">
        <v>4</v>
      </c>
    </row>
    <row r="1374" spans="1:21" x14ac:dyDescent="0.25">
      <c r="A1374" s="1">
        <v>46228</v>
      </c>
      <c r="B1374" t="s">
        <v>1568</v>
      </c>
      <c r="C1374" t="s">
        <v>164</v>
      </c>
      <c r="D1374" t="s">
        <v>71</v>
      </c>
      <c r="E1374" t="s">
        <v>72</v>
      </c>
      <c r="F1374" t="s">
        <v>26</v>
      </c>
      <c r="G1374" t="s">
        <v>44</v>
      </c>
      <c r="H1374" t="s">
        <v>45</v>
      </c>
      <c r="I1374" t="s">
        <v>39</v>
      </c>
      <c r="J1374" s="2">
        <v>2</v>
      </c>
      <c r="K1374" s="3">
        <v>404.17</v>
      </c>
      <c r="L1374" s="3">
        <v>213.39</v>
      </c>
      <c r="M1374" s="4">
        <v>0.10440000000000001</v>
      </c>
      <c r="N1374" s="3">
        <f t="shared" si="105"/>
        <v>808.34</v>
      </c>
      <c r="O1374" s="3">
        <f t="shared" si="106"/>
        <v>723.95</v>
      </c>
      <c r="P1374" s="3">
        <f t="shared" si="107"/>
        <v>426.78</v>
      </c>
      <c r="Q1374" s="3">
        <f t="shared" si="108"/>
        <v>297.17</v>
      </c>
      <c r="R1374" s="4">
        <f t="shared" si="109"/>
        <v>0.41049999999999998</v>
      </c>
      <c r="S1374" s="2">
        <v>5</v>
      </c>
      <c r="T1374" t="s">
        <v>46</v>
      </c>
      <c r="U1374">
        <v>3</v>
      </c>
    </row>
    <row r="1375" spans="1:21" x14ac:dyDescent="0.25">
      <c r="A1375" s="1">
        <v>46023</v>
      </c>
      <c r="B1375" t="s">
        <v>1569</v>
      </c>
      <c r="C1375" t="s">
        <v>176</v>
      </c>
      <c r="D1375" t="s">
        <v>130</v>
      </c>
      <c r="E1375" t="s">
        <v>72</v>
      </c>
      <c r="F1375" t="s">
        <v>26</v>
      </c>
      <c r="G1375" t="s">
        <v>51</v>
      </c>
      <c r="H1375" t="s">
        <v>116</v>
      </c>
      <c r="I1375" t="s">
        <v>53</v>
      </c>
      <c r="J1375" s="2">
        <v>8</v>
      </c>
      <c r="K1375" s="3">
        <v>2747.94</v>
      </c>
      <c r="L1375" s="3">
        <v>1932.09</v>
      </c>
      <c r="M1375" s="4">
        <v>0.10580000000000001</v>
      </c>
      <c r="N1375" s="3">
        <f t="shared" si="105"/>
        <v>21983.52</v>
      </c>
      <c r="O1375" s="3">
        <f t="shared" si="106"/>
        <v>19657.66</v>
      </c>
      <c r="P1375" s="3">
        <f t="shared" si="107"/>
        <v>15456.72</v>
      </c>
      <c r="Q1375" s="3">
        <f t="shared" si="108"/>
        <v>4200.9399999999996</v>
      </c>
      <c r="R1375" s="4">
        <f t="shared" si="109"/>
        <v>0.2137</v>
      </c>
      <c r="S1375" s="2">
        <v>3</v>
      </c>
      <c r="T1375" t="s">
        <v>46</v>
      </c>
      <c r="U1375">
        <v>2</v>
      </c>
    </row>
    <row r="1376" spans="1:21" x14ac:dyDescent="0.25">
      <c r="A1376" s="1">
        <v>46038</v>
      </c>
      <c r="B1376" t="s">
        <v>1570</v>
      </c>
      <c r="C1376" t="s">
        <v>218</v>
      </c>
      <c r="D1376" t="s">
        <v>63</v>
      </c>
      <c r="E1376" t="s">
        <v>35</v>
      </c>
      <c r="F1376" t="s">
        <v>26</v>
      </c>
      <c r="G1376" t="s">
        <v>44</v>
      </c>
      <c r="H1376" t="s">
        <v>73</v>
      </c>
      <c r="I1376" t="s">
        <v>77</v>
      </c>
      <c r="J1376" s="2">
        <v>6</v>
      </c>
      <c r="K1376" s="3">
        <v>1780.65</v>
      </c>
      <c r="L1376" s="3">
        <v>1102.21</v>
      </c>
      <c r="M1376" s="4">
        <v>5.3699999999999998E-2</v>
      </c>
      <c r="N1376" s="3">
        <f t="shared" si="105"/>
        <v>10683.9</v>
      </c>
      <c r="O1376" s="3">
        <f t="shared" si="106"/>
        <v>10110.17</v>
      </c>
      <c r="P1376" s="3">
        <f t="shared" si="107"/>
        <v>6613.26</v>
      </c>
      <c r="Q1376" s="3">
        <f t="shared" si="108"/>
        <v>3496.91</v>
      </c>
      <c r="R1376" s="4">
        <f t="shared" si="109"/>
        <v>0.34589999999999999</v>
      </c>
      <c r="S1376" s="2">
        <v>9</v>
      </c>
      <c r="T1376" t="s">
        <v>46</v>
      </c>
      <c r="U1376">
        <v>2</v>
      </c>
    </row>
    <row r="1377" spans="1:22" x14ac:dyDescent="0.25">
      <c r="A1377" s="1">
        <v>46109</v>
      </c>
      <c r="B1377" t="s">
        <v>1571</v>
      </c>
      <c r="C1377" t="s">
        <v>375</v>
      </c>
      <c r="D1377" t="s">
        <v>34</v>
      </c>
      <c r="E1377" t="s">
        <v>35</v>
      </c>
      <c r="F1377" t="s">
        <v>64</v>
      </c>
      <c r="G1377" t="s">
        <v>27</v>
      </c>
      <c r="H1377" t="s">
        <v>86</v>
      </c>
      <c r="I1377" t="s">
        <v>65</v>
      </c>
      <c r="J1377" s="2">
        <v>3</v>
      </c>
      <c r="K1377" s="3">
        <v>1967.8</v>
      </c>
      <c r="L1377" s="3">
        <v>1172.8699999999999</v>
      </c>
      <c r="M1377" s="4">
        <v>0</v>
      </c>
      <c r="N1377" s="3">
        <f t="shared" si="105"/>
        <v>5903.4</v>
      </c>
      <c r="O1377" s="3">
        <f t="shared" si="106"/>
        <v>5903.4</v>
      </c>
      <c r="P1377" s="3">
        <f t="shared" si="107"/>
        <v>3518.61</v>
      </c>
      <c r="Q1377" s="3">
        <f t="shared" si="108"/>
        <v>2384.79</v>
      </c>
      <c r="R1377" s="4">
        <f t="shared" si="109"/>
        <v>0.40400000000000003</v>
      </c>
      <c r="S1377" s="2">
        <v>14</v>
      </c>
      <c r="T1377" t="s">
        <v>40</v>
      </c>
    </row>
    <row r="1378" spans="1:22" x14ac:dyDescent="0.25">
      <c r="A1378" s="1">
        <v>46130</v>
      </c>
      <c r="B1378" t="s">
        <v>1572</v>
      </c>
      <c r="C1378" t="s">
        <v>146</v>
      </c>
      <c r="D1378" t="s">
        <v>97</v>
      </c>
      <c r="E1378" t="s">
        <v>57</v>
      </c>
      <c r="F1378" t="s">
        <v>26</v>
      </c>
      <c r="G1378" t="s">
        <v>44</v>
      </c>
      <c r="H1378" t="s">
        <v>73</v>
      </c>
      <c r="I1378" t="s">
        <v>60</v>
      </c>
      <c r="J1378" s="2">
        <v>6</v>
      </c>
      <c r="K1378" s="3">
        <v>1688.64</v>
      </c>
      <c r="L1378" s="3">
        <v>1109.83</v>
      </c>
      <c r="M1378" s="4">
        <v>0.12239999999999999</v>
      </c>
      <c r="N1378" s="3">
        <f t="shared" si="105"/>
        <v>10131.84</v>
      </c>
      <c r="O1378" s="3">
        <f t="shared" si="106"/>
        <v>8891.7000000000007</v>
      </c>
      <c r="P1378" s="3">
        <f t="shared" si="107"/>
        <v>6658.98</v>
      </c>
      <c r="Q1378" s="3">
        <f t="shared" si="108"/>
        <v>2232.7199999999998</v>
      </c>
      <c r="R1378" s="4">
        <f t="shared" si="109"/>
        <v>0.25109999999999999</v>
      </c>
      <c r="S1378" s="2">
        <v>7</v>
      </c>
      <c r="T1378" t="s">
        <v>46</v>
      </c>
      <c r="U1378">
        <v>3</v>
      </c>
    </row>
    <row r="1379" spans="1:22" x14ac:dyDescent="0.25">
      <c r="A1379" s="1">
        <v>46086</v>
      </c>
      <c r="B1379" t="s">
        <v>1573</v>
      </c>
      <c r="C1379" t="s">
        <v>464</v>
      </c>
      <c r="D1379" t="s">
        <v>121</v>
      </c>
      <c r="E1379" t="s">
        <v>72</v>
      </c>
      <c r="F1379" t="s">
        <v>36</v>
      </c>
      <c r="G1379" t="s">
        <v>44</v>
      </c>
      <c r="H1379" t="s">
        <v>73</v>
      </c>
      <c r="I1379" t="s">
        <v>77</v>
      </c>
      <c r="J1379" s="2">
        <v>1</v>
      </c>
      <c r="K1379" s="3">
        <v>1788.4</v>
      </c>
      <c r="L1379" s="3">
        <v>1100.98</v>
      </c>
      <c r="M1379" s="4">
        <v>0</v>
      </c>
      <c r="N1379" s="3">
        <f t="shared" si="105"/>
        <v>1788.4</v>
      </c>
      <c r="O1379" s="3">
        <f t="shared" si="106"/>
        <v>1788.4</v>
      </c>
      <c r="P1379" s="3">
        <f t="shared" si="107"/>
        <v>1100.98</v>
      </c>
      <c r="Q1379" s="3">
        <f t="shared" si="108"/>
        <v>687.42</v>
      </c>
      <c r="R1379" s="4">
        <f t="shared" si="109"/>
        <v>0.38440000000000002</v>
      </c>
      <c r="S1379" s="2">
        <v>4</v>
      </c>
      <c r="T1379" t="s">
        <v>46</v>
      </c>
      <c r="U1379">
        <v>2</v>
      </c>
    </row>
    <row r="1380" spans="1:22" x14ac:dyDescent="0.25">
      <c r="A1380" s="1">
        <v>46109</v>
      </c>
      <c r="B1380" t="s">
        <v>1574</v>
      </c>
      <c r="C1380" t="s">
        <v>206</v>
      </c>
      <c r="D1380" t="s">
        <v>139</v>
      </c>
      <c r="E1380" t="s">
        <v>72</v>
      </c>
      <c r="F1380" t="s">
        <v>64</v>
      </c>
      <c r="G1380" t="s">
        <v>51</v>
      </c>
      <c r="H1380" t="s">
        <v>59</v>
      </c>
      <c r="I1380" t="s">
        <v>94</v>
      </c>
      <c r="J1380" s="2">
        <v>5</v>
      </c>
      <c r="K1380" s="3">
        <v>2227.75</v>
      </c>
      <c r="L1380" s="3">
        <v>1438.86</v>
      </c>
      <c r="M1380" s="4">
        <v>7.4499999999999997E-2</v>
      </c>
      <c r="N1380" s="3">
        <f t="shared" si="105"/>
        <v>11138.75</v>
      </c>
      <c r="O1380" s="3">
        <f t="shared" si="106"/>
        <v>10308.91</v>
      </c>
      <c r="P1380" s="3">
        <f t="shared" si="107"/>
        <v>7194.3</v>
      </c>
      <c r="Q1380" s="3">
        <f t="shared" si="108"/>
        <v>3114.61</v>
      </c>
      <c r="R1380" s="4">
        <f t="shared" si="109"/>
        <v>0.30209999999999998</v>
      </c>
      <c r="S1380" s="2">
        <v>6</v>
      </c>
      <c r="T1380" t="s">
        <v>46</v>
      </c>
      <c r="U1380">
        <v>4</v>
      </c>
    </row>
    <row r="1381" spans="1:22" x14ac:dyDescent="0.25">
      <c r="A1381" s="1">
        <v>46176</v>
      </c>
      <c r="B1381" t="s">
        <v>1575</v>
      </c>
      <c r="C1381" t="s">
        <v>464</v>
      </c>
      <c r="D1381" t="s">
        <v>71</v>
      </c>
      <c r="E1381" t="s">
        <v>72</v>
      </c>
      <c r="F1381" t="s">
        <v>64</v>
      </c>
      <c r="G1381" t="s">
        <v>37</v>
      </c>
      <c r="H1381" t="s">
        <v>38</v>
      </c>
      <c r="I1381" t="s">
        <v>53</v>
      </c>
      <c r="J1381" s="2">
        <v>7</v>
      </c>
      <c r="K1381" s="3">
        <v>433.28</v>
      </c>
      <c r="L1381" s="3">
        <v>194.71</v>
      </c>
      <c r="M1381" s="4">
        <v>0.46139999999999998</v>
      </c>
      <c r="N1381" s="3">
        <f t="shared" si="105"/>
        <v>3032.96</v>
      </c>
      <c r="O1381" s="3">
        <f t="shared" si="106"/>
        <v>1633.55</v>
      </c>
      <c r="P1381" s="3">
        <f t="shared" si="107"/>
        <v>1362.97</v>
      </c>
      <c r="Q1381" s="3">
        <f t="shared" si="108"/>
        <v>270.58</v>
      </c>
      <c r="R1381" s="4">
        <f t="shared" si="109"/>
        <v>0.1656</v>
      </c>
      <c r="S1381" s="2">
        <v>3</v>
      </c>
      <c r="T1381" t="s">
        <v>46</v>
      </c>
      <c r="U1381">
        <v>3</v>
      </c>
      <c r="V1381" t="s">
        <v>31</v>
      </c>
    </row>
    <row r="1382" spans="1:22" x14ac:dyDescent="0.25">
      <c r="A1382" s="1">
        <v>46151</v>
      </c>
      <c r="B1382" t="s">
        <v>1576</v>
      </c>
      <c r="C1382" t="s">
        <v>401</v>
      </c>
      <c r="D1382" t="s">
        <v>101</v>
      </c>
      <c r="E1382" t="s">
        <v>35</v>
      </c>
      <c r="F1382" t="s">
        <v>36</v>
      </c>
      <c r="G1382" t="s">
        <v>27</v>
      </c>
      <c r="H1382" t="s">
        <v>28</v>
      </c>
      <c r="I1382" t="s">
        <v>74</v>
      </c>
      <c r="J1382" s="2">
        <v>6</v>
      </c>
      <c r="K1382" s="3">
        <v>815.23</v>
      </c>
      <c r="L1382" s="3">
        <v>457.32</v>
      </c>
      <c r="M1382" s="4">
        <v>0</v>
      </c>
      <c r="N1382" s="3">
        <f t="shared" si="105"/>
        <v>4891.38</v>
      </c>
      <c r="O1382" s="3">
        <f t="shared" si="106"/>
        <v>4891.38</v>
      </c>
      <c r="P1382" s="3">
        <f t="shared" si="107"/>
        <v>2743.92</v>
      </c>
      <c r="Q1382" s="3">
        <f t="shared" si="108"/>
        <v>2147.46</v>
      </c>
      <c r="R1382" s="4">
        <f t="shared" si="109"/>
        <v>0.439</v>
      </c>
      <c r="S1382" s="2">
        <v>14</v>
      </c>
      <c r="T1382" t="s">
        <v>30</v>
      </c>
      <c r="U1382">
        <v>4</v>
      </c>
    </row>
    <row r="1383" spans="1:22" x14ac:dyDescent="0.25">
      <c r="A1383" s="1">
        <v>46205</v>
      </c>
      <c r="B1383" t="s">
        <v>1577</v>
      </c>
      <c r="C1383" t="s">
        <v>112</v>
      </c>
      <c r="D1383" t="s">
        <v>34</v>
      </c>
      <c r="E1383" t="s">
        <v>35</v>
      </c>
      <c r="F1383" t="s">
        <v>64</v>
      </c>
      <c r="G1383" t="s">
        <v>44</v>
      </c>
      <c r="H1383" t="s">
        <v>124</v>
      </c>
      <c r="I1383" t="s">
        <v>92</v>
      </c>
      <c r="J1383" s="2">
        <v>8</v>
      </c>
      <c r="K1383" s="3">
        <v>5788.94</v>
      </c>
      <c r="L1383" s="3">
        <v>4354.0600000000004</v>
      </c>
      <c r="M1383" s="4">
        <v>0</v>
      </c>
      <c r="N1383" s="3">
        <f t="shared" si="105"/>
        <v>46311.519999999997</v>
      </c>
      <c r="O1383" s="3">
        <f t="shared" si="106"/>
        <v>46311.519999999997</v>
      </c>
      <c r="P1383" s="3">
        <f t="shared" si="107"/>
        <v>34832.480000000003</v>
      </c>
      <c r="Q1383" s="3">
        <f t="shared" si="108"/>
        <v>11479.04</v>
      </c>
      <c r="R1383" s="4">
        <f t="shared" si="109"/>
        <v>0.24790000000000001</v>
      </c>
      <c r="S1383" s="2">
        <v>14</v>
      </c>
      <c r="T1383" t="s">
        <v>30</v>
      </c>
      <c r="U1383">
        <v>3</v>
      </c>
    </row>
    <row r="1384" spans="1:22" x14ac:dyDescent="0.25">
      <c r="A1384" s="1">
        <v>46063</v>
      </c>
      <c r="B1384" t="s">
        <v>1578</v>
      </c>
      <c r="C1384" t="s">
        <v>464</v>
      </c>
      <c r="D1384" t="s">
        <v>43</v>
      </c>
      <c r="E1384" t="s">
        <v>25</v>
      </c>
      <c r="F1384" t="s">
        <v>58</v>
      </c>
      <c r="G1384" t="s">
        <v>51</v>
      </c>
      <c r="H1384" t="s">
        <v>116</v>
      </c>
      <c r="I1384" t="s">
        <v>87</v>
      </c>
      <c r="J1384" s="2">
        <v>7</v>
      </c>
      <c r="K1384" s="3">
        <v>2849.65</v>
      </c>
      <c r="L1384" s="3">
        <v>1883.99</v>
      </c>
      <c r="M1384" s="4">
        <v>3.5000000000000003E-2</v>
      </c>
      <c r="N1384" s="3">
        <f t="shared" si="105"/>
        <v>19947.55</v>
      </c>
      <c r="O1384" s="3">
        <f t="shared" si="106"/>
        <v>19249.39</v>
      </c>
      <c r="P1384" s="3">
        <f t="shared" si="107"/>
        <v>13187.93</v>
      </c>
      <c r="Q1384" s="3">
        <f t="shared" si="108"/>
        <v>6061.46</v>
      </c>
      <c r="R1384" s="4">
        <f t="shared" si="109"/>
        <v>0.31490000000000001</v>
      </c>
      <c r="S1384" s="2">
        <v>2</v>
      </c>
      <c r="T1384" t="s">
        <v>46</v>
      </c>
      <c r="U1384">
        <v>2</v>
      </c>
    </row>
    <row r="1385" spans="1:22" x14ac:dyDescent="0.25">
      <c r="A1385" s="1">
        <v>46195</v>
      </c>
      <c r="B1385" t="s">
        <v>1579</v>
      </c>
      <c r="C1385" t="s">
        <v>166</v>
      </c>
      <c r="D1385" t="s">
        <v>113</v>
      </c>
      <c r="E1385" t="s">
        <v>50</v>
      </c>
      <c r="F1385" t="s">
        <v>58</v>
      </c>
      <c r="G1385" t="s">
        <v>27</v>
      </c>
      <c r="H1385" t="s">
        <v>86</v>
      </c>
      <c r="I1385" t="s">
        <v>53</v>
      </c>
      <c r="J1385" s="2">
        <v>3</v>
      </c>
      <c r="K1385" s="3">
        <v>1826.65</v>
      </c>
      <c r="L1385" s="3">
        <v>1215.81</v>
      </c>
      <c r="M1385" s="4">
        <v>0.13059999999999999</v>
      </c>
      <c r="N1385" s="3">
        <f t="shared" si="105"/>
        <v>5479.95</v>
      </c>
      <c r="O1385" s="3">
        <f t="shared" si="106"/>
        <v>4764.2700000000004</v>
      </c>
      <c r="P1385" s="3">
        <f t="shared" si="107"/>
        <v>3647.43</v>
      </c>
      <c r="Q1385" s="3">
        <f t="shared" si="108"/>
        <v>1116.8399999999999</v>
      </c>
      <c r="R1385" s="4">
        <f t="shared" si="109"/>
        <v>0.2344</v>
      </c>
      <c r="S1385" s="2">
        <v>14</v>
      </c>
      <c r="T1385" t="s">
        <v>30</v>
      </c>
      <c r="U1385">
        <v>2</v>
      </c>
    </row>
    <row r="1386" spans="1:22" x14ac:dyDescent="0.25">
      <c r="A1386" s="1">
        <v>46155</v>
      </c>
      <c r="B1386" t="s">
        <v>1580</v>
      </c>
      <c r="C1386" t="s">
        <v>211</v>
      </c>
      <c r="D1386" t="s">
        <v>63</v>
      </c>
      <c r="E1386" t="s">
        <v>35</v>
      </c>
      <c r="F1386" t="s">
        <v>64</v>
      </c>
      <c r="G1386" t="s">
        <v>27</v>
      </c>
      <c r="H1386" t="s">
        <v>86</v>
      </c>
      <c r="I1386" t="s">
        <v>39</v>
      </c>
      <c r="J1386" s="2">
        <v>3</v>
      </c>
      <c r="K1386" s="3">
        <v>1815.42</v>
      </c>
      <c r="L1386" s="3">
        <v>1175.22</v>
      </c>
      <c r="M1386" s="4">
        <v>6.4000000000000001E-2</v>
      </c>
      <c r="N1386" s="3">
        <f t="shared" si="105"/>
        <v>5446.26</v>
      </c>
      <c r="O1386" s="3">
        <f t="shared" si="106"/>
        <v>5097.7</v>
      </c>
      <c r="P1386" s="3">
        <f t="shared" si="107"/>
        <v>3525.66</v>
      </c>
      <c r="Q1386" s="3">
        <f t="shared" si="108"/>
        <v>1572.04</v>
      </c>
      <c r="R1386" s="4">
        <f t="shared" si="109"/>
        <v>0.30840000000000001</v>
      </c>
      <c r="S1386" s="2">
        <v>10</v>
      </c>
      <c r="T1386" t="s">
        <v>46</v>
      </c>
      <c r="U1386">
        <v>3</v>
      </c>
    </row>
    <row r="1387" spans="1:22" x14ac:dyDescent="0.25">
      <c r="A1387" s="1">
        <v>46086</v>
      </c>
      <c r="B1387" t="s">
        <v>1581</v>
      </c>
      <c r="C1387" t="s">
        <v>224</v>
      </c>
      <c r="D1387" t="s">
        <v>101</v>
      </c>
      <c r="E1387" t="s">
        <v>35</v>
      </c>
      <c r="F1387" t="s">
        <v>64</v>
      </c>
      <c r="G1387" t="s">
        <v>27</v>
      </c>
      <c r="H1387" t="s">
        <v>86</v>
      </c>
      <c r="I1387" t="s">
        <v>65</v>
      </c>
      <c r="J1387" s="2">
        <v>8</v>
      </c>
      <c r="K1387" s="3">
        <v>1821.98</v>
      </c>
      <c r="L1387" s="3">
        <v>1180.76</v>
      </c>
      <c r="M1387" s="4">
        <v>0</v>
      </c>
      <c r="N1387" s="3">
        <f t="shared" si="105"/>
        <v>14575.84</v>
      </c>
      <c r="O1387" s="3">
        <f t="shared" si="106"/>
        <v>14575.84</v>
      </c>
      <c r="P1387" s="3">
        <f t="shared" si="107"/>
        <v>9446.08</v>
      </c>
      <c r="Q1387" s="3">
        <f t="shared" si="108"/>
        <v>5129.76</v>
      </c>
      <c r="R1387" s="4">
        <f t="shared" si="109"/>
        <v>0.35189999999999999</v>
      </c>
      <c r="S1387" s="2">
        <v>5</v>
      </c>
      <c r="T1387" t="s">
        <v>46</v>
      </c>
      <c r="U1387">
        <v>3</v>
      </c>
    </row>
    <row r="1388" spans="1:22" x14ac:dyDescent="0.25">
      <c r="A1388" s="1">
        <v>46220</v>
      </c>
      <c r="B1388" t="s">
        <v>1582</v>
      </c>
      <c r="C1388" t="s">
        <v>211</v>
      </c>
      <c r="D1388" t="s">
        <v>56</v>
      </c>
      <c r="E1388" t="s">
        <v>57</v>
      </c>
      <c r="F1388" t="s">
        <v>58</v>
      </c>
      <c r="G1388" t="s">
        <v>51</v>
      </c>
      <c r="H1388" t="s">
        <v>116</v>
      </c>
      <c r="I1388" t="s">
        <v>92</v>
      </c>
      <c r="J1388" s="2">
        <v>7</v>
      </c>
      <c r="K1388" s="3">
        <v>2921.13</v>
      </c>
      <c r="L1388" s="3">
        <v>1802.75</v>
      </c>
      <c r="M1388" s="4">
        <v>3.5000000000000003E-2</v>
      </c>
      <c r="N1388" s="3">
        <f t="shared" si="105"/>
        <v>20447.91</v>
      </c>
      <c r="O1388" s="3">
        <f t="shared" si="106"/>
        <v>19732.23</v>
      </c>
      <c r="P1388" s="3">
        <f t="shared" si="107"/>
        <v>12619.25</v>
      </c>
      <c r="Q1388" s="3">
        <f t="shared" si="108"/>
        <v>7112.98</v>
      </c>
      <c r="R1388" s="4">
        <f t="shared" si="109"/>
        <v>0.36049999999999999</v>
      </c>
      <c r="S1388" s="2">
        <v>5</v>
      </c>
      <c r="T1388" t="s">
        <v>46</v>
      </c>
      <c r="U1388">
        <v>4</v>
      </c>
    </row>
    <row r="1389" spans="1:22" x14ac:dyDescent="0.25">
      <c r="A1389" s="1">
        <v>46190</v>
      </c>
      <c r="B1389" t="s">
        <v>1583</v>
      </c>
      <c r="C1389" t="s">
        <v>527</v>
      </c>
      <c r="D1389" t="s">
        <v>97</v>
      </c>
      <c r="E1389" t="s">
        <v>57</v>
      </c>
      <c r="F1389" t="s">
        <v>36</v>
      </c>
      <c r="G1389" t="s">
        <v>44</v>
      </c>
      <c r="H1389" t="s">
        <v>124</v>
      </c>
      <c r="I1389" t="s">
        <v>39</v>
      </c>
      <c r="J1389" s="2">
        <v>8</v>
      </c>
      <c r="K1389" s="3">
        <v>6157.98</v>
      </c>
      <c r="L1389" s="3">
        <v>4523.05</v>
      </c>
      <c r="M1389" s="4">
        <v>0.1019</v>
      </c>
      <c r="N1389" s="3">
        <f t="shared" si="105"/>
        <v>49263.839999999997</v>
      </c>
      <c r="O1389" s="3">
        <f t="shared" si="106"/>
        <v>44243.85</v>
      </c>
      <c r="P1389" s="3">
        <f t="shared" si="107"/>
        <v>36184.400000000001</v>
      </c>
      <c r="Q1389" s="3">
        <f t="shared" si="108"/>
        <v>8059.45</v>
      </c>
      <c r="R1389" s="4">
        <f t="shared" si="109"/>
        <v>0.1822</v>
      </c>
      <c r="S1389" s="2">
        <v>19</v>
      </c>
      <c r="T1389" t="s">
        <v>30</v>
      </c>
      <c r="U1389">
        <v>2</v>
      </c>
      <c r="V1389" t="s">
        <v>208</v>
      </c>
    </row>
    <row r="1390" spans="1:22" x14ac:dyDescent="0.25">
      <c r="A1390" s="1">
        <v>46059</v>
      </c>
      <c r="B1390" t="s">
        <v>1584</v>
      </c>
      <c r="C1390" t="s">
        <v>129</v>
      </c>
      <c r="D1390" t="s">
        <v>34</v>
      </c>
      <c r="E1390" t="s">
        <v>35</v>
      </c>
      <c r="F1390" t="s">
        <v>26</v>
      </c>
      <c r="G1390" t="s">
        <v>37</v>
      </c>
      <c r="H1390" t="s">
        <v>178</v>
      </c>
      <c r="I1390" t="s">
        <v>92</v>
      </c>
      <c r="J1390" s="2">
        <v>7</v>
      </c>
      <c r="K1390" s="3">
        <v>491.77</v>
      </c>
      <c r="L1390" s="3">
        <v>250.29</v>
      </c>
      <c r="M1390" s="4">
        <v>6.7500000000000004E-2</v>
      </c>
      <c r="N1390" s="3">
        <f t="shared" si="105"/>
        <v>3442.39</v>
      </c>
      <c r="O1390" s="3">
        <f t="shared" si="106"/>
        <v>3210.03</v>
      </c>
      <c r="P1390" s="3">
        <f t="shared" si="107"/>
        <v>1752.03</v>
      </c>
      <c r="Q1390" s="3">
        <f t="shared" si="108"/>
        <v>1458</v>
      </c>
      <c r="R1390" s="4">
        <f t="shared" si="109"/>
        <v>0.45419999999999999</v>
      </c>
      <c r="S1390" s="2">
        <v>10</v>
      </c>
      <c r="T1390" t="s">
        <v>46</v>
      </c>
      <c r="U1390">
        <v>4</v>
      </c>
    </row>
    <row r="1391" spans="1:22" x14ac:dyDescent="0.25">
      <c r="A1391" s="1">
        <v>46059</v>
      </c>
      <c r="B1391" t="s">
        <v>1585</v>
      </c>
      <c r="C1391" t="s">
        <v>168</v>
      </c>
      <c r="D1391" t="s">
        <v>139</v>
      </c>
      <c r="E1391" t="s">
        <v>72</v>
      </c>
      <c r="F1391" t="s">
        <v>64</v>
      </c>
      <c r="G1391" t="s">
        <v>44</v>
      </c>
      <c r="H1391" t="s">
        <v>73</v>
      </c>
      <c r="I1391" t="s">
        <v>74</v>
      </c>
      <c r="J1391" s="2">
        <v>3</v>
      </c>
      <c r="K1391" s="3">
        <v>1603.29</v>
      </c>
      <c r="L1391" s="3">
        <v>1089.54</v>
      </c>
      <c r="M1391" s="4">
        <v>0</v>
      </c>
      <c r="N1391" s="3">
        <f t="shared" si="105"/>
        <v>4809.87</v>
      </c>
      <c r="O1391" s="3">
        <f t="shared" si="106"/>
        <v>4809.87</v>
      </c>
      <c r="P1391" s="3">
        <f t="shared" si="107"/>
        <v>3268.62</v>
      </c>
      <c r="Q1391" s="3">
        <f t="shared" si="108"/>
        <v>1541.25</v>
      </c>
      <c r="R1391" s="4">
        <f t="shared" si="109"/>
        <v>0.32040000000000002</v>
      </c>
      <c r="S1391" s="2">
        <v>2</v>
      </c>
      <c r="T1391" t="s">
        <v>46</v>
      </c>
      <c r="U1391">
        <v>4</v>
      </c>
    </row>
    <row r="1392" spans="1:22" x14ac:dyDescent="0.25">
      <c r="A1392" s="1">
        <v>46102</v>
      </c>
      <c r="B1392" t="s">
        <v>1586</v>
      </c>
      <c r="C1392" t="s">
        <v>155</v>
      </c>
      <c r="D1392" t="s">
        <v>97</v>
      </c>
      <c r="E1392" t="s">
        <v>57</v>
      </c>
      <c r="F1392" t="s">
        <v>58</v>
      </c>
      <c r="G1392" t="s">
        <v>37</v>
      </c>
      <c r="H1392" t="s">
        <v>104</v>
      </c>
      <c r="I1392" t="s">
        <v>92</v>
      </c>
      <c r="J1392" s="2">
        <v>5</v>
      </c>
      <c r="K1392" s="3">
        <v>308.75</v>
      </c>
      <c r="L1392" s="3">
        <v>135.16</v>
      </c>
      <c r="M1392" s="4">
        <v>8.6599999999999996E-2</v>
      </c>
      <c r="N1392" s="3">
        <f t="shared" si="105"/>
        <v>1543.75</v>
      </c>
      <c r="O1392" s="3">
        <f t="shared" si="106"/>
        <v>1410.06</v>
      </c>
      <c r="P1392" s="3">
        <f t="shared" si="107"/>
        <v>675.8</v>
      </c>
      <c r="Q1392" s="3">
        <f t="shared" si="108"/>
        <v>734.26</v>
      </c>
      <c r="R1392" s="4">
        <f t="shared" si="109"/>
        <v>0.52070000000000005</v>
      </c>
      <c r="S1392" s="2">
        <v>9</v>
      </c>
      <c r="T1392" t="s">
        <v>46</v>
      </c>
      <c r="U1392">
        <v>5</v>
      </c>
    </row>
    <row r="1393" spans="1:21" x14ac:dyDescent="0.25">
      <c r="A1393" s="1">
        <v>46096</v>
      </c>
      <c r="B1393" t="s">
        <v>1587</v>
      </c>
      <c r="C1393" t="s">
        <v>464</v>
      </c>
      <c r="D1393" t="s">
        <v>121</v>
      </c>
      <c r="E1393" t="s">
        <v>72</v>
      </c>
      <c r="F1393" t="s">
        <v>58</v>
      </c>
      <c r="G1393" t="s">
        <v>51</v>
      </c>
      <c r="H1393" t="s">
        <v>116</v>
      </c>
      <c r="I1393" t="s">
        <v>53</v>
      </c>
      <c r="J1393" s="2">
        <v>6</v>
      </c>
      <c r="K1393" s="3">
        <v>2776.16</v>
      </c>
      <c r="L1393" s="3">
        <v>1861.63</v>
      </c>
      <c r="M1393" s="4">
        <v>3.5000000000000003E-2</v>
      </c>
      <c r="N1393" s="3">
        <f t="shared" si="105"/>
        <v>16656.96</v>
      </c>
      <c r="O1393" s="3">
        <f t="shared" si="106"/>
        <v>16073.97</v>
      </c>
      <c r="P1393" s="3">
        <f t="shared" si="107"/>
        <v>11169.78</v>
      </c>
      <c r="Q1393" s="3">
        <f t="shared" si="108"/>
        <v>4904.1899999999996</v>
      </c>
      <c r="R1393" s="4">
        <f t="shared" si="109"/>
        <v>0.30509999999999998</v>
      </c>
      <c r="S1393" s="2">
        <v>4</v>
      </c>
      <c r="T1393" t="s">
        <v>46</v>
      </c>
      <c r="U1393">
        <v>5</v>
      </c>
    </row>
    <row r="1394" spans="1:21" x14ac:dyDescent="0.25">
      <c r="A1394" s="1">
        <v>46095</v>
      </c>
      <c r="B1394" t="s">
        <v>1588</v>
      </c>
      <c r="C1394" t="s">
        <v>33</v>
      </c>
      <c r="D1394" t="s">
        <v>34</v>
      </c>
      <c r="E1394" t="s">
        <v>35</v>
      </c>
      <c r="F1394" t="s">
        <v>58</v>
      </c>
      <c r="G1394" t="s">
        <v>37</v>
      </c>
      <c r="H1394" t="s">
        <v>38</v>
      </c>
      <c r="I1394" t="s">
        <v>65</v>
      </c>
      <c r="J1394" s="2">
        <v>1</v>
      </c>
      <c r="K1394" s="3">
        <v>442.65</v>
      </c>
      <c r="L1394" s="3">
        <v>198.73</v>
      </c>
      <c r="M1394" s="4">
        <v>0.12280000000000001</v>
      </c>
      <c r="N1394" s="3">
        <f t="shared" si="105"/>
        <v>442.65</v>
      </c>
      <c r="O1394" s="3">
        <f t="shared" si="106"/>
        <v>388.29</v>
      </c>
      <c r="P1394" s="3">
        <f t="shared" si="107"/>
        <v>198.73</v>
      </c>
      <c r="Q1394" s="3">
        <f t="shared" si="108"/>
        <v>189.56</v>
      </c>
      <c r="R1394" s="4">
        <f t="shared" si="109"/>
        <v>0.48820000000000002</v>
      </c>
      <c r="S1394" s="2">
        <v>12</v>
      </c>
      <c r="T1394" t="s">
        <v>30</v>
      </c>
      <c r="U1394">
        <v>5</v>
      </c>
    </row>
    <row r="1395" spans="1:21" x14ac:dyDescent="0.25">
      <c r="A1395" s="1">
        <v>46115</v>
      </c>
      <c r="B1395" t="s">
        <v>1589</v>
      </c>
      <c r="C1395" t="s">
        <v>170</v>
      </c>
      <c r="D1395" t="s">
        <v>24</v>
      </c>
      <c r="E1395" t="s">
        <v>25</v>
      </c>
      <c r="F1395" t="s">
        <v>58</v>
      </c>
      <c r="G1395" t="s">
        <v>51</v>
      </c>
      <c r="H1395" t="s">
        <v>52</v>
      </c>
      <c r="I1395" t="s">
        <v>94</v>
      </c>
      <c r="J1395" s="2">
        <v>5</v>
      </c>
      <c r="K1395" s="3">
        <v>248.59</v>
      </c>
      <c r="L1395" s="3">
        <v>120.16</v>
      </c>
      <c r="M1395" s="4">
        <v>0.112</v>
      </c>
      <c r="N1395" s="3">
        <f t="shared" si="105"/>
        <v>1242.95</v>
      </c>
      <c r="O1395" s="3">
        <f t="shared" si="106"/>
        <v>1103.74</v>
      </c>
      <c r="P1395" s="3">
        <f t="shared" si="107"/>
        <v>600.79999999999995</v>
      </c>
      <c r="Q1395" s="3">
        <f t="shared" si="108"/>
        <v>502.94</v>
      </c>
      <c r="R1395" s="4">
        <f t="shared" si="109"/>
        <v>0.45569999999999999</v>
      </c>
      <c r="S1395" s="2">
        <v>12</v>
      </c>
      <c r="T1395" t="s">
        <v>30</v>
      </c>
      <c r="U1395">
        <v>2</v>
      </c>
    </row>
    <row r="1396" spans="1:21" x14ac:dyDescent="0.25">
      <c r="A1396" s="1">
        <v>46118</v>
      </c>
      <c r="B1396" t="s">
        <v>1590</v>
      </c>
      <c r="C1396" t="s">
        <v>271</v>
      </c>
      <c r="D1396" t="s">
        <v>71</v>
      </c>
      <c r="E1396" t="s">
        <v>72</v>
      </c>
      <c r="F1396" t="s">
        <v>58</v>
      </c>
      <c r="G1396" t="s">
        <v>27</v>
      </c>
      <c r="H1396" t="s">
        <v>68</v>
      </c>
      <c r="I1396" t="s">
        <v>92</v>
      </c>
      <c r="J1396" s="2">
        <v>4</v>
      </c>
      <c r="K1396" s="3">
        <v>1214.51</v>
      </c>
      <c r="L1396" s="3">
        <v>781.06</v>
      </c>
      <c r="M1396" s="4">
        <v>0.14330000000000001</v>
      </c>
      <c r="N1396" s="3">
        <f t="shared" si="105"/>
        <v>4858.04</v>
      </c>
      <c r="O1396" s="3">
        <f t="shared" si="106"/>
        <v>4161.88</v>
      </c>
      <c r="P1396" s="3">
        <f t="shared" si="107"/>
        <v>3124.24</v>
      </c>
      <c r="Q1396" s="3">
        <f t="shared" si="108"/>
        <v>1037.6400000000001</v>
      </c>
      <c r="R1396" s="4">
        <f t="shared" si="109"/>
        <v>0.24929999999999999</v>
      </c>
      <c r="S1396" s="2">
        <v>7</v>
      </c>
      <c r="T1396" t="s">
        <v>46</v>
      </c>
      <c r="U1396">
        <v>4</v>
      </c>
    </row>
    <row r="1397" spans="1:21" x14ac:dyDescent="0.25">
      <c r="A1397" s="1">
        <v>46050</v>
      </c>
      <c r="B1397" t="s">
        <v>1591</v>
      </c>
      <c r="C1397" t="s">
        <v>62</v>
      </c>
      <c r="D1397" t="s">
        <v>97</v>
      </c>
      <c r="E1397" t="s">
        <v>57</v>
      </c>
      <c r="F1397" t="s">
        <v>36</v>
      </c>
      <c r="G1397" t="s">
        <v>27</v>
      </c>
      <c r="H1397" t="s">
        <v>28</v>
      </c>
      <c r="I1397" t="s">
        <v>77</v>
      </c>
      <c r="J1397" s="2">
        <v>4</v>
      </c>
      <c r="K1397" s="3">
        <v>833.29</v>
      </c>
      <c r="L1397" s="3">
        <v>444.38</v>
      </c>
      <c r="M1397" s="4">
        <v>1.4500000000000001E-2</v>
      </c>
      <c r="N1397" s="3">
        <f t="shared" si="105"/>
        <v>3333.16</v>
      </c>
      <c r="O1397" s="3">
        <f t="shared" si="106"/>
        <v>3284.83</v>
      </c>
      <c r="P1397" s="3">
        <f t="shared" si="107"/>
        <v>1777.52</v>
      </c>
      <c r="Q1397" s="3">
        <f t="shared" si="108"/>
        <v>1507.31</v>
      </c>
      <c r="R1397" s="4">
        <f t="shared" si="109"/>
        <v>0.45889999999999997</v>
      </c>
      <c r="S1397" s="2">
        <v>8</v>
      </c>
      <c r="T1397" t="s">
        <v>46</v>
      </c>
      <c r="U1397">
        <v>2</v>
      </c>
    </row>
    <row r="1398" spans="1:21" x14ac:dyDescent="0.25">
      <c r="A1398" s="1">
        <v>46173</v>
      </c>
      <c r="B1398" t="s">
        <v>1592</v>
      </c>
      <c r="C1398" t="s">
        <v>157</v>
      </c>
      <c r="D1398" t="s">
        <v>113</v>
      </c>
      <c r="E1398" t="s">
        <v>50</v>
      </c>
      <c r="F1398" t="s">
        <v>26</v>
      </c>
      <c r="G1398" t="s">
        <v>37</v>
      </c>
      <c r="H1398" t="s">
        <v>178</v>
      </c>
      <c r="I1398" t="s">
        <v>87</v>
      </c>
      <c r="J1398" s="2">
        <v>3</v>
      </c>
      <c r="K1398" s="3">
        <v>519.04999999999995</v>
      </c>
      <c r="L1398" s="3">
        <v>230.85</v>
      </c>
      <c r="M1398" s="4">
        <v>0</v>
      </c>
      <c r="N1398" s="3">
        <f t="shared" si="105"/>
        <v>1557.15</v>
      </c>
      <c r="O1398" s="3">
        <f t="shared" si="106"/>
        <v>1557.15</v>
      </c>
      <c r="P1398" s="3">
        <f t="shared" si="107"/>
        <v>692.55</v>
      </c>
      <c r="Q1398" s="3">
        <f t="shared" si="108"/>
        <v>864.6</v>
      </c>
      <c r="R1398" s="4">
        <f t="shared" si="109"/>
        <v>0.55520000000000003</v>
      </c>
      <c r="S1398" s="2">
        <v>4</v>
      </c>
      <c r="T1398" t="s">
        <v>46</v>
      </c>
      <c r="U1398">
        <v>2</v>
      </c>
    </row>
    <row r="1399" spans="1:21" x14ac:dyDescent="0.25">
      <c r="A1399" s="1">
        <v>46030</v>
      </c>
      <c r="B1399" t="s">
        <v>1593</v>
      </c>
      <c r="C1399" t="s">
        <v>55</v>
      </c>
      <c r="D1399" t="s">
        <v>49</v>
      </c>
      <c r="E1399" t="s">
        <v>50</v>
      </c>
      <c r="F1399" t="s">
        <v>26</v>
      </c>
      <c r="G1399" t="s">
        <v>51</v>
      </c>
      <c r="H1399" t="s">
        <v>59</v>
      </c>
      <c r="I1399" t="s">
        <v>53</v>
      </c>
      <c r="J1399" s="2">
        <v>2</v>
      </c>
      <c r="K1399" s="3">
        <v>2208.4699999999998</v>
      </c>
      <c r="L1399" s="3">
        <v>1399.74</v>
      </c>
      <c r="M1399" s="4">
        <v>0</v>
      </c>
      <c r="N1399" s="3">
        <f t="shared" si="105"/>
        <v>4416.9399999999996</v>
      </c>
      <c r="O1399" s="3">
        <f t="shared" si="106"/>
        <v>4416.9399999999996</v>
      </c>
      <c r="P1399" s="3">
        <f t="shared" si="107"/>
        <v>2799.48</v>
      </c>
      <c r="Q1399" s="3">
        <f t="shared" si="108"/>
        <v>1617.46</v>
      </c>
      <c r="R1399" s="4">
        <f t="shared" si="109"/>
        <v>0.36620000000000003</v>
      </c>
      <c r="S1399" s="2">
        <v>14</v>
      </c>
      <c r="T1399" t="s">
        <v>30</v>
      </c>
      <c r="U1399">
        <v>3</v>
      </c>
    </row>
    <row r="1400" spans="1:21" x14ac:dyDescent="0.25">
      <c r="A1400" s="1">
        <v>46168</v>
      </c>
      <c r="B1400" t="s">
        <v>1594</v>
      </c>
      <c r="C1400" t="s">
        <v>297</v>
      </c>
      <c r="D1400" t="s">
        <v>130</v>
      </c>
      <c r="E1400" t="s">
        <v>72</v>
      </c>
      <c r="F1400" t="s">
        <v>58</v>
      </c>
      <c r="G1400" t="s">
        <v>44</v>
      </c>
      <c r="H1400" t="s">
        <v>73</v>
      </c>
      <c r="I1400" t="s">
        <v>53</v>
      </c>
      <c r="J1400" s="2">
        <v>4</v>
      </c>
      <c r="K1400" s="3">
        <v>1668.46</v>
      </c>
      <c r="L1400" s="3">
        <v>1156.79</v>
      </c>
      <c r="M1400" s="4">
        <v>3.5000000000000003E-2</v>
      </c>
      <c r="N1400" s="3">
        <f t="shared" si="105"/>
        <v>6673.84</v>
      </c>
      <c r="O1400" s="3">
        <f t="shared" si="106"/>
        <v>6440.26</v>
      </c>
      <c r="P1400" s="3">
        <f t="shared" si="107"/>
        <v>4627.16</v>
      </c>
      <c r="Q1400" s="3">
        <f t="shared" si="108"/>
        <v>1813.1</v>
      </c>
      <c r="R1400" s="4">
        <f t="shared" si="109"/>
        <v>0.28149999999999997</v>
      </c>
      <c r="S1400" s="2">
        <v>8</v>
      </c>
      <c r="T1400" t="s">
        <v>46</v>
      </c>
      <c r="U1400">
        <v>4</v>
      </c>
    </row>
    <row r="1401" spans="1:21" x14ac:dyDescent="0.25">
      <c r="A1401" s="1">
        <v>46133</v>
      </c>
      <c r="B1401" t="s">
        <v>1595</v>
      </c>
      <c r="C1401" t="s">
        <v>148</v>
      </c>
      <c r="D1401" t="s">
        <v>101</v>
      </c>
      <c r="E1401" t="s">
        <v>35</v>
      </c>
      <c r="F1401" t="s">
        <v>36</v>
      </c>
      <c r="G1401" t="s">
        <v>44</v>
      </c>
      <c r="H1401" t="s">
        <v>124</v>
      </c>
      <c r="I1401" t="s">
        <v>53</v>
      </c>
      <c r="J1401" s="2">
        <v>8</v>
      </c>
      <c r="K1401" s="3">
        <v>5798.09</v>
      </c>
      <c r="L1401" s="3">
        <v>4357.6400000000003</v>
      </c>
      <c r="M1401" s="4">
        <v>8.48E-2</v>
      </c>
      <c r="N1401" s="3">
        <f t="shared" si="105"/>
        <v>46384.72</v>
      </c>
      <c r="O1401" s="3">
        <f t="shared" si="106"/>
        <v>42451.3</v>
      </c>
      <c r="P1401" s="3">
        <f t="shared" si="107"/>
        <v>34861.120000000003</v>
      </c>
      <c r="Q1401" s="3">
        <f t="shared" si="108"/>
        <v>7590.18</v>
      </c>
      <c r="R1401" s="4">
        <f t="shared" si="109"/>
        <v>0.17879999999999999</v>
      </c>
      <c r="S1401" s="2">
        <v>14</v>
      </c>
      <c r="T1401" t="s">
        <v>30</v>
      </c>
      <c r="U1401">
        <v>2</v>
      </c>
    </row>
    <row r="1402" spans="1:21" x14ac:dyDescent="0.25">
      <c r="A1402" s="1">
        <v>46031</v>
      </c>
      <c r="B1402" t="s">
        <v>1596</v>
      </c>
      <c r="C1402" t="s">
        <v>514</v>
      </c>
      <c r="D1402" t="s">
        <v>63</v>
      </c>
      <c r="E1402" t="s">
        <v>35</v>
      </c>
      <c r="F1402" t="s">
        <v>58</v>
      </c>
      <c r="G1402" t="s">
        <v>51</v>
      </c>
      <c r="H1402" t="s">
        <v>52</v>
      </c>
      <c r="I1402" t="s">
        <v>65</v>
      </c>
      <c r="J1402" s="2">
        <v>4</v>
      </c>
      <c r="K1402" s="3">
        <v>264.66000000000003</v>
      </c>
      <c r="L1402" s="3">
        <v>122.54</v>
      </c>
      <c r="M1402" s="4">
        <v>5.7500000000000002E-2</v>
      </c>
      <c r="N1402" s="3">
        <f t="shared" si="105"/>
        <v>1058.6400000000001</v>
      </c>
      <c r="O1402" s="3">
        <f t="shared" si="106"/>
        <v>997.77</v>
      </c>
      <c r="P1402" s="3">
        <f t="shared" si="107"/>
        <v>490.16</v>
      </c>
      <c r="Q1402" s="3">
        <f t="shared" si="108"/>
        <v>507.61</v>
      </c>
      <c r="R1402" s="4">
        <f t="shared" si="109"/>
        <v>0.50870000000000004</v>
      </c>
      <c r="S1402" s="2">
        <v>7</v>
      </c>
      <c r="T1402" t="s">
        <v>40</v>
      </c>
    </row>
    <row r="1403" spans="1:21" x14ac:dyDescent="0.25">
      <c r="A1403" s="1">
        <v>46168</v>
      </c>
      <c r="B1403" t="s">
        <v>1597</v>
      </c>
      <c r="C1403" t="s">
        <v>609</v>
      </c>
      <c r="D1403" t="s">
        <v>63</v>
      </c>
      <c r="E1403" t="s">
        <v>35</v>
      </c>
      <c r="F1403" t="s">
        <v>64</v>
      </c>
      <c r="G1403" t="s">
        <v>37</v>
      </c>
      <c r="H1403" t="s">
        <v>178</v>
      </c>
      <c r="I1403" t="s">
        <v>29</v>
      </c>
      <c r="J1403" s="2">
        <v>1</v>
      </c>
      <c r="K1403" s="3">
        <v>509.78</v>
      </c>
      <c r="L1403" s="3">
        <v>249.24</v>
      </c>
      <c r="M1403" s="4">
        <v>0.1236</v>
      </c>
      <c r="N1403" s="3">
        <f t="shared" si="105"/>
        <v>509.78</v>
      </c>
      <c r="O1403" s="3">
        <f t="shared" si="106"/>
        <v>446.77</v>
      </c>
      <c r="P1403" s="3">
        <f t="shared" si="107"/>
        <v>249.24</v>
      </c>
      <c r="Q1403" s="3">
        <f t="shared" si="108"/>
        <v>197.53</v>
      </c>
      <c r="R1403" s="4">
        <f t="shared" si="109"/>
        <v>0.44209999999999999</v>
      </c>
      <c r="S1403" s="2">
        <v>10</v>
      </c>
      <c r="T1403" t="s">
        <v>46</v>
      </c>
      <c r="U1403">
        <v>2</v>
      </c>
    </row>
    <row r="1404" spans="1:21" x14ac:dyDescent="0.25">
      <c r="A1404" s="1">
        <v>46196</v>
      </c>
      <c r="B1404" t="s">
        <v>1598</v>
      </c>
      <c r="C1404" t="s">
        <v>115</v>
      </c>
      <c r="D1404" t="s">
        <v>71</v>
      </c>
      <c r="E1404" t="s">
        <v>72</v>
      </c>
      <c r="F1404" t="s">
        <v>64</v>
      </c>
      <c r="G1404" t="s">
        <v>44</v>
      </c>
      <c r="H1404" t="s">
        <v>73</v>
      </c>
      <c r="I1404" t="s">
        <v>65</v>
      </c>
      <c r="J1404" s="2">
        <v>3</v>
      </c>
      <c r="K1404" s="3">
        <v>1718.68</v>
      </c>
      <c r="L1404" s="3">
        <v>1162.6600000000001</v>
      </c>
      <c r="M1404" s="4">
        <v>0.11070000000000001</v>
      </c>
      <c r="N1404" s="3">
        <f t="shared" si="105"/>
        <v>5156.04</v>
      </c>
      <c r="O1404" s="3">
        <f t="shared" si="106"/>
        <v>4585.2700000000004</v>
      </c>
      <c r="P1404" s="3">
        <f t="shared" si="107"/>
        <v>3487.98</v>
      </c>
      <c r="Q1404" s="3">
        <f t="shared" si="108"/>
        <v>1097.29</v>
      </c>
      <c r="R1404" s="4">
        <f t="shared" si="109"/>
        <v>0.23930000000000001</v>
      </c>
      <c r="S1404" s="2">
        <v>14</v>
      </c>
      <c r="T1404" t="s">
        <v>30</v>
      </c>
      <c r="U1404">
        <v>4</v>
      </c>
    </row>
    <row r="1405" spans="1:21" x14ac:dyDescent="0.25">
      <c r="A1405" s="1">
        <v>46137</v>
      </c>
      <c r="B1405" t="s">
        <v>1599</v>
      </c>
      <c r="C1405" t="s">
        <v>284</v>
      </c>
      <c r="D1405" t="s">
        <v>121</v>
      </c>
      <c r="E1405" t="s">
        <v>72</v>
      </c>
      <c r="F1405" t="s">
        <v>26</v>
      </c>
      <c r="G1405" t="s">
        <v>37</v>
      </c>
      <c r="H1405" t="s">
        <v>104</v>
      </c>
      <c r="I1405" t="s">
        <v>77</v>
      </c>
      <c r="J1405" s="2">
        <v>7</v>
      </c>
      <c r="K1405" s="3">
        <v>303.61</v>
      </c>
      <c r="L1405" s="3">
        <v>145.83000000000001</v>
      </c>
      <c r="M1405" s="4">
        <v>0</v>
      </c>
      <c r="N1405" s="3">
        <f t="shared" si="105"/>
        <v>2125.27</v>
      </c>
      <c r="O1405" s="3">
        <f t="shared" si="106"/>
        <v>2125.27</v>
      </c>
      <c r="P1405" s="3">
        <f t="shared" si="107"/>
        <v>1020.81</v>
      </c>
      <c r="Q1405" s="3">
        <f t="shared" si="108"/>
        <v>1104.46</v>
      </c>
      <c r="R1405" s="4">
        <f t="shared" si="109"/>
        <v>0.51970000000000005</v>
      </c>
      <c r="S1405" s="2">
        <v>7</v>
      </c>
      <c r="T1405" t="s">
        <v>46</v>
      </c>
      <c r="U1405">
        <v>5</v>
      </c>
    </row>
    <row r="1406" spans="1:21" x14ac:dyDescent="0.25">
      <c r="A1406" s="1">
        <v>46194</v>
      </c>
      <c r="B1406" t="s">
        <v>1600</v>
      </c>
      <c r="C1406" t="s">
        <v>456</v>
      </c>
      <c r="D1406" t="s">
        <v>49</v>
      </c>
      <c r="E1406" t="s">
        <v>50</v>
      </c>
      <c r="F1406" t="s">
        <v>58</v>
      </c>
      <c r="G1406" t="s">
        <v>37</v>
      </c>
      <c r="H1406" t="s">
        <v>104</v>
      </c>
      <c r="I1406" t="s">
        <v>87</v>
      </c>
      <c r="J1406" s="2">
        <v>3</v>
      </c>
      <c r="K1406" s="3">
        <v>331.98</v>
      </c>
      <c r="L1406" s="3">
        <v>134.91999999999999</v>
      </c>
      <c r="M1406" s="4">
        <v>3.5000000000000003E-2</v>
      </c>
      <c r="N1406" s="3">
        <f t="shared" si="105"/>
        <v>995.94</v>
      </c>
      <c r="O1406" s="3">
        <f t="shared" si="106"/>
        <v>961.08</v>
      </c>
      <c r="P1406" s="3">
        <f t="shared" si="107"/>
        <v>404.76</v>
      </c>
      <c r="Q1406" s="3">
        <f t="shared" si="108"/>
        <v>556.32000000000005</v>
      </c>
      <c r="R1406" s="4">
        <f t="shared" si="109"/>
        <v>0.57879999999999998</v>
      </c>
      <c r="S1406" s="2">
        <v>2</v>
      </c>
      <c r="T1406" t="s">
        <v>46</v>
      </c>
      <c r="U1406">
        <v>5</v>
      </c>
    </row>
    <row r="1407" spans="1:21" x14ac:dyDescent="0.25">
      <c r="A1407" s="1">
        <v>46206</v>
      </c>
      <c r="B1407" t="s">
        <v>1601</v>
      </c>
      <c r="C1407" t="s">
        <v>297</v>
      </c>
      <c r="D1407" t="s">
        <v>207</v>
      </c>
      <c r="E1407" t="s">
        <v>35</v>
      </c>
      <c r="F1407" t="s">
        <v>26</v>
      </c>
      <c r="G1407" t="s">
        <v>27</v>
      </c>
      <c r="H1407" t="s">
        <v>68</v>
      </c>
      <c r="I1407" t="s">
        <v>39</v>
      </c>
      <c r="J1407" s="2">
        <v>2</v>
      </c>
      <c r="K1407" s="3">
        <v>1223.6099999999999</v>
      </c>
      <c r="L1407" s="3">
        <v>776.39</v>
      </c>
      <c r="M1407" s="4">
        <v>0.12429999999999999</v>
      </c>
      <c r="N1407" s="3">
        <f t="shared" si="105"/>
        <v>2447.2199999999998</v>
      </c>
      <c r="O1407" s="3">
        <f t="shared" si="106"/>
        <v>2143.0300000000002</v>
      </c>
      <c r="P1407" s="3">
        <f t="shared" si="107"/>
        <v>1552.78</v>
      </c>
      <c r="Q1407" s="3">
        <f t="shared" si="108"/>
        <v>590.25</v>
      </c>
      <c r="R1407" s="4">
        <f t="shared" si="109"/>
        <v>0.27539999999999998</v>
      </c>
      <c r="S1407" s="2">
        <v>2</v>
      </c>
      <c r="T1407" t="s">
        <v>46</v>
      </c>
      <c r="U1407">
        <v>4</v>
      </c>
    </row>
    <row r="1408" spans="1:21" x14ac:dyDescent="0.25">
      <c r="A1408" s="1">
        <v>46074</v>
      </c>
      <c r="B1408" t="s">
        <v>1602</v>
      </c>
      <c r="C1408" t="s">
        <v>253</v>
      </c>
      <c r="D1408" t="s">
        <v>49</v>
      </c>
      <c r="E1408" t="s">
        <v>50</v>
      </c>
      <c r="F1408" t="s">
        <v>26</v>
      </c>
      <c r="G1408" t="s">
        <v>27</v>
      </c>
      <c r="H1408" t="s">
        <v>68</v>
      </c>
      <c r="I1408" t="s">
        <v>77</v>
      </c>
      <c r="J1408" s="2">
        <v>5</v>
      </c>
      <c r="K1408" s="3">
        <v>1241.8900000000001</v>
      </c>
      <c r="L1408" s="3">
        <v>750.07</v>
      </c>
      <c r="M1408" s="4">
        <v>4.1000000000000002E-2</v>
      </c>
      <c r="N1408" s="3">
        <f t="shared" si="105"/>
        <v>6209.45</v>
      </c>
      <c r="O1408" s="3">
        <f t="shared" si="106"/>
        <v>5954.86</v>
      </c>
      <c r="P1408" s="3">
        <f t="shared" si="107"/>
        <v>3750.35</v>
      </c>
      <c r="Q1408" s="3">
        <f t="shared" si="108"/>
        <v>2204.5100000000002</v>
      </c>
      <c r="R1408" s="4">
        <f t="shared" si="109"/>
        <v>0.37019999999999997</v>
      </c>
      <c r="S1408" s="2">
        <v>5</v>
      </c>
      <c r="T1408" t="s">
        <v>40</v>
      </c>
    </row>
    <row r="1409" spans="1:21" x14ac:dyDescent="0.25">
      <c r="A1409" s="1">
        <v>46153</v>
      </c>
      <c r="B1409" t="s">
        <v>1603</v>
      </c>
      <c r="C1409" t="s">
        <v>211</v>
      </c>
      <c r="D1409" t="s">
        <v>63</v>
      </c>
      <c r="E1409" t="s">
        <v>35</v>
      </c>
      <c r="F1409" t="s">
        <v>26</v>
      </c>
      <c r="G1409" t="s">
        <v>51</v>
      </c>
      <c r="H1409" t="s">
        <v>116</v>
      </c>
      <c r="I1409" t="s">
        <v>60</v>
      </c>
      <c r="J1409" s="2">
        <v>8</v>
      </c>
      <c r="K1409" s="3">
        <v>2876.81</v>
      </c>
      <c r="L1409" s="3">
        <v>1754.99</v>
      </c>
      <c r="M1409" s="4">
        <v>0</v>
      </c>
      <c r="N1409" s="3">
        <f t="shared" si="105"/>
        <v>23014.48</v>
      </c>
      <c r="O1409" s="3">
        <f t="shared" si="106"/>
        <v>23014.48</v>
      </c>
      <c r="P1409" s="3">
        <f t="shared" si="107"/>
        <v>14039.92</v>
      </c>
      <c r="Q1409" s="3">
        <f t="shared" si="108"/>
        <v>8974.56</v>
      </c>
      <c r="R1409" s="4">
        <f t="shared" si="109"/>
        <v>0.39</v>
      </c>
      <c r="S1409" s="2">
        <v>6</v>
      </c>
      <c r="T1409" t="s">
        <v>46</v>
      </c>
      <c r="U1409">
        <v>3</v>
      </c>
    </row>
    <row r="1410" spans="1:21" x14ac:dyDescent="0.25">
      <c r="A1410" s="1">
        <v>46144</v>
      </c>
      <c r="B1410" t="s">
        <v>1604</v>
      </c>
      <c r="C1410" t="s">
        <v>384</v>
      </c>
      <c r="D1410" t="s">
        <v>139</v>
      </c>
      <c r="E1410" t="s">
        <v>72</v>
      </c>
      <c r="F1410" t="s">
        <v>36</v>
      </c>
      <c r="G1410" t="s">
        <v>27</v>
      </c>
      <c r="H1410" t="s">
        <v>86</v>
      </c>
      <c r="I1410" t="s">
        <v>65</v>
      </c>
      <c r="J1410" s="2">
        <v>6</v>
      </c>
      <c r="K1410" s="3">
        <v>1883.1</v>
      </c>
      <c r="L1410" s="3">
        <v>1202.01</v>
      </c>
      <c r="M1410" s="4">
        <v>9.2299999999999993E-2</v>
      </c>
      <c r="N1410" s="3">
        <f t="shared" ref="N1410:N1473" si="110">ROUND(J1410*K1410,2)</f>
        <v>11298.6</v>
      </c>
      <c r="O1410" s="3">
        <f t="shared" ref="O1410:O1473" si="111">ROUND(N1410*(1-M1410),2)</f>
        <v>10255.74</v>
      </c>
      <c r="P1410" s="3">
        <f t="shared" ref="P1410:P1473" si="112">ROUND(J1410*L1410,2)</f>
        <v>7212.06</v>
      </c>
      <c r="Q1410" s="3">
        <f t="shared" ref="Q1410:Q1473" si="113">ROUND(O1410-P1410,2)</f>
        <v>3043.68</v>
      </c>
      <c r="R1410" s="4">
        <f t="shared" ref="R1410:R1473" si="114">IF(O1410=0,0,ROUND(Q1410/O1410,4))</f>
        <v>0.29680000000000001</v>
      </c>
      <c r="S1410" s="2">
        <v>8</v>
      </c>
      <c r="T1410" t="s">
        <v>46</v>
      </c>
      <c r="U1410">
        <v>2</v>
      </c>
    </row>
    <row r="1411" spans="1:21" x14ac:dyDescent="0.25">
      <c r="A1411" s="1">
        <v>46160</v>
      </c>
      <c r="B1411" t="s">
        <v>1605</v>
      </c>
      <c r="C1411" t="s">
        <v>148</v>
      </c>
      <c r="D1411" t="s">
        <v>101</v>
      </c>
      <c r="E1411" t="s">
        <v>35</v>
      </c>
      <c r="F1411" t="s">
        <v>64</v>
      </c>
      <c r="G1411" t="s">
        <v>44</v>
      </c>
      <c r="H1411" t="s">
        <v>73</v>
      </c>
      <c r="I1411" t="s">
        <v>39</v>
      </c>
      <c r="J1411" s="2">
        <v>1</v>
      </c>
      <c r="K1411" s="3">
        <v>1772.51</v>
      </c>
      <c r="L1411" s="3">
        <v>1074.5999999999999</v>
      </c>
      <c r="M1411" s="4">
        <v>6.13E-2</v>
      </c>
      <c r="N1411" s="3">
        <f t="shared" si="110"/>
        <v>1772.51</v>
      </c>
      <c r="O1411" s="3">
        <f t="shared" si="111"/>
        <v>1663.86</v>
      </c>
      <c r="P1411" s="3">
        <f t="shared" si="112"/>
        <v>1074.5999999999999</v>
      </c>
      <c r="Q1411" s="3">
        <f t="shared" si="113"/>
        <v>589.26</v>
      </c>
      <c r="R1411" s="4">
        <f t="shared" si="114"/>
        <v>0.35420000000000001</v>
      </c>
      <c r="S1411" s="2">
        <v>11</v>
      </c>
      <c r="T1411" t="s">
        <v>30</v>
      </c>
      <c r="U1411">
        <v>5</v>
      </c>
    </row>
    <row r="1412" spans="1:21" x14ac:dyDescent="0.25">
      <c r="A1412" s="1">
        <v>46044</v>
      </c>
      <c r="B1412" t="s">
        <v>1606</v>
      </c>
      <c r="C1412" t="s">
        <v>294</v>
      </c>
      <c r="D1412" t="s">
        <v>101</v>
      </c>
      <c r="E1412" t="s">
        <v>35</v>
      </c>
      <c r="F1412" t="s">
        <v>58</v>
      </c>
      <c r="G1412" t="s">
        <v>27</v>
      </c>
      <c r="H1412" t="s">
        <v>86</v>
      </c>
      <c r="I1412" t="s">
        <v>60</v>
      </c>
      <c r="J1412" s="2">
        <v>5</v>
      </c>
      <c r="K1412" s="3">
        <v>1902.12</v>
      </c>
      <c r="L1412" s="3">
        <v>1211.9000000000001</v>
      </c>
      <c r="M1412" s="4">
        <v>3.5000000000000003E-2</v>
      </c>
      <c r="N1412" s="3">
        <f t="shared" si="110"/>
        <v>9510.6</v>
      </c>
      <c r="O1412" s="3">
        <f t="shared" si="111"/>
        <v>9177.73</v>
      </c>
      <c r="P1412" s="3">
        <f t="shared" si="112"/>
        <v>6059.5</v>
      </c>
      <c r="Q1412" s="3">
        <f t="shared" si="113"/>
        <v>3118.23</v>
      </c>
      <c r="R1412" s="4">
        <f t="shared" si="114"/>
        <v>0.33979999999999999</v>
      </c>
      <c r="S1412" s="2">
        <v>7</v>
      </c>
      <c r="T1412" t="s">
        <v>46</v>
      </c>
      <c r="U1412">
        <v>2</v>
      </c>
    </row>
    <row r="1413" spans="1:21" x14ac:dyDescent="0.25">
      <c r="A1413" s="1">
        <v>46102</v>
      </c>
      <c r="B1413" t="s">
        <v>1607</v>
      </c>
      <c r="C1413" t="s">
        <v>106</v>
      </c>
      <c r="D1413" t="s">
        <v>63</v>
      </c>
      <c r="E1413" t="s">
        <v>35</v>
      </c>
      <c r="F1413" t="s">
        <v>36</v>
      </c>
      <c r="G1413" t="s">
        <v>44</v>
      </c>
      <c r="H1413" t="s">
        <v>73</v>
      </c>
      <c r="I1413" t="s">
        <v>39</v>
      </c>
      <c r="J1413" s="2">
        <v>8</v>
      </c>
      <c r="K1413" s="3">
        <v>1711.09</v>
      </c>
      <c r="L1413" s="3">
        <v>1121.07</v>
      </c>
      <c r="M1413" s="4">
        <v>1.5100000000000001E-2</v>
      </c>
      <c r="N1413" s="3">
        <f t="shared" si="110"/>
        <v>13688.72</v>
      </c>
      <c r="O1413" s="3">
        <f t="shared" si="111"/>
        <v>13482.02</v>
      </c>
      <c r="P1413" s="3">
        <f t="shared" si="112"/>
        <v>8968.56</v>
      </c>
      <c r="Q1413" s="3">
        <f t="shared" si="113"/>
        <v>4513.46</v>
      </c>
      <c r="R1413" s="4">
        <f t="shared" si="114"/>
        <v>0.33479999999999999</v>
      </c>
      <c r="S1413" s="2">
        <v>10</v>
      </c>
      <c r="T1413" t="s">
        <v>46</v>
      </c>
      <c r="U1413">
        <v>5</v>
      </c>
    </row>
    <row r="1414" spans="1:21" x14ac:dyDescent="0.25">
      <c r="A1414" s="1">
        <v>46153</v>
      </c>
      <c r="B1414" t="s">
        <v>1608</v>
      </c>
      <c r="C1414" t="s">
        <v>476</v>
      </c>
      <c r="D1414" t="s">
        <v>139</v>
      </c>
      <c r="E1414" t="s">
        <v>72</v>
      </c>
      <c r="F1414" t="s">
        <v>64</v>
      </c>
      <c r="G1414" t="s">
        <v>44</v>
      </c>
      <c r="H1414" t="s">
        <v>124</v>
      </c>
      <c r="I1414" t="s">
        <v>74</v>
      </c>
      <c r="J1414" s="2">
        <v>6</v>
      </c>
      <c r="K1414" s="3">
        <v>5587.78</v>
      </c>
      <c r="L1414" s="3">
        <v>4624.37</v>
      </c>
      <c r="M1414" s="4">
        <v>1.6199999999999999E-2</v>
      </c>
      <c r="N1414" s="3">
        <f t="shared" si="110"/>
        <v>33526.68</v>
      </c>
      <c r="O1414" s="3">
        <f t="shared" si="111"/>
        <v>32983.550000000003</v>
      </c>
      <c r="P1414" s="3">
        <f t="shared" si="112"/>
        <v>27746.22</v>
      </c>
      <c r="Q1414" s="3">
        <f t="shared" si="113"/>
        <v>5237.33</v>
      </c>
      <c r="R1414" s="4">
        <f t="shared" si="114"/>
        <v>0.1588</v>
      </c>
      <c r="S1414" s="2">
        <v>9</v>
      </c>
      <c r="T1414" t="s">
        <v>46</v>
      </c>
      <c r="U1414">
        <v>4</v>
      </c>
    </row>
    <row r="1415" spans="1:21" x14ac:dyDescent="0.25">
      <c r="A1415" s="1">
        <v>46073</v>
      </c>
      <c r="B1415" t="s">
        <v>1609</v>
      </c>
      <c r="C1415" t="s">
        <v>375</v>
      </c>
      <c r="D1415" t="s">
        <v>24</v>
      </c>
      <c r="E1415" t="s">
        <v>25</v>
      </c>
      <c r="F1415" t="s">
        <v>58</v>
      </c>
      <c r="G1415" t="s">
        <v>51</v>
      </c>
      <c r="H1415" t="s">
        <v>59</v>
      </c>
      <c r="I1415" t="s">
        <v>60</v>
      </c>
      <c r="J1415" s="2">
        <v>6</v>
      </c>
      <c r="K1415" s="3">
        <v>2175.16</v>
      </c>
      <c r="L1415" s="3">
        <v>1422.35</v>
      </c>
      <c r="M1415" s="4">
        <v>4.1500000000000002E-2</v>
      </c>
      <c r="N1415" s="3">
        <f t="shared" si="110"/>
        <v>13050.96</v>
      </c>
      <c r="O1415" s="3">
        <f t="shared" si="111"/>
        <v>12509.35</v>
      </c>
      <c r="P1415" s="3">
        <f t="shared" si="112"/>
        <v>8534.1</v>
      </c>
      <c r="Q1415" s="3">
        <f t="shared" si="113"/>
        <v>3975.25</v>
      </c>
      <c r="R1415" s="4">
        <f t="shared" si="114"/>
        <v>0.31780000000000003</v>
      </c>
      <c r="S1415" s="2">
        <v>10</v>
      </c>
      <c r="T1415" t="s">
        <v>46</v>
      </c>
      <c r="U1415">
        <v>5</v>
      </c>
    </row>
    <row r="1416" spans="1:21" x14ac:dyDescent="0.25">
      <c r="A1416" s="1">
        <v>46084</v>
      </c>
      <c r="B1416" t="s">
        <v>1610</v>
      </c>
      <c r="C1416" t="s">
        <v>525</v>
      </c>
      <c r="D1416" t="s">
        <v>207</v>
      </c>
      <c r="E1416" t="s">
        <v>35</v>
      </c>
      <c r="F1416" t="s">
        <v>58</v>
      </c>
      <c r="G1416" t="s">
        <v>27</v>
      </c>
      <c r="H1416" t="s">
        <v>86</v>
      </c>
      <c r="I1416" t="s">
        <v>39</v>
      </c>
      <c r="J1416" s="2">
        <v>3</v>
      </c>
      <c r="K1416" s="3">
        <v>1944.61</v>
      </c>
      <c r="L1416" s="3">
        <v>1172.8499999999999</v>
      </c>
      <c r="M1416" s="4">
        <v>3.5000000000000003E-2</v>
      </c>
      <c r="N1416" s="3">
        <f t="shared" si="110"/>
        <v>5833.83</v>
      </c>
      <c r="O1416" s="3">
        <f t="shared" si="111"/>
        <v>5629.65</v>
      </c>
      <c r="P1416" s="3">
        <f t="shared" si="112"/>
        <v>3518.55</v>
      </c>
      <c r="Q1416" s="3">
        <f t="shared" si="113"/>
        <v>2111.1</v>
      </c>
      <c r="R1416" s="4">
        <f t="shared" si="114"/>
        <v>0.375</v>
      </c>
      <c r="S1416" s="2">
        <v>6</v>
      </c>
      <c r="T1416" t="s">
        <v>46</v>
      </c>
      <c r="U1416">
        <v>3</v>
      </c>
    </row>
    <row r="1417" spans="1:21" x14ac:dyDescent="0.25">
      <c r="A1417" s="1">
        <v>46044</v>
      </c>
      <c r="B1417" t="s">
        <v>1611</v>
      </c>
      <c r="C1417" t="s">
        <v>381</v>
      </c>
      <c r="D1417" t="s">
        <v>34</v>
      </c>
      <c r="E1417" t="s">
        <v>35</v>
      </c>
      <c r="F1417" t="s">
        <v>58</v>
      </c>
      <c r="G1417" t="s">
        <v>37</v>
      </c>
      <c r="H1417" t="s">
        <v>178</v>
      </c>
      <c r="I1417" t="s">
        <v>39</v>
      </c>
      <c r="J1417" s="2">
        <v>2</v>
      </c>
      <c r="K1417" s="3">
        <v>503.88</v>
      </c>
      <c r="L1417" s="3">
        <v>235.05</v>
      </c>
      <c r="M1417" s="4">
        <v>0.14219999999999999</v>
      </c>
      <c r="N1417" s="3">
        <f t="shared" si="110"/>
        <v>1007.76</v>
      </c>
      <c r="O1417" s="3">
        <f t="shared" si="111"/>
        <v>864.46</v>
      </c>
      <c r="P1417" s="3">
        <f t="shared" si="112"/>
        <v>470.1</v>
      </c>
      <c r="Q1417" s="3">
        <f t="shared" si="113"/>
        <v>394.36</v>
      </c>
      <c r="R1417" s="4">
        <f t="shared" si="114"/>
        <v>0.45619999999999999</v>
      </c>
      <c r="S1417" s="2">
        <v>13</v>
      </c>
      <c r="T1417" t="s">
        <v>30</v>
      </c>
      <c r="U1417">
        <v>2</v>
      </c>
    </row>
    <row r="1418" spans="1:21" x14ac:dyDescent="0.25">
      <c r="A1418" s="1">
        <v>46120</v>
      </c>
      <c r="B1418" t="s">
        <v>1612</v>
      </c>
      <c r="C1418" t="s">
        <v>180</v>
      </c>
      <c r="D1418" t="s">
        <v>126</v>
      </c>
      <c r="E1418" t="s">
        <v>57</v>
      </c>
      <c r="F1418" t="s">
        <v>58</v>
      </c>
      <c r="G1418" t="s">
        <v>44</v>
      </c>
      <c r="H1418" t="s">
        <v>45</v>
      </c>
      <c r="I1418" t="s">
        <v>39</v>
      </c>
      <c r="J1418" s="2">
        <v>6</v>
      </c>
      <c r="K1418" s="3">
        <v>391.85</v>
      </c>
      <c r="L1418" s="3">
        <v>215.58</v>
      </c>
      <c r="M1418" s="4">
        <v>3.5000000000000003E-2</v>
      </c>
      <c r="N1418" s="3">
        <f t="shared" si="110"/>
        <v>2351.1</v>
      </c>
      <c r="O1418" s="3">
        <f t="shared" si="111"/>
        <v>2268.81</v>
      </c>
      <c r="P1418" s="3">
        <f t="shared" si="112"/>
        <v>1293.48</v>
      </c>
      <c r="Q1418" s="3">
        <f t="shared" si="113"/>
        <v>975.33</v>
      </c>
      <c r="R1418" s="4">
        <f t="shared" si="114"/>
        <v>0.4299</v>
      </c>
      <c r="S1418" s="2">
        <v>9</v>
      </c>
      <c r="T1418" t="s">
        <v>46</v>
      </c>
      <c r="U1418">
        <v>3</v>
      </c>
    </row>
    <row r="1419" spans="1:21" x14ac:dyDescent="0.25">
      <c r="A1419" s="1">
        <v>46084</v>
      </c>
      <c r="B1419" t="s">
        <v>1613</v>
      </c>
      <c r="C1419" t="s">
        <v>476</v>
      </c>
      <c r="D1419" t="s">
        <v>139</v>
      </c>
      <c r="E1419" t="s">
        <v>72</v>
      </c>
      <c r="F1419" t="s">
        <v>64</v>
      </c>
      <c r="G1419" t="s">
        <v>44</v>
      </c>
      <c r="H1419" t="s">
        <v>73</v>
      </c>
      <c r="I1419" t="s">
        <v>94</v>
      </c>
      <c r="J1419" s="2">
        <v>8</v>
      </c>
      <c r="K1419" s="3">
        <v>1606.57</v>
      </c>
      <c r="L1419" s="3">
        <v>1084.5899999999999</v>
      </c>
      <c r="M1419" s="4">
        <v>0</v>
      </c>
      <c r="N1419" s="3">
        <f t="shared" si="110"/>
        <v>12852.56</v>
      </c>
      <c r="O1419" s="3">
        <f t="shared" si="111"/>
        <v>12852.56</v>
      </c>
      <c r="P1419" s="3">
        <f t="shared" si="112"/>
        <v>8676.7199999999993</v>
      </c>
      <c r="Q1419" s="3">
        <f t="shared" si="113"/>
        <v>4175.84</v>
      </c>
      <c r="R1419" s="4">
        <f t="shared" si="114"/>
        <v>0.32490000000000002</v>
      </c>
      <c r="S1419" s="2">
        <v>7</v>
      </c>
      <c r="T1419" t="s">
        <v>46</v>
      </c>
      <c r="U1419">
        <v>5</v>
      </c>
    </row>
    <row r="1420" spans="1:21" x14ac:dyDescent="0.25">
      <c r="A1420" s="1">
        <v>46175</v>
      </c>
      <c r="B1420" t="s">
        <v>1614</v>
      </c>
      <c r="C1420" t="s">
        <v>609</v>
      </c>
      <c r="D1420" t="s">
        <v>207</v>
      </c>
      <c r="E1420" t="s">
        <v>35</v>
      </c>
      <c r="F1420" t="s">
        <v>36</v>
      </c>
      <c r="G1420" t="s">
        <v>27</v>
      </c>
      <c r="H1420" t="s">
        <v>68</v>
      </c>
      <c r="I1420" t="s">
        <v>39</v>
      </c>
      <c r="J1420" s="2">
        <v>5</v>
      </c>
      <c r="K1420" s="3">
        <v>1335.1</v>
      </c>
      <c r="L1420" s="3">
        <v>762.16</v>
      </c>
      <c r="M1420" s="4">
        <v>2.0500000000000001E-2</v>
      </c>
      <c r="N1420" s="3">
        <f t="shared" si="110"/>
        <v>6675.5</v>
      </c>
      <c r="O1420" s="3">
        <f t="shared" si="111"/>
        <v>6538.65</v>
      </c>
      <c r="P1420" s="3">
        <f t="shared" si="112"/>
        <v>3810.8</v>
      </c>
      <c r="Q1420" s="3">
        <f t="shared" si="113"/>
        <v>2727.85</v>
      </c>
      <c r="R1420" s="4">
        <f t="shared" si="114"/>
        <v>0.41720000000000002</v>
      </c>
      <c r="S1420" s="2">
        <v>14</v>
      </c>
      <c r="T1420" t="s">
        <v>30</v>
      </c>
      <c r="U1420">
        <v>2</v>
      </c>
    </row>
    <row r="1421" spans="1:21" x14ac:dyDescent="0.25">
      <c r="A1421" s="1">
        <v>46151</v>
      </c>
      <c r="B1421" t="s">
        <v>1615</v>
      </c>
      <c r="C1421" t="s">
        <v>42</v>
      </c>
      <c r="D1421" t="s">
        <v>121</v>
      </c>
      <c r="E1421" t="s">
        <v>72</v>
      </c>
      <c r="F1421" t="s">
        <v>26</v>
      </c>
      <c r="G1421" t="s">
        <v>51</v>
      </c>
      <c r="H1421" t="s">
        <v>52</v>
      </c>
      <c r="I1421" t="s">
        <v>74</v>
      </c>
      <c r="J1421" s="2">
        <v>6</v>
      </c>
      <c r="K1421" s="3">
        <v>249.35</v>
      </c>
      <c r="L1421" s="3">
        <v>119.34</v>
      </c>
      <c r="M1421" s="4">
        <v>0</v>
      </c>
      <c r="N1421" s="3">
        <f t="shared" si="110"/>
        <v>1496.1</v>
      </c>
      <c r="O1421" s="3">
        <f t="shared" si="111"/>
        <v>1496.1</v>
      </c>
      <c r="P1421" s="3">
        <f t="shared" si="112"/>
        <v>716.04</v>
      </c>
      <c r="Q1421" s="3">
        <f t="shared" si="113"/>
        <v>780.06</v>
      </c>
      <c r="R1421" s="4">
        <f t="shared" si="114"/>
        <v>0.52139999999999997</v>
      </c>
      <c r="S1421" s="2">
        <v>12</v>
      </c>
      <c r="T1421" t="s">
        <v>30</v>
      </c>
      <c r="U1421">
        <v>2</v>
      </c>
    </row>
    <row r="1422" spans="1:21" x14ac:dyDescent="0.25">
      <c r="A1422" s="1">
        <v>46098</v>
      </c>
      <c r="B1422" t="s">
        <v>1616</v>
      </c>
      <c r="C1422" t="s">
        <v>214</v>
      </c>
      <c r="D1422" t="s">
        <v>139</v>
      </c>
      <c r="E1422" t="s">
        <v>72</v>
      </c>
      <c r="F1422" t="s">
        <v>36</v>
      </c>
      <c r="G1422" t="s">
        <v>27</v>
      </c>
      <c r="H1422" t="s">
        <v>68</v>
      </c>
      <c r="I1422" t="s">
        <v>60</v>
      </c>
      <c r="J1422" s="2">
        <v>4</v>
      </c>
      <c r="K1422" s="3">
        <v>1218.92</v>
      </c>
      <c r="L1422" s="3">
        <v>771.79</v>
      </c>
      <c r="M1422" s="4">
        <v>0</v>
      </c>
      <c r="N1422" s="3">
        <f t="shared" si="110"/>
        <v>4875.68</v>
      </c>
      <c r="O1422" s="3">
        <f t="shared" si="111"/>
        <v>4875.68</v>
      </c>
      <c r="P1422" s="3">
        <f t="shared" si="112"/>
        <v>3087.16</v>
      </c>
      <c r="Q1422" s="3">
        <f t="shared" si="113"/>
        <v>1788.52</v>
      </c>
      <c r="R1422" s="4">
        <f t="shared" si="114"/>
        <v>0.36680000000000001</v>
      </c>
      <c r="S1422" s="2">
        <v>14</v>
      </c>
      <c r="T1422" t="s">
        <v>30</v>
      </c>
      <c r="U1422">
        <v>4</v>
      </c>
    </row>
    <row r="1423" spans="1:21" x14ac:dyDescent="0.25">
      <c r="A1423" s="1">
        <v>46207</v>
      </c>
      <c r="B1423" t="s">
        <v>1617</v>
      </c>
      <c r="C1423" t="s">
        <v>79</v>
      </c>
      <c r="D1423" t="s">
        <v>56</v>
      </c>
      <c r="E1423" t="s">
        <v>57</v>
      </c>
      <c r="F1423" t="s">
        <v>64</v>
      </c>
      <c r="G1423" t="s">
        <v>44</v>
      </c>
      <c r="H1423" t="s">
        <v>73</v>
      </c>
      <c r="I1423" t="s">
        <v>74</v>
      </c>
      <c r="J1423" s="2">
        <v>1</v>
      </c>
      <c r="K1423" s="3">
        <v>1700.94</v>
      </c>
      <c r="L1423" s="3">
        <v>1089.17</v>
      </c>
      <c r="M1423" s="4">
        <v>1.8800000000000001E-2</v>
      </c>
      <c r="N1423" s="3">
        <f t="shared" si="110"/>
        <v>1700.94</v>
      </c>
      <c r="O1423" s="3">
        <f t="shared" si="111"/>
        <v>1668.96</v>
      </c>
      <c r="P1423" s="3">
        <f t="shared" si="112"/>
        <v>1089.17</v>
      </c>
      <c r="Q1423" s="3">
        <f t="shared" si="113"/>
        <v>579.79</v>
      </c>
      <c r="R1423" s="4">
        <f t="shared" si="114"/>
        <v>0.34739999999999999</v>
      </c>
      <c r="S1423" s="2">
        <v>11</v>
      </c>
      <c r="T1423" t="s">
        <v>30</v>
      </c>
      <c r="U1423">
        <v>5</v>
      </c>
    </row>
    <row r="1424" spans="1:21" x14ac:dyDescent="0.25">
      <c r="A1424" s="1">
        <v>46153</v>
      </c>
      <c r="B1424" t="s">
        <v>1618</v>
      </c>
      <c r="C1424" t="s">
        <v>120</v>
      </c>
      <c r="D1424" t="s">
        <v>63</v>
      </c>
      <c r="E1424" t="s">
        <v>35</v>
      </c>
      <c r="F1424" t="s">
        <v>36</v>
      </c>
      <c r="G1424" t="s">
        <v>44</v>
      </c>
      <c r="H1424" t="s">
        <v>73</v>
      </c>
      <c r="I1424" t="s">
        <v>29</v>
      </c>
      <c r="J1424" s="2">
        <v>5</v>
      </c>
      <c r="K1424" s="3">
        <v>1624.31</v>
      </c>
      <c r="L1424" s="3">
        <v>1072.6099999999999</v>
      </c>
      <c r="M1424" s="4">
        <v>0.11990000000000001</v>
      </c>
      <c r="N1424" s="3">
        <f t="shared" si="110"/>
        <v>8121.55</v>
      </c>
      <c r="O1424" s="3">
        <f t="shared" si="111"/>
        <v>7147.78</v>
      </c>
      <c r="P1424" s="3">
        <f t="shared" si="112"/>
        <v>5363.05</v>
      </c>
      <c r="Q1424" s="3">
        <f t="shared" si="113"/>
        <v>1784.73</v>
      </c>
      <c r="R1424" s="4">
        <f t="shared" si="114"/>
        <v>0.24970000000000001</v>
      </c>
      <c r="S1424" s="2">
        <v>3</v>
      </c>
      <c r="T1424" t="s">
        <v>46</v>
      </c>
      <c r="U1424">
        <v>3</v>
      </c>
    </row>
    <row r="1425" spans="1:21" x14ac:dyDescent="0.25">
      <c r="A1425" s="1">
        <v>46150</v>
      </c>
      <c r="B1425" t="s">
        <v>1619</v>
      </c>
      <c r="C1425" t="s">
        <v>224</v>
      </c>
      <c r="D1425" t="s">
        <v>85</v>
      </c>
      <c r="E1425" t="s">
        <v>50</v>
      </c>
      <c r="F1425" t="s">
        <v>64</v>
      </c>
      <c r="G1425" t="s">
        <v>51</v>
      </c>
      <c r="H1425" t="s">
        <v>116</v>
      </c>
      <c r="I1425" t="s">
        <v>87</v>
      </c>
      <c r="J1425" s="2">
        <v>3</v>
      </c>
      <c r="K1425" s="3">
        <v>2809.41</v>
      </c>
      <c r="L1425" s="3">
        <v>1834.65</v>
      </c>
      <c r="M1425" s="4">
        <v>6.2E-2</v>
      </c>
      <c r="N1425" s="3">
        <f t="shared" si="110"/>
        <v>8428.23</v>
      </c>
      <c r="O1425" s="3">
        <f t="shared" si="111"/>
        <v>7905.68</v>
      </c>
      <c r="P1425" s="3">
        <f t="shared" si="112"/>
        <v>5503.95</v>
      </c>
      <c r="Q1425" s="3">
        <f t="shared" si="113"/>
        <v>2401.73</v>
      </c>
      <c r="R1425" s="4">
        <f t="shared" si="114"/>
        <v>0.30380000000000001</v>
      </c>
      <c r="S1425" s="2">
        <v>10</v>
      </c>
      <c r="T1425" t="s">
        <v>46</v>
      </c>
      <c r="U1425">
        <v>4</v>
      </c>
    </row>
    <row r="1426" spans="1:21" x14ac:dyDescent="0.25">
      <c r="A1426" s="1">
        <v>46229</v>
      </c>
      <c r="B1426" t="s">
        <v>1620</v>
      </c>
      <c r="C1426" t="s">
        <v>195</v>
      </c>
      <c r="D1426" t="s">
        <v>71</v>
      </c>
      <c r="E1426" t="s">
        <v>72</v>
      </c>
      <c r="F1426" t="s">
        <v>64</v>
      </c>
      <c r="G1426" t="s">
        <v>51</v>
      </c>
      <c r="H1426" t="s">
        <v>59</v>
      </c>
      <c r="I1426" t="s">
        <v>94</v>
      </c>
      <c r="J1426" s="2">
        <v>5</v>
      </c>
      <c r="K1426" s="3">
        <v>2124.4699999999998</v>
      </c>
      <c r="L1426" s="3">
        <v>1484.05</v>
      </c>
      <c r="M1426" s="4">
        <v>0</v>
      </c>
      <c r="N1426" s="3">
        <f t="shared" si="110"/>
        <v>10622.35</v>
      </c>
      <c r="O1426" s="3">
        <f t="shared" si="111"/>
        <v>10622.35</v>
      </c>
      <c r="P1426" s="3">
        <f t="shared" si="112"/>
        <v>7420.25</v>
      </c>
      <c r="Q1426" s="3">
        <f t="shared" si="113"/>
        <v>3202.1</v>
      </c>
      <c r="R1426" s="4">
        <f t="shared" si="114"/>
        <v>0.3014</v>
      </c>
      <c r="S1426" s="2">
        <v>13</v>
      </c>
      <c r="T1426" t="s">
        <v>30</v>
      </c>
      <c r="U1426">
        <v>2</v>
      </c>
    </row>
    <row r="1427" spans="1:21" x14ac:dyDescent="0.25">
      <c r="A1427" s="1">
        <v>46178</v>
      </c>
      <c r="B1427" t="s">
        <v>1621</v>
      </c>
      <c r="C1427" t="s">
        <v>275</v>
      </c>
      <c r="D1427" t="s">
        <v>139</v>
      </c>
      <c r="E1427" t="s">
        <v>72</v>
      </c>
      <c r="F1427" t="s">
        <v>64</v>
      </c>
      <c r="G1427" t="s">
        <v>27</v>
      </c>
      <c r="H1427" t="s">
        <v>86</v>
      </c>
      <c r="I1427" t="s">
        <v>65</v>
      </c>
      <c r="J1427" s="2">
        <v>1</v>
      </c>
      <c r="K1427" s="3">
        <v>1968.96</v>
      </c>
      <c r="L1427" s="3">
        <v>1207.73</v>
      </c>
      <c r="M1427" s="4">
        <v>7.1900000000000006E-2</v>
      </c>
      <c r="N1427" s="3">
        <f t="shared" si="110"/>
        <v>1968.96</v>
      </c>
      <c r="O1427" s="3">
        <f t="shared" si="111"/>
        <v>1827.39</v>
      </c>
      <c r="P1427" s="3">
        <f t="shared" si="112"/>
        <v>1207.73</v>
      </c>
      <c r="Q1427" s="3">
        <f t="shared" si="113"/>
        <v>619.66</v>
      </c>
      <c r="R1427" s="4">
        <f t="shared" si="114"/>
        <v>0.33910000000000001</v>
      </c>
      <c r="S1427" s="2">
        <v>3</v>
      </c>
      <c r="T1427" t="s">
        <v>46</v>
      </c>
      <c r="U1427">
        <v>3</v>
      </c>
    </row>
    <row r="1428" spans="1:21" x14ac:dyDescent="0.25">
      <c r="A1428" s="1">
        <v>46039</v>
      </c>
      <c r="B1428" t="s">
        <v>1622</v>
      </c>
      <c r="C1428" t="s">
        <v>243</v>
      </c>
      <c r="D1428" t="s">
        <v>63</v>
      </c>
      <c r="E1428" t="s">
        <v>35</v>
      </c>
      <c r="F1428" t="s">
        <v>36</v>
      </c>
      <c r="G1428" t="s">
        <v>44</v>
      </c>
      <c r="H1428" t="s">
        <v>45</v>
      </c>
      <c r="I1428" t="s">
        <v>74</v>
      </c>
      <c r="J1428" s="2">
        <v>3</v>
      </c>
      <c r="K1428" s="3">
        <v>390.52</v>
      </c>
      <c r="L1428" s="3">
        <v>214.9</v>
      </c>
      <c r="M1428" s="4">
        <v>9.4299999999999995E-2</v>
      </c>
      <c r="N1428" s="3">
        <f t="shared" si="110"/>
        <v>1171.56</v>
      </c>
      <c r="O1428" s="3">
        <f t="shared" si="111"/>
        <v>1061.08</v>
      </c>
      <c r="P1428" s="3">
        <f t="shared" si="112"/>
        <v>644.70000000000005</v>
      </c>
      <c r="Q1428" s="3">
        <f t="shared" si="113"/>
        <v>416.38</v>
      </c>
      <c r="R1428" s="4">
        <f t="shared" si="114"/>
        <v>0.39240000000000003</v>
      </c>
      <c r="S1428" s="2">
        <v>6</v>
      </c>
      <c r="T1428" t="s">
        <v>46</v>
      </c>
      <c r="U1428">
        <v>2</v>
      </c>
    </row>
    <row r="1429" spans="1:21" x14ac:dyDescent="0.25">
      <c r="A1429" s="1">
        <v>46109</v>
      </c>
      <c r="B1429" t="s">
        <v>1623</v>
      </c>
      <c r="C1429" t="s">
        <v>153</v>
      </c>
      <c r="D1429" t="s">
        <v>49</v>
      </c>
      <c r="E1429" t="s">
        <v>50</v>
      </c>
      <c r="F1429" t="s">
        <v>64</v>
      </c>
      <c r="G1429" t="s">
        <v>37</v>
      </c>
      <c r="H1429" t="s">
        <v>104</v>
      </c>
      <c r="I1429" t="s">
        <v>29</v>
      </c>
      <c r="J1429" s="2">
        <v>6</v>
      </c>
      <c r="K1429" s="3">
        <v>320.12</v>
      </c>
      <c r="L1429" s="3">
        <v>131.74</v>
      </c>
      <c r="M1429" s="4">
        <v>0</v>
      </c>
      <c r="N1429" s="3">
        <f t="shared" si="110"/>
        <v>1920.72</v>
      </c>
      <c r="O1429" s="3">
        <f t="shared" si="111"/>
        <v>1920.72</v>
      </c>
      <c r="P1429" s="3">
        <f t="shared" si="112"/>
        <v>790.44</v>
      </c>
      <c r="Q1429" s="3">
        <f t="shared" si="113"/>
        <v>1130.28</v>
      </c>
      <c r="R1429" s="4">
        <f t="shared" si="114"/>
        <v>0.58850000000000002</v>
      </c>
      <c r="S1429" s="2">
        <v>4</v>
      </c>
      <c r="T1429" t="s">
        <v>46</v>
      </c>
      <c r="U1429">
        <v>2</v>
      </c>
    </row>
    <row r="1430" spans="1:21" x14ac:dyDescent="0.25">
      <c r="A1430" s="1">
        <v>46042</v>
      </c>
      <c r="B1430" t="s">
        <v>1624</v>
      </c>
      <c r="C1430" t="s">
        <v>23</v>
      </c>
      <c r="D1430" t="s">
        <v>49</v>
      </c>
      <c r="E1430" t="s">
        <v>50</v>
      </c>
      <c r="F1430" t="s">
        <v>58</v>
      </c>
      <c r="G1430" t="s">
        <v>51</v>
      </c>
      <c r="H1430" t="s">
        <v>59</v>
      </c>
      <c r="I1430" t="s">
        <v>29</v>
      </c>
      <c r="J1430" s="2">
        <v>8</v>
      </c>
      <c r="K1430" s="3">
        <v>2072.87</v>
      </c>
      <c r="L1430" s="3">
        <v>1434.18</v>
      </c>
      <c r="M1430" s="4">
        <v>0.1182</v>
      </c>
      <c r="N1430" s="3">
        <f t="shared" si="110"/>
        <v>16582.96</v>
      </c>
      <c r="O1430" s="3">
        <f t="shared" si="111"/>
        <v>14622.85</v>
      </c>
      <c r="P1430" s="3">
        <f t="shared" si="112"/>
        <v>11473.44</v>
      </c>
      <c r="Q1430" s="3">
        <f t="shared" si="113"/>
        <v>3149.41</v>
      </c>
      <c r="R1430" s="4">
        <f t="shared" si="114"/>
        <v>0.21540000000000001</v>
      </c>
      <c r="S1430" s="2">
        <v>4</v>
      </c>
      <c r="T1430" t="s">
        <v>46</v>
      </c>
      <c r="U1430">
        <v>2</v>
      </c>
    </row>
    <row r="1431" spans="1:21" x14ac:dyDescent="0.25">
      <c r="A1431" s="1">
        <v>46154</v>
      </c>
      <c r="B1431" t="s">
        <v>1625</v>
      </c>
      <c r="C1431" t="s">
        <v>33</v>
      </c>
      <c r="D1431" t="s">
        <v>207</v>
      </c>
      <c r="E1431" t="s">
        <v>35</v>
      </c>
      <c r="F1431" t="s">
        <v>26</v>
      </c>
      <c r="G1431" t="s">
        <v>37</v>
      </c>
      <c r="H1431" t="s">
        <v>38</v>
      </c>
      <c r="I1431" t="s">
        <v>53</v>
      </c>
      <c r="J1431" s="2">
        <v>1</v>
      </c>
      <c r="K1431" s="3">
        <v>443.75</v>
      </c>
      <c r="L1431" s="3">
        <v>196.22</v>
      </c>
      <c r="M1431" s="4">
        <v>8.3799999999999999E-2</v>
      </c>
      <c r="N1431" s="3">
        <f t="shared" si="110"/>
        <v>443.75</v>
      </c>
      <c r="O1431" s="3">
        <f t="shared" si="111"/>
        <v>406.56</v>
      </c>
      <c r="P1431" s="3">
        <f t="shared" si="112"/>
        <v>196.22</v>
      </c>
      <c r="Q1431" s="3">
        <f t="shared" si="113"/>
        <v>210.34</v>
      </c>
      <c r="R1431" s="4">
        <f t="shared" si="114"/>
        <v>0.51739999999999997</v>
      </c>
      <c r="S1431" s="2">
        <v>5</v>
      </c>
      <c r="T1431" t="s">
        <v>46</v>
      </c>
      <c r="U1431">
        <v>3</v>
      </c>
    </row>
    <row r="1432" spans="1:21" x14ac:dyDescent="0.25">
      <c r="A1432" s="1">
        <v>46141</v>
      </c>
      <c r="B1432" t="s">
        <v>1626</v>
      </c>
      <c r="C1432" t="s">
        <v>164</v>
      </c>
      <c r="D1432" t="s">
        <v>34</v>
      </c>
      <c r="E1432" t="s">
        <v>35</v>
      </c>
      <c r="F1432" t="s">
        <v>26</v>
      </c>
      <c r="G1432" t="s">
        <v>37</v>
      </c>
      <c r="H1432" t="s">
        <v>38</v>
      </c>
      <c r="I1432" t="s">
        <v>39</v>
      </c>
      <c r="J1432" s="2">
        <v>4</v>
      </c>
      <c r="K1432" s="3">
        <v>427.5</v>
      </c>
      <c r="L1432" s="3">
        <v>198.85</v>
      </c>
      <c r="M1432" s="4">
        <v>4.9700000000000001E-2</v>
      </c>
      <c r="N1432" s="3">
        <f t="shared" si="110"/>
        <v>1710</v>
      </c>
      <c r="O1432" s="3">
        <f t="shared" si="111"/>
        <v>1625.01</v>
      </c>
      <c r="P1432" s="3">
        <f t="shared" si="112"/>
        <v>795.4</v>
      </c>
      <c r="Q1432" s="3">
        <f t="shared" si="113"/>
        <v>829.61</v>
      </c>
      <c r="R1432" s="4">
        <f t="shared" si="114"/>
        <v>0.51049999999999995</v>
      </c>
      <c r="S1432" s="2">
        <v>2</v>
      </c>
      <c r="T1432" t="s">
        <v>46</v>
      </c>
      <c r="U1432">
        <v>2</v>
      </c>
    </row>
    <row r="1433" spans="1:21" x14ac:dyDescent="0.25">
      <c r="A1433" s="1">
        <v>46198</v>
      </c>
      <c r="B1433" t="s">
        <v>1627</v>
      </c>
      <c r="C1433" t="s">
        <v>218</v>
      </c>
      <c r="D1433" t="s">
        <v>126</v>
      </c>
      <c r="E1433" t="s">
        <v>57</v>
      </c>
      <c r="F1433" t="s">
        <v>58</v>
      </c>
      <c r="G1433" t="s">
        <v>44</v>
      </c>
      <c r="H1433" t="s">
        <v>45</v>
      </c>
      <c r="I1433" t="s">
        <v>60</v>
      </c>
      <c r="J1433" s="2">
        <v>5</v>
      </c>
      <c r="K1433" s="3">
        <v>402.65</v>
      </c>
      <c r="L1433" s="3">
        <v>201.69</v>
      </c>
      <c r="M1433" s="4">
        <v>0.1086</v>
      </c>
      <c r="N1433" s="3">
        <f t="shared" si="110"/>
        <v>2013.25</v>
      </c>
      <c r="O1433" s="3">
        <f t="shared" si="111"/>
        <v>1794.61</v>
      </c>
      <c r="P1433" s="3">
        <f t="shared" si="112"/>
        <v>1008.45</v>
      </c>
      <c r="Q1433" s="3">
        <f t="shared" si="113"/>
        <v>786.16</v>
      </c>
      <c r="R1433" s="4">
        <f t="shared" si="114"/>
        <v>0.43809999999999999</v>
      </c>
      <c r="S1433" s="2">
        <v>14</v>
      </c>
      <c r="T1433" t="s">
        <v>30</v>
      </c>
      <c r="U1433">
        <v>2</v>
      </c>
    </row>
    <row r="1434" spans="1:21" x14ac:dyDescent="0.25">
      <c r="A1434" s="1">
        <v>46175</v>
      </c>
      <c r="B1434" t="s">
        <v>1628</v>
      </c>
      <c r="C1434" t="s">
        <v>433</v>
      </c>
      <c r="D1434" t="s">
        <v>43</v>
      </c>
      <c r="E1434" t="s">
        <v>25</v>
      </c>
      <c r="F1434" t="s">
        <v>26</v>
      </c>
      <c r="G1434" t="s">
        <v>51</v>
      </c>
      <c r="H1434" t="s">
        <v>52</v>
      </c>
      <c r="I1434" t="s">
        <v>53</v>
      </c>
      <c r="J1434" s="2">
        <v>5</v>
      </c>
      <c r="K1434" s="3">
        <v>274.44</v>
      </c>
      <c r="L1434" s="3">
        <v>124.11</v>
      </c>
      <c r="M1434" s="4">
        <v>8.2000000000000003E-2</v>
      </c>
      <c r="N1434" s="3">
        <f t="shared" si="110"/>
        <v>1372.2</v>
      </c>
      <c r="O1434" s="3">
        <f t="shared" si="111"/>
        <v>1259.68</v>
      </c>
      <c r="P1434" s="3">
        <f t="shared" si="112"/>
        <v>620.54999999999995</v>
      </c>
      <c r="Q1434" s="3">
        <f t="shared" si="113"/>
        <v>639.13</v>
      </c>
      <c r="R1434" s="4">
        <f t="shared" si="114"/>
        <v>0.50739999999999996</v>
      </c>
      <c r="S1434" s="2">
        <v>8</v>
      </c>
      <c r="T1434" t="s">
        <v>46</v>
      </c>
      <c r="U1434">
        <v>5</v>
      </c>
    </row>
    <row r="1435" spans="1:21" x14ac:dyDescent="0.25">
      <c r="A1435" s="1">
        <v>46158</v>
      </c>
      <c r="B1435" t="s">
        <v>1629</v>
      </c>
      <c r="C1435" t="s">
        <v>150</v>
      </c>
      <c r="D1435" t="s">
        <v>207</v>
      </c>
      <c r="E1435" t="s">
        <v>35</v>
      </c>
      <c r="F1435" t="s">
        <v>58</v>
      </c>
      <c r="G1435" t="s">
        <v>37</v>
      </c>
      <c r="H1435" t="s">
        <v>38</v>
      </c>
      <c r="I1435" t="s">
        <v>87</v>
      </c>
      <c r="J1435" s="2">
        <v>6</v>
      </c>
      <c r="K1435" s="3">
        <v>421.91</v>
      </c>
      <c r="L1435" s="3">
        <v>195.82</v>
      </c>
      <c r="M1435" s="4">
        <v>3.5000000000000003E-2</v>
      </c>
      <c r="N1435" s="3">
        <f t="shared" si="110"/>
        <v>2531.46</v>
      </c>
      <c r="O1435" s="3">
        <f t="shared" si="111"/>
        <v>2442.86</v>
      </c>
      <c r="P1435" s="3">
        <f t="shared" si="112"/>
        <v>1174.92</v>
      </c>
      <c r="Q1435" s="3">
        <f t="shared" si="113"/>
        <v>1267.94</v>
      </c>
      <c r="R1435" s="4">
        <f t="shared" si="114"/>
        <v>0.51900000000000002</v>
      </c>
      <c r="S1435" s="2">
        <v>8</v>
      </c>
      <c r="T1435" t="s">
        <v>46</v>
      </c>
      <c r="U1435">
        <v>4</v>
      </c>
    </row>
    <row r="1436" spans="1:21" x14ac:dyDescent="0.25">
      <c r="A1436" s="1">
        <v>46122</v>
      </c>
      <c r="B1436" t="s">
        <v>1630</v>
      </c>
      <c r="C1436" t="s">
        <v>174</v>
      </c>
      <c r="D1436" t="s">
        <v>24</v>
      </c>
      <c r="E1436" t="s">
        <v>25</v>
      </c>
      <c r="F1436" t="s">
        <v>64</v>
      </c>
      <c r="G1436" t="s">
        <v>44</v>
      </c>
      <c r="H1436" t="s">
        <v>124</v>
      </c>
      <c r="I1436" t="s">
        <v>29</v>
      </c>
      <c r="J1436" s="2">
        <v>7</v>
      </c>
      <c r="K1436" s="3">
        <v>5580.23</v>
      </c>
      <c r="L1436" s="3">
        <v>4501.28</v>
      </c>
      <c r="M1436" s="4">
        <v>5.0900000000000001E-2</v>
      </c>
      <c r="N1436" s="3">
        <f t="shared" si="110"/>
        <v>39061.61</v>
      </c>
      <c r="O1436" s="3">
        <f t="shared" si="111"/>
        <v>37073.370000000003</v>
      </c>
      <c r="P1436" s="3">
        <f t="shared" si="112"/>
        <v>31508.959999999999</v>
      </c>
      <c r="Q1436" s="3">
        <f t="shared" si="113"/>
        <v>5564.41</v>
      </c>
      <c r="R1436" s="4">
        <f t="shared" si="114"/>
        <v>0.15010000000000001</v>
      </c>
      <c r="S1436" s="2">
        <v>9</v>
      </c>
      <c r="T1436" t="s">
        <v>46</v>
      </c>
      <c r="U1436">
        <v>3</v>
      </c>
    </row>
    <row r="1437" spans="1:21" x14ac:dyDescent="0.25">
      <c r="A1437" s="1">
        <v>46097</v>
      </c>
      <c r="B1437" t="s">
        <v>1631</v>
      </c>
      <c r="C1437" t="s">
        <v>514</v>
      </c>
      <c r="D1437" t="s">
        <v>101</v>
      </c>
      <c r="E1437" t="s">
        <v>35</v>
      </c>
      <c r="F1437" t="s">
        <v>64</v>
      </c>
      <c r="G1437" t="s">
        <v>27</v>
      </c>
      <c r="H1437" t="s">
        <v>86</v>
      </c>
      <c r="I1437" t="s">
        <v>77</v>
      </c>
      <c r="J1437" s="2">
        <v>6</v>
      </c>
      <c r="K1437" s="3">
        <v>1842.91</v>
      </c>
      <c r="L1437" s="3">
        <v>1178.42</v>
      </c>
      <c r="M1437" s="4">
        <v>9.4799999999999995E-2</v>
      </c>
      <c r="N1437" s="3">
        <f t="shared" si="110"/>
        <v>11057.46</v>
      </c>
      <c r="O1437" s="3">
        <f t="shared" si="111"/>
        <v>10009.209999999999</v>
      </c>
      <c r="P1437" s="3">
        <f t="shared" si="112"/>
        <v>7070.52</v>
      </c>
      <c r="Q1437" s="3">
        <f t="shared" si="113"/>
        <v>2938.69</v>
      </c>
      <c r="R1437" s="4">
        <f t="shared" si="114"/>
        <v>0.29360000000000003</v>
      </c>
      <c r="S1437" s="2">
        <v>7</v>
      </c>
      <c r="T1437" t="s">
        <v>46</v>
      </c>
      <c r="U1437">
        <v>4</v>
      </c>
    </row>
    <row r="1438" spans="1:21" x14ac:dyDescent="0.25">
      <c r="A1438" s="1">
        <v>46128</v>
      </c>
      <c r="B1438" t="s">
        <v>1632</v>
      </c>
      <c r="C1438" t="s">
        <v>253</v>
      </c>
      <c r="D1438" t="s">
        <v>24</v>
      </c>
      <c r="E1438" t="s">
        <v>25</v>
      </c>
      <c r="F1438" t="s">
        <v>58</v>
      </c>
      <c r="G1438" t="s">
        <v>51</v>
      </c>
      <c r="H1438" t="s">
        <v>59</v>
      </c>
      <c r="I1438" t="s">
        <v>94</v>
      </c>
      <c r="J1438" s="2">
        <v>3</v>
      </c>
      <c r="K1438" s="3">
        <v>2210.7600000000002</v>
      </c>
      <c r="L1438" s="3">
        <v>1494.83</v>
      </c>
      <c r="M1438" s="4">
        <v>3.5000000000000003E-2</v>
      </c>
      <c r="N1438" s="3">
        <f t="shared" si="110"/>
        <v>6632.28</v>
      </c>
      <c r="O1438" s="3">
        <f t="shared" si="111"/>
        <v>6400.15</v>
      </c>
      <c r="P1438" s="3">
        <f t="shared" si="112"/>
        <v>4484.49</v>
      </c>
      <c r="Q1438" s="3">
        <f t="shared" si="113"/>
        <v>1915.66</v>
      </c>
      <c r="R1438" s="4">
        <f t="shared" si="114"/>
        <v>0.29930000000000001</v>
      </c>
      <c r="S1438" s="2">
        <v>7</v>
      </c>
      <c r="T1438" t="s">
        <v>46</v>
      </c>
      <c r="U1438">
        <v>3</v>
      </c>
    </row>
    <row r="1439" spans="1:21" x14ac:dyDescent="0.25">
      <c r="A1439" s="1">
        <v>46165</v>
      </c>
      <c r="B1439" t="s">
        <v>886</v>
      </c>
      <c r="C1439" t="s">
        <v>170</v>
      </c>
      <c r="D1439" t="s">
        <v>43</v>
      </c>
      <c r="E1439" t="s">
        <v>25</v>
      </c>
      <c r="F1439" t="s">
        <v>58</v>
      </c>
      <c r="G1439" t="s">
        <v>37</v>
      </c>
      <c r="H1439" t="s">
        <v>38</v>
      </c>
      <c r="I1439" t="s">
        <v>53</v>
      </c>
      <c r="J1439" s="2">
        <v>2</v>
      </c>
      <c r="K1439" s="3">
        <v>431.91</v>
      </c>
      <c r="L1439" s="3">
        <v>190.58</v>
      </c>
      <c r="M1439" s="4">
        <v>3.5000000000000003E-2</v>
      </c>
      <c r="N1439" s="3">
        <f t="shared" si="110"/>
        <v>863.82</v>
      </c>
      <c r="O1439" s="3">
        <f t="shared" si="111"/>
        <v>833.59</v>
      </c>
      <c r="P1439" s="3">
        <f t="shared" si="112"/>
        <v>381.16</v>
      </c>
      <c r="Q1439" s="3">
        <f t="shared" si="113"/>
        <v>452.43</v>
      </c>
      <c r="R1439" s="4">
        <f t="shared" si="114"/>
        <v>0.54269999999999996</v>
      </c>
      <c r="S1439" s="2">
        <v>8</v>
      </c>
      <c r="T1439" t="s">
        <v>46</v>
      </c>
      <c r="U1439">
        <v>3</v>
      </c>
    </row>
    <row r="1440" spans="1:21" x14ac:dyDescent="0.25">
      <c r="A1440" s="1">
        <v>46229</v>
      </c>
      <c r="B1440" t="s">
        <v>1633</v>
      </c>
      <c r="C1440" t="s">
        <v>308</v>
      </c>
      <c r="D1440" t="s">
        <v>121</v>
      </c>
      <c r="E1440" t="s">
        <v>72</v>
      </c>
      <c r="F1440" t="s">
        <v>64</v>
      </c>
      <c r="G1440" t="s">
        <v>44</v>
      </c>
      <c r="H1440" t="s">
        <v>73</v>
      </c>
      <c r="I1440" t="s">
        <v>94</v>
      </c>
      <c r="J1440" s="2">
        <v>8</v>
      </c>
      <c r="K1440" s="3">
        <v>1779.34</v>
      </c>
      <c r="L1440" s="3">
        <v>1103.5999999999999</v>
      </c>
      <c r="M1440" s="4">
        <v>0.10440000000000001</v>
      </c>
      <c r="N1440" s="3">
        <f t="shared" si="110"/>
        <v>14234.72</v>
      </c>
      <c r="O1440" s="3">
        <f t="shared" si="111"/>
        <v>12748.62</v>
      </c>
      <c r="P1440" s="3">
        <f t="shared" si="112"/>
        <v>8828.7999999999993</v>
      </c>
      <c r="Q1440" s="3">
        <f t="shared" si="113"/>
        <v>3919.82</v>
      </c>
      <c r="R1440" s="4">
        <f t="shared" si="114"/>
        <v>0.3075</v>
      </c>
      <c r="S1440" s="2">
        <v>9</v>
      </c>
      <c r="T1440" t="s">
        <v>46</v>
      </c>
      <c r="U1440">
        <v>5</v>
      </c>
    </row>
    <row r="1441" spans="1:21" x14ac:dyDescent="0.25">
      <c r="A1441" s="1">
        <v>46029</v>
      </c>
      <c r="B1441" t="s">
        <v>1634</v>
      </c>
      <c r="C1441" t="s">
        <v>294</v>
      </c>
      <c r="D1441" t="s">
        <v>24</v>
      </c>
      <c r="E1441" t="s">
        <v>25</v>
      </c>
      <c r="F1441" t="s">
        <v>26</v>
      </c>
      <c r="G1441" t="s">
        <v>37</v>
      </c>
      <c r="H1441" t="s">
        <v>178</v>
      </c>
      <c r="I1441" t="s">
        <v>74</v>
      </c>
      <c r="J1441" s="2">
        <v>7</v>
      </c>
      <c r="K1441" s="3">
        <v>508.1</v>
      </c>
      <c r="L1441" s="3">
        <v>244.68</v>
      </c>
      <c r="M1441" s="4">
        <v>0</v>
      </c>
      <c r="N1441" s="3">
        <f t="shared" si="110"/>
        <v>3556.7</v>
      </c>
      <c r="O1441" s="3">
        <f t="shared" si="111"/>
        <v>3556.7</v>
      </c>
      <c r="P1441" s="3">
        <f t="shared" si="112"/>
        <v>1712.76</v>
      </c>
      <c r="Q1441" s="3">
        <f t="shared" si="113"/>
        <v>1843.94</v>
      </c>
      <c r="R1441" s="4">
        <f t="shared" si="114"/>
        <v>0.51839999999999997</v>
      </c>
      <c r="S1441" s="2">
        <v>12</v>
      </c>
      <c r="T1441" t="s">
        <v>30</v>
      </c>
      <c r="U1441">
        <v>3</v>
      </c>
    </row>
    <row r="1442" spans="1:21" x14ac:dyDescent="0.25">
      <c r="A1442" s="1">
        <v>46076</v>
      </c>
      <c r="B1442" t="s">
        <v>1635</v>
      </c>
      <c r="C1442" t="s">
        <v>428</v>
      </c>
      <c r="D1442" t="s">
        <v>43</v>
      </c>
      <c r="E1442" t="s">
        <v>25</v>
      </c>
      <c r="F1442" t="s">
        <v>36</v>
      </c>
      <c r="G1442" t="s">
        <v>51</v>
      </c>
      <c r="H1442" t="s">
        <v>59</v>
      </c>
      <c r="I1442" t="s">
        <v>92</v>
      </c>
      <c r="J1442" s="2">
        <v>5</v>
      </c>
      <c r="K1442" s="3">
        <v>2294.62</v>
      </c>
      <c r="L1442" s="3">
        <v>1433.08</v>
      </c>
      <c r="M1442" s="4">
        <v>5.8999999999999999E-3</v>
      </c>
      <c r="N1442" s="3">
        <f t="shared" si="110"/>
        <v>11473.1</v>
      </c>
      <c r="O1442" s="3">
        <f t="shared" si="111"/>
        <v>11405.41</v>
      </c>
      <c r="P1442" s="3">
        <f t="shared" si="112"/>
        <v>7165.4</v>
      </c>
      <c r="Q1442" s="3">
        <f t="shared" si="113"/>
        <v>4240.01</v>
      </c>
      <c r="R1442" s="4">
        <f t="shared" si="114"/>
        <v>0.37180000000000002</v>
      </c>
      <c r="S1442" s="2">
        <v>4</v>
      </c>
      <c r="T1442" t="s">
        <v>46</v>
      </c>
      <c r="U1442">
        <v>5</v>
      </c>
    </row>
    <row r="1443" spans="1:21" x14ac:dyDescent="0.25">
      <c r="A1443" s="1">
        <v>46087</v>
      </c>
      <c r="B1443" t="s">
        <v>1636</v>
      </c>
      <c r="C1443" t="s">
        <v>84</v>
      </c>
      <c r="D1443" t="s">
        <v>34</v>
      </c>
      <c r="E1443" t="s">
        <v>35</v>
      </c>
      <c r="F1443" t="s">
        <v>64</v>
      </c>
      <c r="G1443" t="s">
        <v>51</v>
      </c>
      <c r="H1443" t="s">
        <v>59</v>
      </c>
      <c r="I1443" t="s">
        <v>92</v>
      </c>
      <c r="J1443" s="2">
        <v>4</v>
      </c>
      <c r="K1443" s="3">
        <v>2192.2800000000002</v>
      </c>
      <c r="L1443" s="3">
        <v>1366.05</v>
      </c>
      <c r="M1443" s="4">
        <v>6.9599999999999995E-2</v>
      </c>
      <c r="N1443" s="3">
        <f t="shared" si="110"/>
        <v>8769.1200000000008</v>
      </c>
      <c r="O1443" s="3">
        <f t="shared" si="111"/>
        <v>8158.79</v>
      </c>
      <c r="P1443" s="3">
        <f t="shared" si="112"/>
        <v>5464.2</v>
      </c>
      <c r="Q1443" s="3">
        <f t="shared" si="113"/>
        <v>2694.59</v>
      </c>
      <c r="R1443" s="4">
        <f t="shared" si="114"/>
        <v>0.33029999999999998</v>
      </c>
      <c r="S1443" s="2">
        <v>14</v>
      </c>
      <c r="T1443" t="s">
        <v>30</v>
      </c>
      <c r="U1443">
        <v>2</v>
      </c>
    </row>
    <row r="1444" spans="1:21" x14ac:dyDescent="0.25">
      <c r="A1444" s="1">
        <v>46043</v>
      </c>
      <c r="B1444" t="s">
        <v>1637</v>
      </c>
      <c r="C1444" t="s">
        <v>218</v>
      </c>
      <c r="D1444" t="s">
        <v>207</v>
      </c>
      <c r="E1444" t="s">
        <v>35</v>
      </c>
      <c r="F1444" t="s">
        <v>64</v>
      </c>
      <c r="G1444" t="s">
        <v>51</v>
      </c>
      <c r="H1444" t="s">
        <v>59</v>
      </c>
      <c r="I1444" t="s">
        <v>53</v>
      </c>
      <c r="J1444" s="2">
        <v>8</v>
      </c>
      <c r="K1444" s="3">
        <v>2258.25</v>
      </c>
      <c r="L1444" s="3">
        <v>1455.44</v>
      </c>
      <c r="M1444" s="4">
        <v>0</v>
      </c>
      <c r="N1444" s="3">
        <f t="shared" si="110"/>
        <v>18066</v>
      </c>
      <c r="O1444" s="3">
        <f t="shared" si="111"/>
        <v>18066</v>
      </c>
      <c r="P1444" s="3">
        <f t="shared" si="112"/>
        <v>11643.52</v>
      </c>
      <c r="Q1444" s="3">
        <f t="shared" si="113"/>
        <v>6422.48</v>
      </c>
      <c r="R1444" s="4">
        <f t="shared" si="114"/>
        <v>0.35549999999999998</v>
      </c>
      <c r="S1444" s="2">
        <v>6</v>
      </c>
      <c r="T1444" t="s">
        <v>46</v>
      </c>
      <c r="U1444">
        <v>4</v>
      </c>
    </row>
    <row r="1445" spans="1:21" x14ac:dyDescent="0.25">
      <c r="A1445" s="1">
        <v>46070</v>
      </c>
      <c r="B1445" t="s">
        <v>1638</v>
      </c>
      <c r="C1445" t="s">
        <v>233</v>
      </c>
      <c r="D1445" t="s">
        <v>139</v>
      </c>
      <c r="E1445" t="s">
        <v>72</v>
      </c>
      <c r="F1445" t="s">
        <v>64</v>
      </c>
      <c r="G1445" t="s">
        <v>51</v>
      </c>
      <c r="H1445" t="s">
        <v>52</v>
      </c>
      <c r="I1445" t="s">
        <v>92</v>
      </c>
      <c r="J1445" s="2">
        <v>6</v>
      </c>
      <c r="K1445" s="3">
        <v>273.35000000000002</v>
      </c>
      <c r="L1445" s="3">
        <v>117.35</v>
      </c>
      <c r="M1445" s="4">
        <v>0</v>
      </c>
      <c r="N1445" s="3">
        <f t="shared" si="110"/>
        <v>1640.1</v>
      </c>
      <c r="O1445" s="3">
        <f t="shared" si="111"/>
        <v>1640.1</v>
      </c>
      <c r="P1445" s="3">
        <f t="shared" si="112"/>
        <v>704.1</v>
      </c>
      <c r="Q1445" s="3">
        <f t="shared" si="113"/>
        <v>936</v>
      </c>
      <c r="R1445" s="4">
        <f t="shared" si="114"/>
        <v>0.57069999999999999</v>
      </c>
      <c r="S1445" s="2">
        <v>7</v>
      </c>
      <c r="T1445" t="s">
        <v>46</v>
      </c>
      <c r="U1445">
        <v>3</v>
      </c>
    </row>
    <row r="1446" spans="1:21" x14ac:dyDescent="0.25">
      <c r="A1446" s="1">
        <v>46027</v>
      </c>
      <c r="B1446" t="s">
        <v>1639</v>
      </c>
      <c r="C1446" t="s">
        <v>378</v>
      </c>
      <c r="D1446" t="s">
        <v>49</v>
      </c>
      <c r="E1446" t="s">
        <v>50</v>
      </c>
      <c r="F1446" t="s">
        <v>26</v>
      </c>
      <c r="G1446" t="s">
        <v>37</v>
      </c>
      <c r="H1446" t="s">
        <v>104</v>
      </c>
      <c r="I1446" t="s">
        <v>60</v>
      </c>
      <c r="J1446" s="2">
        <v>7</v>
      </c>
      <c r="K1446" s="3">
        <v>319.74</v>
      </c>
      <c r="L1446" s="3">
        <v>136.06</v>
      </c>
      <c r="M1446" s="4">
        <v>8.3999999999999995E-3</v>
      </c>
      <c r="N1446" s="3">
        <f t="shared" si="110"/>
        <v>2238.1799999999998</v>
      </c>
      <c r="O1446" s="3">
        <f t="shared" si="111"/>
        <v>2219.38</v>
      </c>
      <c r="P1446" s="3">
        <f t="shared" si="112"/>
        <v>952.42</v>
      </c>
      <c r="Q1446" s="3">
        <f t="shared" si="113"/>
        <v>1266.96</v>
      </c>
      <c r="R1446" s="4">
        <f t="shared" si="114"/>
        <v>0.57089999999999996</v>
      </c>
      <c r="S1446" s="2">
        <v>2</v>
      </c>
      <c r="T1446" t="s">
        <v>46</v>
      </c>
      <c r="U1446">
        <v>2</v>
      </c>
    </row>
    <row r="1447" spans="1:21" x14ac:dyDescent="0.25">
      <c r="A1447" s="1">
        <v>46108</v>
      </c>
      <c r="B1447" t="s">
        <v>1640</v>
      </c>
      <c r="C1447" t="s">
        <v>331</v>
      </c>
      <c r="D1447" t="s">
        <v>43</v>
      </c>
      <c r="E1447" t="s">
        <v>25</v>
      </c>
      <c r="F1447" t="s">
        <v>26</v>
      </c>
      <c r="G1447" t="s">
        <v>44</v>
      </c>
      <c r="H1447" t="s">
        <v>124</v>
      </c>
      <c r="I1447" t="s">
        <v>74</v>
      </c>
      <c r="J1447" s="2">
        <v>6</v>
      </c>
      <c r="K1447" s="3">
        <v>5872.87</v>
      </c>
      <c r="L1447" s="3">
        <v>4405.97</v>
      </c>
      <c r="M1447" s="4">
        <v>9.64E-2</v>
      </c>
      <c r="N1447" s="3">
        <f t="shared" si="110"/>
        <v>35237.22</v>
      </c>
      <c r="O1447" s="3">
        <f t="shared" si="111"/>
        <v>31840.35</v>
      </c>
      <c r="P1447" s="3">
        <f t="shared" si="112"/>
        <v>26435.82</v>
      </c>
      <c r="Q1447" s="3">
        <f t="shared" si="113"/>
        <v>5404.53</v>
      </c>
      <c r="R1447" s="4">
        <f t="shared" si="114"/>
        <v>0.16969999999999999</v>
      </c>
      <c r="S1447" s="2">
        <v>12</v>
      </c>
      <c r="T1447" t="s">
        <v>30</v>
      </c>
      <c r="U1447">
        <v>5</v>
      </c>
    </row>
    <row r="1448" spans="1:21" x14ac:dyDescent="0.25">
      <c r="A1448" s="1">
        <v>46122</v>
      </c>
      <c r="B1448" t="s">
        <v>1641</v>
      </c>
      <c r="C1448" t="s">
        <v>329</v>
      </c>
      <c r="D1448" t="s">
        <v>34</v>
      </c>
      <c r="E1448" t="s">
        <v>35</v>
      </c>
      <c r="F1448" t="s">
        <v>36</v>
      </c>
      <c r="G1448" t="s">
        <v>37</v>
      </c>
      <c r="H1448" t="s">
        <v>104</v>
      </c>
      <c r="I1448" t="s">
        <v>94</v>
      </c>
      <c r="J1448" s="2">
        <v>4</v>
      </c>
      <c r="K1448" s="3">
        <v>324.47000000000003</v>
      </c>
      <c r="L1448" s="3">
        <v>130.07</v>
      </c>
      <c r="M1448" s="4">
        <v>7.7600000000000002E-2</v>
      </c>
      <c r="N1448" s="3">
        <f t="shared" si="110"/>
        <v>1297.8800000000001</v>
      </c>
      <c r="O1448" s="3">
        <f t="shared" si="111"/>
        <v>1197.1600000000001</v>
      </c>
      <c r="P1448" s="3">
        <f t="shared" si="112"/>
        <v>520.28</v>
      </c>
      <c r="Q1448" s="3">
        <f t="shared" si="113"/>
        <v>676.88</v>
      </c>
      <c r="R1448" s="4">
        <f t="shared" si="114"/>
        <v>0.56540000000000001</v>
      </c>
      <c r="S1448" s="2">
        <v>6</v>
      </c>
      <c r="T1448" t="s">
        <v>46</v>
      </c>
      <c r="U1448">
        <v>2</v>
      </c>
    </row>
    <row r="1449" spans="1:21" x14ac:dyDescent="0.25">
      <c r="A1449" s="1">
        <v>46113</v>
      </c>
      <c r="B1449" t="s">
        <v>1642</v>
      </c>
      <c r="C1449" t="s">
        <v>525</v>
      </c>
      <c r="D1449" t="s">
        <v>49</v>
      </c>
      <c r="E1449" t="s">
        <v>50</v>
      </c>
      <c r="F1449" t="s">
        <v>64</v>
      </c>
      <c r="G1449" t="s">
        <v>27</v>
      </c>
      <c r="H1449" t="s">
        <v>68</v>
      </c>
      <c r="I1449" t="s">
        <v>53</v>
      </c>
      <c r="J1449" s="2">
        <v>1</v>
      </c>
      <c r="K1449" s="3">
        <v>1334.05</v>
      </c>
      <c r="L1449" s="3">
        <v>798.09</v>
      </c>
      <c r="M1449" s="4">
        <v>8.6199999999999999E-2</v>
      </c>
      <c r="N1449" s="3">
        <f t="shared" si="110"/>
        <v>1334.05</v>
      </c>
      <c r="O1449" s="3">
        <f t="shared" si="111"/>
        <v>1219.05</v>
      </c>
      <c r="P1449" s="3">
        <f t="shared" si="112"/>
        <v>798.09</v>
      </c>
      <c r="Q1449" s="3">
        <f t="shared" si="113"/>
        <v>420.96</v>
      </c>
      <c r="R1449" s="4">
        <f t="shared" si="114"/>
        <v>0.3453</v>
      </c>
      <c r="S1449" s="2">
        <v>9</v>
      </c>
      <c r="T1449" t="s">
        <v>46</v>
      </c>
      <c r="U1449">
        <v>5</v>
      </c>
    </row>
    <row r="1450" spans="1:21" x14ac:dyDescent="0.25">
      <c r="A1450" s="1">
        <v>46105</v>
      </c>
      <c r="B1450" t="s">
        <v>1643</v>
      </c>
      <c r="C1450" t="s">
        <v>329</v>
      </c>
      <c r="D1450" t="s">
        <v>71</v>
      </c>
      <c r="E1450" t="s">
        <v>72</v>
      </c>
      <c r="F1450" t="s">
        <v>36</v>
      </c>
      <c r="G1450" t="s">
        <v>37</v>
      </c>
      <c r="H1450" t="s">
        <v>104</v>
      </c>
      <c r="I1450" t="s">
        <v>77</v>
      </c>
      <c r="J1450" s="2">
        <v>5</v>
      </c>
      <c r="K1450" s="3">
        <v>306.20999999999998</v>
      </c>
      <c r="L1450" s="3">
        <v>146.41</v>
      </c>
      <c r="M1450" s="4">
        <v>8.5800000000000001E-2</v>
      </c>
      <c r="N1450" s="3">
        <f t="shared" si="110"/>
        <v>1531.05</v>
      </c>
      <c r="O1450" s="3">
        <f t="shared" si="111"/>
        <v>1399.69</v>
      </c>
      <c r="P1450" s="3">
        <f t="shared" si="112"/>
        <v>732.05</v>
      </c>
      <c r="Q1450" s="3">
        <f t="shared" si="113"/>
        <v>667.64</v>
      </c>
      <c r="R1450" s="4">
        <f t="shared" si="114"/>
        <v>0.47699999999999998</v>
      </c>
      <c r="S1450" s="2">
        <v>5</v>
      </c>
      <c r="T1450" t="s">
        <v>46</v>
      </c>
      <c r="U1450">
        <v>3</v>
      </c>
    </row>
    <row r="1451" spans="1:21" x14ac:dyDescent="0.25">
      <c r="A1451" s="1">
        <v>46120</v>
      </c>
      <c r="B1451" t="s">
        <v>1644</v>
      </c>
      <c r="C1451" t="s">
        <v>110</v>
      </c>
      <c r="D1451" t="s">
        <v>130</v>
      </c>
      <c r="E1451" t="s">
        <v>72</v>
      </c>
      <c r="F1451" t="s">
        <v>36</v>
      </c>
      <c r="G1451" t="s">
        <v>51</v>
      </c>
      <c r="H1451" t="s">
        <v>116</v>
      </c>
      <c r="I1451" t="s">
        <v>39</v>
      </c>
      <c r="J1451" s="2">
        <v>6</v>
      </c>
      <c r="K1451" s="3">
        <v>2926.16</v>
      </c>
      <c r="L1451" s="3">
        <v>1847.4</v>
      </c>
      <c r="M1451" s="4">
        <v>7.7700000000000005E-2</v>
      </c>
      <c r="N1451" s="3">
        <f t="shared" si="110"/>
        <v>17556.96</v>
      </c>
      <c r="O1451" s="3">
        <f t="shared" si="111"/>
        <v>16192.78</v>
      </c>
      <c r="P1451" s="3">
        <f t="shared" si="112"/>
        <v>11084.4</v>
      </c>
      <c r="Q1451" s="3">
        <f t="shared" si="113"/>
        <v>5108.38</v>
      </c>
      <c r="R1451" s="4">
        <f t="shared" si="114"/>
        <v>0.3155</v>
      </c>
      <c r="S1451" s="2">
        <v>9</v>
      </c>
      <c r="T1451" t="s">
        <v>46</v>
      </c>
      <c r="U1451">
        <v>4</v>
      </c>
    </row>
    <row r="1452" spans="1:21" x14ac:dyDescent="0.25">
      <c r="A1452" s="1">
        <v>46124</v>
      </c>
      <c r="B1452" t="s">
        <v>1645</v>
      </c>
      <c r="C1452" t="s">
        <v>266</v>
      </c>
      <c r="D1452" t="s">
        <v>130</v>
      </c>
      <c r="E1452" t="s">
        <v>72</v>
      </c>
      <c r="F1452" t="s">
        <v>26</v>
      </c>
      <c r="G1452" t="s">
        <v>37</v>
      </c>
      <c r="H1452" t="s">
        <v>178</v>
      </c>
      <c r="I1452" t="s">
        <v>92</v>
      </c>
      <c r="J1452" s="2">
        <v>1</v>
      </c>
      <c r="K1452" s="3">
        <v>509.57</v>
      </c>
      <c r="L1452" s="3">
        <v>259.89999999999998</v>
      </c>
      <c r="M1452" s="4">
        <v>0</v>
      </c>
      <c r="N1452" s="3">
        <f t="shared" si="110"/>
        <v>509.57</v>
      </c>
      <c r="O1452" s="3">
        <f t="shared" si="111"/>
        <v>509.57</v>
      </c>
      <c r="P1452" s="3">
        <f t="shared" si="112"/>
        <v>259.89999999999998</v>
      </c>
      <c r="Q1452" s="3">
        <f t="shared" si="113"/>
        <v>249.67</v>
      </c>
      <c r="R1452" s="4">
        <f t="shared" si="114"/>
        <v>0.49</v>
      </c>
      <c r="S1452" s="2">
        <v>12</v>
      </c>
      <c r="T1452" t="s">
        <v>30</v>
      </c>
      <c r="U1452">
        <v>4</v>
      </c>
    </row>
    <row r="1453" spans="1:21" x14ac:dyDescent="0.25">
      <c r="A1453" s="1">
        <v>46161</v>
      </c>
      <c r="B1453" t="s">
        <v>1646</v>
      </c>
      <c r="C1453" t="s">
        <v>204</v>
      </c>
      <c r="D1453" t="s">
        <v>56</v>
      </c>
      <c r="E1453" t="s">
        <v>57</v>
      </c>
      <c r="F1453" t="s">
        <v>64</v>
      </c>
      <c r="G1453" t="s">
        <v>27</v>
      </c>
      <c r="H1453" t="s">
        <v>68</v>
      </c>
      <c r="I1453" t="s">
        <v>29</v>
      </c>
      <c r="J1453" s="2">
        <v>8</v>
      </c>
      <c r="K1453" s="3">
        <v>1301.8499999999999</v>
      </c>
      <c r="L1453" s="3">
        <v>744.92</v>
      </c>
      <c r="M1453" s="4">
        <v>0</v>
      </c>
      <c r="N1453" s="3">
        <f t="shared" si="110"/>
        <v>10414.799999999999</v>
      </c>
      <c r="O1453" s="3">
        <f t="shared" si="111"/>
        <v>10414.799999999999</v>
      </c>
      <c r="P1453" s="3">
        <f t="shared" si="112"/>
        <v>5959.36</v>
      </c>
      <c r="Q1453" s="3">
        <f t="shared" si="113"/>
        <v>4455.4399999999996</v>
      </c>
      <c r="R1453" s="4">
        <f t="shared" si="114"/>
        <v>0.42780000000000001</v>
      </c>
      <c r="S1453" s="2">
        <v>2</v>
      </c>
      <c r="T1453" t="s">
        <v>46</v>
      </c>
      <c r="U1453">
        <v>3</v>
      </c>
    </row>
    <row r="1454" spans="1:21" x14ac:dyDescent="0.25">
      <c r="A1454" s="1">
        <v>46197</v>
      </c>
      <c r="B1454" t="s">
        <v>1647</v>
      </c>
      <c r="C1454" t="s">
        <v>198</v>
      </c>
      <c r="D1454" t="s">
        <v>126</v>
      </c>
      <c r="E1454" t="s">
        <v>57</v>
      </c>
      <c r="F1454" t="s">
        <v>64</v>
      </c>
      <c r="G1454" t="s">
        <v>27</v>
      </c>
      <c r="H1454" t="s">
        <v>68</v>
      </c>
      <c r="I1454" t="s">
        <v>92</v>
      </c>
      <c r="J1454" s="2">
        <v>1</v>
      </c>
      <c r="K1454" s="3">
        <v>1285.83</v>
      </c>
      <c r="L1454" s="3">
        <v>753.02</v>
      </c>
      <c r="M1454" s="4">
        <v>5.7099999999999998E-2</v>
      </c>
      <c r="N1454" s="3">
        <f t="shared" si="110"/>
        <v>1285.83</v>
      </c>
      <c r="O1454" s="3">
        <f t="shared" si="111"/>
        <v>1212.4100000000001</v>
      </c>
      <c r="P1454" s="3">
        <f t="shared" si="112"/>
        <v>753.02</v>
      </c>
      <c r="Q1454" s="3">
        <f t="shared" si="113"/>
        <v>459.39</v>
      </c>
      <c r="R1454" s="4">
        <f t="shared" si="114"/>
        <v>0.37890000000000001</v>
      </c>
      <c r="S1454" s="2">
        <v>3</v>
      </c>
      <c r="T1454" t="s">
        <v>46</v>
      </c>
      <c r="U1454">
        <v>2</v>
      </c>
    </row>
    <row r="1455" spans="1:21" x14ac:dyDescent="0.25">
      <c r="A1455" s="1">
        <v>46218</v>
      </c>
      <c r="B1455" t="s">
        <v>1648</v>
      </c>
      <c r="C1455" t="s">
        <v>100</v>
      </c>
      <c r="D1455" t="s">
        <v>63</v>
      </c>
      <c r="E1455" t="s">
        <v>35</v>
      </c>
      <c r="F1455" t="s">
        <v>26</v>
      </c>
      <c r="G1455" t="s">
        <v>51</v>
      </c>
      <c r="H1455" t="s">
        <v>59</v>
      </c>
      <c r="I1455" t="s">
        <v>60</v>
      </c>
      <c r="J1455" s="2">
        <v>6</v>
      </c>
      <c r="K1455" s="3">
        <v>2059.25</v>
      </c>
      <c r="L1455" s="3">
        <v>1447.79</v>
      </c>
      <c r="M1455" s="4">
        <v>1.5900000000000001E-2</v>
      </c>
      <c r="N1455" s="3">
        <f t="shared" si="110"/>
        <v>12355.5</v>
      </c>
      <c r="O1455" s="3">
        <f t="shared" si="111"/>
        <v>12159.05</v>
      </c>
      <c r="P1455" s="3">
        <f t="shared" si="112"/>
        <v>8686.74</v>
      </c>
      <c r="Q1455" s="3">
        <f t="shared" si="113"/>
        <v>3472.31</v>
      </c>
      <c r="R1455" s="4">
        <f t="shared" si="114"/>
        <v>0.28560000000000002</v>
      </c>
      <c r="S1455" s="2">
        <v>5</v>
      </c>
      <c r="T1455" t="s">
        <v>46</v>
      </c>
      <c r="U1455">
        <v>5</v>
      </c>
    </row>
    <row r="1456" spans="1:21" x14ac:dyDescent="0.25">
      <c r="A1456" s="1">
        <v>46049</v>
      </c>
      <c r="B1456" t="s">
        <v>1649</v>
      </c>
      <c r="C1456" t="s">
        <v>418</v>
      </c>
      <c r="D1456" t="s">
        <v>34</v>
      </c>
      <c r="E1456" t="s">
        <v>35</v>
      </c>
      <c r="F1456" t="s">
        <v>64</v>
      </c>
      <c r="G1456" t="s">
        <v>37</v>
      </c>
      <c r="H1456" t="s">
        <v>104</v>
      </c>
      <c r="I1456" t="s">
        <v>74</v>
      </c>
      <c r="J1456" s="2">
        <v>3</v>
      </c>
      <c r="K1456" s="3">
        <v>326.33</v>
      </c>
      <c r="L1456" s="3">
        <v>136.76</v>
      </c>
      <c r="M1456" s="4">
        <v>8.4400000000000003E-2</v>
      </c>
      <c r="N1456" s="3">
        <f t="shared" si="110"/>
        <v>978.99</v>
      </c>
      <c r="O1456" s="3">
        <f t="shared" si="111"/>
        <v>896.36</v>
      </c>
      <c r="P1456" s="3">
        <f t="shared" si="112"/>
        <v>410.28</v>
      </c>
      <c r="Q1456" s="3">
        <f t="shared" si="113"/>
        <v>486.08</v>
      </c>
      <c r="R1456" s="4">
        <f t="shared" si="114"/>
        <v>0.5423</v>
      </c>
      <c r="S1456" s="2">
        <v>2</v>
      </c>
      <c r="T1456" t="s">
        <v>46</v>
      </c>
      <c r="U1456">
        <v>5</v>
      </c>
    </row>
    <row r="1457" spans="1:22" x14ac:dyDescent="0.25">
      <c r="A1457" s="1">
        <v>46102</v>
      </c>
      <c r="B1457" t="s">
        <v>1650</v>
      </c>
      <c r="C1457" t="s">
        <v>247</v>
      </c>
      <c r="D1457" t="s">
        <v>56</v>
      </c>
      <c r="E1457" t="s">
        <v>57</v>
      </c>
      <c r="F1457" t="s">
        <v>26</v>
      </c>
      <c r="G1457" t="s">
        <v>27</v>
      </c>
      <c r="H1457" t="s">
        <v>68</v>
      </c>
      <c r="I1457" t="s">
        <v>92</v>
      </c>
      <c r="J1457" s="2">
        <v>5</v>
      </c>
      <c r="K1457" s="3">
        <v>1312.03</v>
      </c>
      <c r="L1457" s="3">
        <v>801.04</v>
      </c>
      <c r="M1457" s="4">
        <v>0.1211</v>
      </c>
      <c r="N1457" s="3">
        <f t="shared" si="110"/>
        <v>6560.15</v>
      </c>
      <c r="O1457" s="3">
        <f t="shared" si="111"/>
        <v>5765.72</v>
      </c>
      <c r="P1457" s="3">
        <f t="shared" si="112"/>
        <v>4005.2</v>
      </c>
      <c r="Q1457" s="3">
        <f t="shared" si="113"/>
        <v>1760.52</v>
      </c>
      <c r="R1457" s="4">
        <f t="shared" si="114"/>
        <v>0.30530000000000002</v>
      </c>
      <c r="S1457" s="2">
        <v>11</v>
      </c>
      <c r="T1457" t="s">
        <v>30</v>
      </c>
      <c r="U1457">
        <v>3</v>
      </c>
    </row>
    <row r="1458" spans="1:22" x14ac:dyDescent="0.25">
      <c r="A1458" s="1">
        <v>46094</v>
      </c>
      <c r="B1458" t="s">
        <v>1651</v>
      </c>
      <c r="C1458" t="s">
        <v>159</v>
      </c>
      <c r="D1458" t="s">
        <v>63</v>
      </c>
      <c r="E1458" t="s">
        <v>35</v>
      </c>
      <c r="F1458" t="s">
        <v>58</v>
      </c>
      <c r="G1458" t="s">
        <v>27</v>
      </c>
      <c r="H1458" t="s">
        <v>28</v>
      </c>
      <c r="I1458" t="s">
        <v>77</v>
      </c>
      <c r="J1458" s="2">
        <v>3</v>
      </c>
      <c r="K1458" s="3">
        <v>791.49</v>
      </c>
      <c r="L1458" s="3">
        <v>463.13</v>
      </c>
      <c r="M1458" s="4">
        <v>3.5000000000000003E-2</v>
      </c>
      <c r="N1458" s="3">
        <f t="shared" si="110"/>
        <v>2374.4699999999998</v>
      </c>
      <c r="O1458" s="3">
        <f t="shared" si="111"/>
        <v>2291.36</v>
      </c>
      <c r="P1458" s="3">
        <f t="shared" si="112"/>
        <v>1389.39</v>
      </c>
      <c r="Q1458" s="3">
        <f t="shared" si="113"/>
        <v>901.97</v>
      </c>
      <c r="R1458" s="4">
        <f t="shared" si="114"/>
        <v>0.39360000000000001</v>
      </c>
      <c r="S1458" s="2">
        <v>4</v>
      </c>
      <c r="T1458" t="s">
        <v>46</v>
      </c>
      <c r="U1458">
        <v>5</v>
      </c>
    </row>
    <row r="1459" spans="1:22" x14ac:dyDescent="0.25">
      <c r="A1459" s="1">
        <v>46120</v>
      </c>
      <c r="B1459" t="s">
        <v>1652</v>
      </c>
      <c r="C1459" t="s">
        <v>235</v>
      </c>
      <c r="D1459" t="s">
        <v>101</v>
      </c>
      <c r="E1459" t="s">
        <v>35</v>
      </c>
      <c r="F1459" t="s">
        <v>26</v>
      </c>
      <c r="G1459" t="s">
        <v>51</v>
      </c>
      <c r="H1459" t="s">
        <v>52</v>
      </c>
      <c r="I1459" t="s">
        <v>74</v>
      </c>
      <c r="J1459" s="2">
        <v>7</v>
      </c>
      <c r="K1459" s="3">
        <v>256.35000000000002</v>
      </c>
      <c r="L1459" s="3">
        <v>121.36</v>
      </c>
      <c r="M1459" s="4">
        <v>8.2799999999999999E-2</v>
      </c>
      <c r="N1459" s="3">
        <f t="shared" si="110"/>
        <v>1794.45</v>
      </c>
      <c r="O1459" s="3">
        <f t="shared" si="111"/>
        <v>1645.87</v>
      </c>
      <c r="P1459" s="3">
        <f t="shared" si="112"/>
        <v>849.52</v>
      </c>
      <c r="Q1459" s="3">
        <f t="shared" si="113"/>
        <v>796.35</v>
      </c>
      <c r="R1459" s="4">
        <f t="shared" si="114"/>
        <v>0.48380000000000001</v>
      </c>
      <c r="S1459" s="2">
        <v>3</v>
      </c>
      <c r="T1459" t="s">
        <v>46</v>
      </c>
      <c r="U1459">
        <v>2</v>
      </c>
    </row>
    <row r="1460" spans="1:22" x14ac:dyDescent="0.25">
      <c r="A1460" s="1">
        <v>46077</v>
      </c>
      <c r="B1460" t="s">
        <v>1653</v>
      </c>
      <c r="C1460" t="s">
        <v>170</v>
      </c>
      <c r="D1460" t="s">
        <v>49</v>
      </c>
      <c r="E1460" t="s">
        <v>50</v>
      </c>
      <c r="F1460" t="s">
        <v>58</v>
      </c>
      <c r="G1460" t="s">
        <v>37</v>
      </c>
      <c r="H1460" t="s">
        <v>178</v>
      </c>
      <c r="I1460" t="s">
        <v>74</v>
      </c>
      <c r="J1460" s="2">
        <v>2</v>
      </c>
      <c r="K1460" s="3">
        <v>518.25</v>
      </c>
      <c r="L1460" s="3">
        <v>244.43</v>
      </c>
      <c r="M1460" s="4">
        <v>3.5000000000000003E-2</v>
      </c>
      <c r="N1460" s="3">
        <f t="shared" si="110"/>
        <v>1036.5</v>
      </c>
      <c r="O1460" s="3">
        <f t="shared" si="111"/>
        <v>1000.22</v>
      </c>
      <c r="P1460" s="3">
        <f t="shared" si="112"/>
        <v>488.86</v>
      </c>
      <c r="Q1460" s="3">
        <f t="shared" si="113"/>
        <v>511.36</v>
      </c>
      <c r="R1460" s="4">
        <f t="shared" si="114"/>
        <v>0.51119999999999999</v>
      </c>
      <c r="S1460" s="2">
        <v>11</v>
      </c>
      <c r="T1460" t="s">
        <v>30</v>
      </c>
      <c r="U1460">
        <v>5</v>
      </c>
    </row>
    <row r="1461" spans="1:22" x14ac:dyDescent="0.25">
      <c r="A1461" s="1">
        <v>46224</v>
      </c>
      <c r="B1461" t="s">
        <v>1654</v>
      </c>
      <c r="C1461" t="s">
        <v>89</v>
      </c>
      <c r="D1461" t="s">
        <v>207</v>
      </c>
      <c r="E1461" t="s">
        <v>35</v>
      </c>
      <c r="F1461" t="s">
        <v>58</v>
      </c>
      <c r="G1461" t="s">
        <v>44</v>
      </c>
      <c r="H1461" t="s">
        <v>73</v>
      </c>
      <c r="I1461" t="s">
        <v>74</v>
      </c>
      <c r="J1461" s="2">
        <v>8</v>
      </c>
      <c r="K1461" s="3">
        <v>1630.41</v>
      </c>
      <c r="L1461" s="3">
        <v>1121.8599999999999</v>
      </c>
      <c r="M1461" s="4">
        <v>6.7599999999999993E-2</v>
      </c>
      <c r="N1461" s="3">
        <f t="shared" si="110"/>
        <v>13043.28</v>
      </c>
      <c r="O1461" s="3">
        <f t="shared" si="111"/>
        <v>12161.55</v>
      </c>
      <c r="P1461" s="3">
        <f t="shared" si="112"/>
        <v>8974.8799999999992</v>
      </c>
      <c r="Q1461" s="3">
        <f t="shared" si="113"/>
        <v>3186.67</v>
      </c>
      <c r="R1461" s="4">
        <f t="shared" si="114"/>
        <v>0.26200000000000001</v>
      </c>
      <c r="S1461" s="2">
        <v>6</v>
      </c>
      <c r="T1461" t="s">
        <v>40</v>
      </c>
    </row>
    <row r="1462" spans="1:22" x14ac:dyDescent="0.25">
      <c r="A1462" s="1">
        <v>46130</v>
      </c>
      <c r="B1462" t="s">
        <v>1655</v>
      </c>
      <c r="C1462" t="s">
        <v>290</v>
      </c>
      <c r="D1462" t="s">
        <v>56</v>
      </c>
      <c r="E1462" t="s">
        <v>57</v>
      </c>
      <c r="F1462" t="s">
        <v>64</v>
      </c>
      <c r="G1462" t="s">
        <v>44</v>
      </c>
      <c r="H1462" t="s">
        <v>73</v>
      </c>
      <c r="I1462" t="s">
        <v>87</v>
      </c>
      <c r="J1462" s="2">
        <v>2</v>
      </c>
      <c r="K1462" s="3">
        <v>1763.27</v>
      </c>
      <c r="L1462" s="3">
        <v>1133.78</v>
      </c>
      <c r="M1462" s="4">
        <v>9.1499999999999998E-2</v>
      </c>
      <c r="N1462" s="3">
        <f t="shared" si="110"/>
        <v>3526.54</v>
      </c>
      <c r="O1462" s="3">
        <f t="shared" si="111"/>
        <v>3203.86</v>
      </c>
      <c r="P1462" s="3">
        <f t="shared" si="112"/>
        <v>2267.56</v>
      </c>
      <c r="Q1462" s="3">
        <f t="shared" si="113"/>
        <v>936.3</v>
      </c>
      <c r="R1462" s="4">
        <f t="shared" si="114"/>
        <v>0.29220000000000002</v>
      </c>
      <c r="S1462" s="2">
        <v>31</v>
      </c>
      <c r="T1462" t="s">
        <v>30</v>
      </c>
      <c r="U1462">
        <v>2</v>
      </c>
      <c r="V1462" t="s">
        <v>208</v>
      </c>
    </row>
    <row r="1463" spans="1:22" x14ac:dyDescent="0.25">
      <c r="A1463" s="1">
        <v>46089</v>
      </c>
      <c r="B1463" t="s">
        <v>1656</v>
      </c>
      <c r="C1463" t="s">
        <v>190</v>
      </c>
      <c r="D1463" t="s">
        <v>126</v>
      </c>
      <c r="E1463" t="s">
        <v>57</v>
      </c>
      <c r="F1463" t="s">
        <v>64</v>
      </c>
      <c r="G1463" t="s">
        <v>27</v>
      </c>
      <c r="H1463" t="s">
        <v>28</v>
      </c>
      <c r="I1463" t="s">
        <v>53</v>
      </c>
      <c r="J1463" s="2">
        <v>6</v>
      </c>
      <c r="K1463" s="3">
        <v>750.45</v>
      </c>
      <c r="L1463" s="3">
        <v>467.89</v>
      </c>
      <c r="M1463" s="4">
        <v>9.8699999999999996E-2</v>
      </c>
      <c r="N1463" s="3">
        <f t="shared" si="110"/>
        <v>4502.7</v>
      </c>
      <c r="O1463" s="3">
        <f t="shared" si="111"/>
        <v>4058.28</v>
      </c>
      <c r="P1463" s="3">
        <f t="shared" si="112"/>
        <v>2807.34</v>
      </c>
      <c r="Q1463" s="3">
        <f t="shared" si="113"/>
        <v>1250.94</v>
      </c>
      <c r="R1463" s="4">
        <f t="shared" si="114"/>
        <v>0.30819999999999997</v>
      </c>
      <c r="S1463" s="2">
        <v>14</v>
      </c>
      <c r="T1463" t="s">
        <v>30</v>
      </c>
      <c r="U1463">
        <v>4</v>
      </c>
    </row>
    <row r="1464" spans="1:22" x14ac:dyDescent="0.25">
      <c r="A1464" s="1">
        <v>46138</v>
      </c>
      <c r="B1464" t="s">
        <v>1657</v>
      </c>
      <c r="C1464" t="s">
        <v>79</v>
      </c>
      <c r="D1464" t="s">
        <v>121</v>
      </c>
      <c r="E1464" t="s">
        <v>72</v>
      </c>
      <c r="F1464" t="s">
        <v>58</v>
      </c>
      <c r="G1464" t="s">
        <v>27</v>
      </c>
      <c r="H1464" t="s">
        <v>28</v>
      </c>
      <c r="I1464" t="s">
        <v>53</v>
      </c>
      <c r="J1464" s="2">
        <v>8</v>
      </c>
      <c r="K1464" s="3">
        <v>752.99</v>
      </c>
      <c r="L1464" s="3">
        <v>452.99</v>
      </c>
      <c r="M1464" s="4">
        <v>0.13250000000000001</v>
      </c>
      <c r="N1464" s="3">
        <f t="shared" si="110"/>
        <v>6023.92</v>
      </c>
      <c r="O1464" s="3">
        <f t="shared" si="111"/>
        <v>5225.75</v>
      </c>
      <c r="P1464" s="3">
        <f t="shared" si="112"/>
        <v>3623.92</v>
      </c>
      <c r="Q1464" s="3">
        <f t="shared" si="113"/>
        <v>1601.83</v>
      </c>
      <c r="R1464" s="4">
        <f t="shared" si="114"/>
        <v>0.30649999999999999</v>
      </c>
      <c r="S1464" s="2">
        <v>12</v>
      </c>
      <c r="T1464" t="s">
        <v>30</v>
      </c>
      <c r="U1464">
        <v>5</v>
      </c>
    </row>
    <row r="1465" spans="1:22" x14ac:dyDescent="0.25">
      <c r="A1465" s="1">
        <v>46078</v>
      </c>
      <c r="B1465" t="s">
        <v>1658</v>
      </c>
      <c r="C1465" t="s">
        <v>464</v>
      </c>
      <c r="D1465" t="s">
        <v>113</v>
      </c>
      <c r="E1465" t="s">
        <v>50</v>
      </c>
      <c r="F1465" t="s">
        <v>64</v>
      </c>
      <c r="G1465" t="s">
        <v>37</v>
      </c>
      <c r="H1465" t="s">
        <v>38</v>
      </c>
      <c r="I1465" t="s">
        <v>87</v>
      </c>
      <c r="J1465" s="2">
        <v>2</v>
      </c>
      <c r="K1465" s="3">
        <v>425.2</v>
      </c>
      <c r="L1465" s="3">
        <v>190.76</v>
      </c>
      <c r="M1465" s="4">
        <v>7.5399999999999995E-2</v>
      </c>
      <c r="N1465" s="3">
        <f t="shared" si="110"/>
        <v>850.4</v>
      </c>
      <c r="O1465" s="3">
        <f t="shared" si="111"/>
        <v>786.28</v>
      </c>
      <c r="P1465" s="3">
        <f t="shared" si="112"/>
        <v>381.52</v>
      </c>
      <c r="Q1465" s="3">
        <f t="shared" si="113"/>
        <v>404.76</v>
      </c>
      <c r="R1465" s="4">
        <f t="shared" si="114"/>
        <v>0.51480000000000004</v>
      </c>
      <c r="S1465" s="2">
        <v>11</v>
      </c>
      <c r="T1465" t="s">
        <v>30</v>
      </c>
      <c r="U1465">
        <v>2</v>
      </c>
    </row>
    <row r="1466" spans="1:22" x14ac:dyDescent="0.25">
      <c r="A1466" s="1">
        <v>46050</v>
      </c>
      <c r="B1466" t="s">
        <v>1659</v>
      </c>
      <c r="C1466" t="s">
        <v>91</v>
      </c>
      <c r="D1466" t="s">
        <v>130</v>
      </c>
      <c r="E1466" t="s">
        <v>72</v>
      </c>
      <c r="F1466" t="s">
        <v>36</v>
      </c>
      <c r="G1466" t="s">
        <v>27</v>
      </c>
      <c r="H1466" t="s">
        <v>68</v>
      </c>
      <c r="I1466" t="s">
        <v>87</v>
      </c>
      <c r="J1466" s="2">
        <v>1</v>
      </c>
      <c r="K1466" s="3">
        <v>1247.9000000000001</v>
      </c>
      <c r="L1466" s="3">
        <v>819.78</v>
      </c>
      <c r="M1466" s="4">
        <v>0</v>
      </c>
      <c r="N1466" s="3">
        <f t="shared" si="110"/>
        <v>1247.9000000000001</v>
      </c>
      <c r="O1466" s="3">
        <f t="shared" si="111"/>
        <v>1247.9000000000001</v>
      </c>
      <c r="P1466" s="3">
        <f t="shared" si="112"/>
        <v>819.78</v>
      </c>
      <c r="Q1466" s="3">
        <f t="shared" si="113"/>
        <v>428.12</v>
      </c>
      <c r="R1466" s="4">
        <f t="shared" si="114"/>
        <v>0.34310000000000002</v>
      </c>
      <c r="S1466" s="2">
        <v>13</v>
      </c>
      <c r="T1466" t="s">
        <v>30</v>
      </c>
      <c r="U1466">
        <v>5</v>
      </c>
    </row>
    <row r="1467" spans="1:22" x14ac:dyDescent="0.25">
      <c r="A1467" s="1">
        <v>46136</v>
      </c>
      <c r="B1467" t="s">
        <v>1660</v>
      </c>
      <c r="C1467" t="s">
        <v>132</v>
      </c>
      <c r="D1467" t="s">
        <v>85</v>
      </c>
      <c r="E1467" t="s">
        <v>50</v>
      </c>
      <c r="F1467" t="s">
        <v>26</v>
      </c>
      <c r="G1467" t="s">
        <v>51</v>
      </c>
      <c r="H1467" t="s">
        <v>59</v>
      </c>
      <c r="I1467" t="s">
        <v>87</v>
      </c>
      <c r="J1467" s="2">
        <v>8</v>
      </c>
      <c r="K1467" s="3">
        <v>2315.69</v>
      </c>
      <c r="L1467" s="3">
        <v>1471.5</v>
      </c>
      <c r="M1467" s="4">
        <v>9.6299999999999997E-2</v>
      </c>
      <c r="N1467" s="3">
        <f t="shared" si="110"/>
        <v>18525.52</v>
      </c>
      <c r="O1467" s="3">
        <f t="shared" si="111"/>
        <v>16741.509999999998</v>
      </c>
      <c r="P1467" s="3">
        <f t="shared" si="112"/>
        <v>11772</v>
      </c>
      <c r="Q1467" s="3">
        <f t="shared" si="113"/>
        <v>4969.51</v>
      </c>
      <c r="R1467" s="4">
        <f t="shared" si="114"/>
        <v>0.29680000000000001</v>
      </c>
      <c r="S1467" s="2">
        <v>6</v>
      </c>
      <c r="T1467" t="s">
        <v>46</v>
      </c>
      <c r="U1467">
        <v>3</v>
      </c>
    </row>
    <row r="1468" spans="1:22" x14ac:dyDescent="0.25">
      <c r="A1468" s="1">
        <v>46231</v>
      </c>
      <c r="B1468" t="s">
        <v>1661</v>
      </c>
      <c r="C1468" t="s">
        <v>288</v>
      </c>
      <c r="D1468" t="s">
        <v>34</v>
      </c>
      <c r="E1468" t="s">
        <v>35</v>
      </c>
      <c r="F1468" t="s">
        <v>26</v>
      </c>
      <c r="G1468" t="s">
        <v>44</v>
      </c>
      <c r="H1468" t="s">
        <v>124</v>
      </c>
      <c r="I1468" t="s">
        <v>87</v>
      </c>
      <c r="J1468" s="2">
        <v>7</v>
      </c>
      <c r="K1468" s="3">
        <v>5694.85</v>
      </c>
      <c r="L1468" s="3">
        <v>4365.12</v>
      </c>
      <c r="M1468" s="4">
        <v>8.2299999999999998E-2</v>
      </c>
      <c r="N1468" s="3">
        <f t="shared" si="110"/>
        <v>39863.949999999997</v>
      </c>
      <c r="O1468" s="3">
        <f t="shared" si="111"/>
        <v>36583.15</v>
      </c>
      <c r="P1468" s="3">
        <f t="shared" si="112"/>
        <v>30555.84</v>
      </c>
      <c r="Q1468" s="3">
        <f t="shared" si="113"/>
        <v>6027.31</v>
      </c>
      <c r="R1468" s="4">
        <f t="shared" si="114"/>
        <v>0.1648</v>
      </c>
      <c r="S1468" s="2">
        <v>9</v>
      </c>
      <c r="T1468" t="s">
        <v>46</v>
      </c>
      <c r="U1468">
        <v>4</v>
      </c>
    </row>
    <row r="1469" spans="1:22" x14ac:dyDescent="0.25">
      <c r="A1469" s="1">
        <v>46190</v>
      </c>
      <c r="B1469" t="s">
        <v>1662</v>
      </c>
      <c r="C1469" t="s">
        <v>166</v>
      </c>
      <c r="D1469" t="s">
        <v>24</v>
      </c>
      <c r="E1469" t="s">
        <v>25</v>
      </c>
      <c r="F1469" t="s">
        <v>36</v>
      </c>
      <c r="G1469" t="s">
        <v>44</v>
      </c>
      <c r="H1469" t="s">
        <v>124</v>
      </c>
      <c r="I1469" t="s">
        <v>39</v>
      </c>
      <c r="J1469" s="2">
        <v>4</v>
      </c>
      <c r="K1469" s="3">
        <v>6084.34</v>
      </c>
      <c r="L1469" s="3">
        <v>4333.55</v>
      </c>
      <c r="M1469" s="4">
        <v>0</v>
      </c>
      <c r="N1469" s="3">
        <f t="shared" si="110"/>
        <v>24337.360000000001</v>
      </c>
      <c r="O1469" s="3">
        <f t="shared" si="111"/>
        <v>24337.360000000001</v>
      </c>
      <c r="P1469" s="3">
        <f t="shared" si="112"/>
        <v>17334.2</v>
      </c>
      <c r="Q1469" s="3">
        <f t="shared" si="113"/>
        <v>7003.16</v>
      </c>
      <c r="R1469" s="4">
        <f t="shared" si="114"/>
        <v>0.2878</v>
      </c>
      <c r="S1469" s="2">
        <v>9</v>
      </c>
      <c r="T1469" t="s">
        <v>46</v>
      </c>
      <c r="U1469">
        <v>3</v>
      </c>
    </row>
    <row r="1470" spans="1:22" x14ac:dyDescent="0.25">
      <c r="A1470" s="1">
        <v>46142</v>
      </c>
      <c r="B1470" t="s">
        <v>1663</v>
      </c>
      <c r="C1470" t="s">
        <v>206</v>
      </c>
      <c r="D1470" t="s">
        <v>85</v>
      </c>
      <c r="E1470" t="s">
        <v>50</v>
      </c>
      <c r="F1470" t="s">
        <v>26</v>
      </c>
      <c r="G1470" t="s">
        <v>44</v>
      </c>
      <c r="H1470" t="s">
        <v>45</v>
      </c>
      <c r="I1470" t="s">
        <v>39</v>
      </c>
      <c r="J1470" s="2">
        <v>1</v>
      </c>
      <c r="K1470" s="3">
        <v>374.29</v>
      </c>
      <c r="L1470" s="3">
        <v>215.89</v>
      </c>
      <c r="M1470" s="4">
        <v>0</v>
      </c>
      <c r="N1470" s="3">
        <f t="shared" si="110"/>
        <v>374.29</v>
      </c>
      <c r="O1470" s="3">
        <f t="shared" si="111"/>
        <v>374.29</v>
      </c>
      <c r="P1470" s="3">
        <f t="shared" si="112"/>
        <v>215.89</v>
      </c>
      <c r="Q1470" s="3">
        <f t="shared" si="113"/>
        <v>158.4</v>
      </c>
      <c r="R1470" s="4">
        <f t="shared" si="114"/>
        <v>0.42320000000000002</v>
      </c>
      <c r="S1470" s="2">
        <v>12</v>
      </c>
      <c r="T1470" t="s">
        <v>30</v>
      </c>
      <c r="U1470">
        <v>5</v>
      </c>
    </row>
    <row r="1471" spans="1:22" x14ac:dyDescent="0.25">
      <c r="A1471" s="1">
        <v>46210</v>
      </c>
      <c r="B1471" t="s">
        <v>1664</v>
      </c>
      <c r="C1471" t="s">
        <v>148</v>
      </c>
      <c r="D1471" t="s">
        <v>207</v>
      </c>
      <c r="E1471" t="s">
        <v>35</v>
      </c>
      <c r="F1471" t="s">
        <v>26</v>
      </c>
      <c r="G1471" t="s">
        <v>44</v>
      </c>
      <c r="H1471" t="s">
        <v>45</v>
      </c>
      <c r="I1471" t="s">
        <v>92</v>
      </c>
      <c r="J1471" s="2">
        <v>8</v>
      </c>
      <c r="K1471" s="3">
        <v>376.68</v>
      </c>
      <c r="L1471" s="3">
        <v>205.7</v>
      </c>
      <c r="M1471" s="4">
        <v>0</v>
      </c>
      <c r="N1471" s="3">
        <f t="shared" si="110"/>
        <v>3013.44</v>
      </c>
      <c r="O1471" s="3">
        <f t="shared" si="111"/>
        <v>3013.44</v>
      </c>
      <c r="P1471" s="3">
        <f t="shared" si="112"/>
        <v>1645.6</v>
      </c>
      <c r="Q1471" s="3">
        <f t="shared" si="113"/>
        <v>1367.84</v>
      </c>
      <c r="R1471" s="4">
        <f t="shared" si="114"/>
        <v>0.45390000000000003</v>
      </c>
      <c r="S1471" s="2">
        <v>3</v>
      </c>
      <c r="T1471" t="s">
        <v>46</v>
      </c>
      <c r="U1471">
        <v>2</v>
      </c>
    </row>
    <row r="1472" spans="1:22" x14ac:dyDescent="0.25">
      <c r="A1472" s="1">
        <v>46059</v>
      </c>
      <c r="B1472" t="s">
        <v>1665</v>
      </c>
      <c r="C1472" t="s">
        <v>42</v>
      </c>
      <c r="D1472" t="s">
        <v>126</v>
      </c>
      <c r="E1472" t="s">
        <v>57</v>
      </c>
      <c r="F1472" t="s">
        <v>26</v>
      </c>
      <c r="G1472" t="s">
        <v>37</v>
      </c>
      <c r="H1472" t="s">
        <v>178</v>
      </c>
      <c r="I1472" t="s">
        <v>74</v>
      </c>
      <c r="J1472" s="2">
        <v>5</v>
      </c>
      <c r="K1472" s="3">
        <v>514.20000000000005</v>
      </c>
      <c r="L1472" s="3">
        <v>236.14</v>
      </c>
      <c r="M1472" s="4">
        <v>6.08E-2</v>
      </c>
      <c r="N1472" s="3">
        <f t="shared" si="110"/>
        <v>2571</v>
      </c>
      <c r="O1472" s="3">
        <f t="shared" si="111"/>
        <v>2414.6799999999998</v>
      </c>
      <c r="P1472" s="3">
        <f t="shared" si="112"/>
        <v>1180.7</v>
      </c>
      <c r="Q1472" s="3">
        <f t="shared" si="113"/>
        <v>1233.98</v>
      </c>
      <c r="R1472" s="4">
        <f t="shared" si="114"/>
        <v>0.51100000000000001</v>
      </c>
      <c r="S1472" s="2">
        <v>8</v>
      </c>
      <c r="T1472" t="s">
        <v>46</v>
      </c>
      <c r="U1472">
        <v>5</v>
      </c>
    </row>
    <row r="1473" spans="1:22" x14ac:dyDescent="0.25">
      <c r="A1473" s="1">
        <v>46152</v>
      </c>
      <c r="B1473" t="s">
        <v>1666</v>
      </c>
      <c r="C1473" t="s">
        <v>317</v>
      </c>
      <c r="D1473" t="s">
        <v>71</v>
      </c>
      <c r="E1473" t="s">
        <v>72</v>
      </c>
      <c r="F1473" t="s">
        <v>36</v>
      </c>
      <c r="G1473" t="s">
        <v>37</v>
      </c>
      <c r="H1473" t="s">
        <v>38</v>
      </c>
      <c r="I1473" t="s">
        <v>53</v>
      </c>
      <c r="J1473" s="2">
        <v>8</v>
      </c>
      <c r="K1473" s="3">
        <v>452.22</v>
      </c>
      <c r="L1473" s="3">
        <v>204.15</v>
      </c>
      <c r="M1473" s="4">
        <v>5.2400000000000002E-2</v>
      </c>
      <c r="N1473" s="3">
        <f t="shared" si="110"/>
        <v>3617.76</v>
      </c>
      <c r="O1473" s="3">
        <f t="shared" si="111"/>
        <v>3428.19</v>
      </c>
      <c r="P1473" s="3">
        <f t="shared" si="112"/>
        <v>1633.2</v>
      </c>
      <c r="Q1473" s="3">
        <f t="shared" si="113"/>
        <v>1794.99</v>
      </c>
      <c r="R1473" s="4">
        <f t="shared" si="114"/>
        <v>0.52359999999999995</v>
      </c>
      <c r="S1473" s="2">
        <v>11</v>
      </c>
      <c r="T1473" t="s">
        <v>30</v>
      </c>
      <c r="U1473">
        <v>3</v>
      </c>
    </row>
    <row r="1474" spans="1:22" x14ac:dyDescent="0.25">
      <c r="A1474" s="1">
        <v>46202</v>
      </c>
      <c r="B1474" t="s">
        <v>1667</v>
      </c>
      <c r="C1474" t="s">
        <v>418</v>
      </c>
      <c r="D1474" t="s">
        <v>101</v>
      </c>
      <c r="E1474" t="s">
        <v>35</v>
      </c>
      <c r="F1474" t="s">
        <v>64</v>
      </c>
      <c r="G1474" t="s">
        <v>27</v>
      </c>
      <c r="H1474" t="s">
        <v>28</v>
      </c>
      <c r="I1474" t="s">
        <v>74</v>
      </c>
      <c r="J1474" s="2">
        <v>8</v>
      </c>
      <c r="K1474" s="3">
        <v>774.94</v>
      </c>
      <c r="L1474" s="3">
        <v>444.7</v>
      </c>
      <c r="M1474" s="4">
        <v>3.7199999999999997E-2</v>
      </c>
      <c r="N1474" s="3">
        <f t="shared" ref="N1474:N1537" si="115">ROUND(J1474*K1474,2)</f>
        <v>6199.52</v>
      </c>
      <c r="O1474" s="3">
        <f t="shared" ref="O1474:O1537" si="116">ROUND(N1474*(1-M1474),2)</f>
        <v>5968.9</v>
      </c>
      <c r="P1474" s="3">
        <f t="shared" ref="P1474:P1537" si="117">ROUND(J1474*L1474,2)</f>
        <v>3557.6</v>
      </c>
      <c r="Q1474" s="3">
        <f t="shared" ref="Q1474:Q1537" si="118">ROUND(O1474-P1474,2)</f>
        <v>2411.3000000000002</v>
      </c>
      <c r="R1474" s="4">
        <f t="shared" ref="R1474:R1537" si="119">IF(O1474=0,0,ROUND(Q1474/O1474,4))</f>
        <v>0.40400000000000003</v>
      </c>
      <c r="S1474" s="2">
        <v>12</v>
      </c>
      <c r="T1474" t="s">
        <v>30</v>
      </c>
      <c r="U1474">
        <v>4</v>
      </c>
    </row>
    <row r="1475" spans="1:22" x14ac:dyDescent="0.25">
      <c r="A1475" s="1">
        <v>46188</v>
      </c>
      <c r="B1475" t="s">
        <v>1668</v>
      </c>
      <c r="C1475" t="s">
        <v>514</v>
      </c>
      <c r="D1475" t="s">
        <v>130</v>
      </c>
      <c r="E1475" t="s">
        <v>72</v>
      </c>
      <c r="F1475" t="s">
        <v>26</v>
      </c>
      <c r="G1475" t="s">
        <v>27</v>
      </c>
      <c r="H1475" t="s">
        <v>28</v>
      </c>
      <c r="I1475" t="s">
        <v>29</v>
      </c>
      <c r="J1475" s="2">
        <v>6</v>
      </c>
      <c r="K1475" s="3">
        <v>794.54</v>
      </c>
      <c r="L1475" s="3">
        <v>473.66</v>
      </c>
      <c r="M1475" s="4">
        <v>7.0300000000000001E-2</v>
      </c>
      <c r="N1475" s="3">
        <f t="shared" si="115"/>
        <v>4767.24</v>
      </c>
      <c r="O1475" s="3">
        <f t="shared" si="116"/>
        <v>4432.1000000000004</v>
      </c>
      <c r="P1475" s="3">
        <f t="shared" si="117"/>
        <v>2841.96</v>
      </c>
      <c r="Q1475" s="3">
        <f t="shared" si="118"/>
        <v>1590.14</v>
      </c>
      <c r="R1475" s="4">
        <f t="shared" si="119"/>
        <v>0.35880000000000001</v>
      </c>
      <c r="S1475" s="2">
        <v>8</v>
      </c>
      <c r="T1475" t="s">
        <v>46</v>
      </c>
      <c r="U1475">
        <v>2</v>
      </c>
    </row>
    <row r="1476" spans="1:22" x14ac:dyDescent="0.25">
      <c r="A1476" s="1">
        <v>46101</v>
      </c>
      <c r="B1476" t="s">
        <v>1669</v>
      </c>
      <c r="C1476" t="s">
        <v>184</v>
      </c>
      <c r="D1476" t="s">
        <v>101</v>
      </c>
      <c r="E1476" t="s">
        <v>35</v>
      </c>
      <c r="F1476" t="s">
        <v>58</v>
      </c>
      <c r="G1476" t="s">
        <v>37</v>
      </c>
      <c r="H1476" t="s">
        <v>38</v>
      </c>
      <c r="I1476" t="s">
        <v>74</v>
      </c>
      <c r="J1476" s="2">
        <v>5</v>
      </c>
      <c r="K1476" s="3">
        <v>407.24</v>
      </c>
      <c r="L1476" s="3">
        <v>183.7</v>
      </c>
      <c r="M1476" s="4">
        <v>3.5000000000000003E-2</v>
      </c>
      <c r="N1476" s="3">
        <f t="shared" si="115"/>
        <v>2036.2</v>
      </c>
      <c r="O1476" s="3">
        <f t="shared" si="116"/>
        <v>1964.93</v>
      </c>
      <c r="P1476" s="3">
        <f t="shared" si="117"/>
        <v>918.5</v>
      </c>
      <c r="Q1476" s="3">
        <f t="shared" si="118"/>
        <v>1046.43</v>
      </c>
      <c r="R1476" s="4">
        <f t="shared" si="119"/>
        <v>0.53259999999999996</v>
      </c>
      <c r="S1476" s="2">
        <v>7</v>
      </c>
      <c r="T1476" t="s">
        <v>46</v>
      </c>
      <c r="U1476">
        <v>4</v>
      </c>
    </row>
    <row r="1477" spans="1:22" x14ac:dyDescent="0.25">
      <c r="A1477" s="1">
        <v>46111</v>
      </c>
      <c r="B1477" t="s">
        <v>1670</v>
      </c>
      <c r="C1477" t="s">
        <v>153</v>
      </c>
      <c r="D1477" t="s">
        <v>85</v>
      </c>
      <c r="E1477" t="s">
        <v>50</v>
      </c>
      <c r="F1477" t="s">
        <v>64</v>
      </c>
      <c r="G1477" t="s">
        <v>37</v>
      </c>
      <c r="H1477" t="s">
        <v>38</v>
      </c>
      <c r="I1477" t="s">
        <v>29</v>
      </c>
      <c r="J1477" s="2">
        <v>6</v>
      </c>
      <c r="K1477" s="3">
        <v>432.76</v>
      </c>
      <c r="L1477" s="3">
        <v>191.37</v>
      </c>
      <c r="M1477" s="4">
        <v>0</v>
      </c>
      <c r="N1477" s="3">
        <f t="shared" si="115"/>
        <v>2596.56</v>
      </c>
      <c r="O1477" s="3">
        <f t="shared" si="116"/>
        <v>2596.56</v>
      </c>
      <c r="P1477" s="3">
        <f t="shared" si="117"/>
        <v>1148.22</v>
      </c>
      <c r="Q1477" s="3">
        <f t="shared" si="118"/>
        <v>1448.34</v>
      </c>
      <c r="R1477" s="4">
        <f t="shared" si="119"/>
        <v>0.55779999999999996</v>
      </c>
      <c r="S1477" s="2">
        <v>13</v>
      </c>
      <c r="T1477" t="s">
        <v>30</v>
      </c>
      <c r="U1477">
        <v>3</v>
      </c>
    </row>
    <row r="1478" spans="1:22" x14ac:dyDescent="0.25">
      <c r="A1478" s="1">
        <v>46048</v>
      </c>
      <c r="B1478" t="s">
        <v>1671</v>
      </c>
      <c r="C1478" t="s">
        <v>118</v>
      </c>
      <c r="D1478" t="s">
        <v>130</v>
      </c>
      <c r="E1478" t="s">
        <v>72</v>
      </c>
      <c r="F1478" t="s">
        <v>64</v>
      </c>
      <c r="G1478" t="s">
        <v>37</v>
      </c>
      <c r="H1478" t="s">
        <v>178</v>
      </c>
      <c r="I1478" t="s">
        <v>65</v>
      </c>
      <c r="J1478" s="2">
        <v>7</v>
      </c>
      <c r="K1478" s="3">
        <v>534.65</v>
      </c>
      <c r="L1478" s="3">
        <v>254.87</v>
      </c>
      <c r="M1478" s="4">
        <v>0</v>
      </c>
      <c r="N1478" s="3">
        <f t="shared" si="115"/>
        <v>3742.55</v>
      </c>
      <c r="O1478" s="3">
        <f t="shared" si="116"/>
        <v>3742.55</v>
      </c>
      <c r="P1478" s="3">
        <f t="shared" si="117"/>
        <v>1784.09</v>
      </c>
      <c r="Q1478" s="3">
        <f t="shared" si="118"/>
        <v>1958.46</v>
      </c>
      <c r="R1478" s="4">
        <f t="shared" si="119"/>
        <v>0.52329999999999999</v>
      </c>
      <c r="S1478" s="2">
        <v>2</v>
      </c>
      <c r="T1478" t="s">
        <v>46</v>
      </c>
      <c r="U1478">
        <v>4</v>
      </c>
    </row>
    <row r="1479" spans="1:22" x14ac:dyDescent="0.25">
      <c r="A1479" s="1">
        <v>46198</v>
      </c>
      <c r="B1479" t="s">
        <v>1672</v>
      </c>
      <c r="C1479" t="s">
        <v>331</v>
      </c>
      <c r="D1479" t="s">
        <v>121</v>
      </c>
      <c r="E1479" t="s">
        <v>72</v>
      </c>
      <c r="F1479" t="s">
        <v>26</v>
      </c>
      <c r="G1479" t="s">
        <v>44</v>
      </c>
      <c r="H1479" t="s">
        <v>73</v>
      </c>
      <c r="I1479" t="s">
        <v>53</v>
      </c>
      <c r="J1479" s="2">
        <v>4</v>
      </c>
      <c r="K1479" s="3">
        <v>1597.23</v>
      </c>
      <c r="L1479" s="3">
        <v>1785.72</v>
      </c>
      <c r="M1479" s="4">
        <v>0.10150000000000001</v>
      </c>
      <c r="N1479" s="3">
        <f t="shared" si="115"/>
        <v>6388.92</v>
      </c>
      <c r="O1479" s="3">
        <f t="shared" si="116"/>
        <v>5740.44</v>
      </c>
      <c r="P1479" s="3">
        <f t="shared" si="117"/>
        <v>7142.88</v>
      </c>
      <c r="Q1479" s="3">
        <f t="shared" si="118"/>
        <v>-1402.44</v>
      </c>
      <c r="R1479" s="4">
        <f t="shared" si="119"/>
        <v>-0.24429999999999999</v>
      </c>
      <c r="S1479" s="2">
        <v>6</v>
      </c>
      <c r="T1479" t="s">
        <v>46</v>
      </c>
      <c r="U1479">
        <v>3</v>
      </c>
      <c r="V1479" t="s">
        <v>388</v>
      </c>
    </row>
    <row r="1480" spans="1:22" x14ac:dyDescent="0.25">
      <c r="A1480" s="1">
        <v>46126</v>
      </c>
      <c r="B1480" t="s">
        <v>1673</v>
      </c>
      <c r="C1480" t="s">
        <v>155</v>
      </c>
      <c r="D1480" t="s">
        <v>34</v>
      </c>
      <c r="E1480" t="s">
        <v>35</v>
      </c>
      <c r="F1480" t="s">
        <v>26</v>
      </c>
      <c r="G1480" t="s">
        <v>51</v>
      </c>
      <c r="H1480" t="s">
        <v>52</v>
      </c>
      <c r="I1480" t="s">
        <v>77</v>
      </c>
      <c r="J1480" s="2">
        <v>5</v>
      </c>
      <c r="K1480" s="3">
        <v>244.95</v>
      </c>
      <c r="L1480" s="3">
        <v>117.92</v>
      </c>
      <c r="M1480" s="4">
        <v>6.3700000000000007E-2</v>
      </c>
      <c r="N1480" s="3">
        <f t="shared" si="115"/>
        <v>1224.75</v>
      </c>
      <c r="O1480" s="3">
        <f t="shared" si="116"/>
        <v>1146.73</v>
      </c>
      <c r="P1480" s="3">
        <f t="shared" si="117"/>
        <v>589.6</v>
      </c>
      <c r="Q1480" s="3">
        <f t="shared" si="118"/>
        <v>557.13</v>
      </c>
      <c r="R1480" s="4">
        <f t="shared" si="119"/>
        <v>0.48580000000000001</v>
      </c>
      <c r="S1480" s="2">
        <v>7</v>
      </c>
      <c r="T1480" t="s">
        <v>46</v>
      </c>
      <c r="U1480">
        <v>5</v>
      </c>
    </row>
    <row r="1481" spans="1:22" x14ac:dyDescent="0.25">
      <c r="A1481" s="1">
        <v>46201</v>
      </c>
      <c r="B1481" t="s">
        <v>1674</v>
      </c>
      <c r="C1481" t="s">
        <v>118</v>
      </c>
      <c r="D1481" t="s">
        <v>85</v>
      </c>
      <c r="E1481" t="s">
        <v>50</v>
      </c>
      <c r="F1481" t="s">
        <v>26</v>
      </c>
      <c r="G1481" t="s">
        <v>44</v>
      </c>
      <c r="H1481" t="s">
        <v>73</v>
      </c>
      <c r="I1481" t="s">
        <v>87</v>
      </c>
      <c r="J1481" s="2">
        <v>6</v>
      </c>
      <c r="K1481" s="3">
        <v>1725.64</v>
      </c>
      <c r="L1481" s="3">
        <v>1096.8599999999999</v>
      </c>
      <c r="M1481" s="4">
        <v>0</v>
      </c>
      <c r="N1481" s="3">
        <f t="shared" si="115"/>
        <v>10353.84</v>
      </c>
      <c r="O1481" s="3">
        <f t="shared" si="116"/>
        <v>10353.84</v>
      </c>
      <c r="P1481" s="3">
        <f t="shared" si="117"/>
        <v>6581.16</v>
      </c>
      <c r="Q1481" s="3">
        <f t="shared" si="118"/>
        <v>3772.68</v>
      </c>
      <c r="R1481" s="4">
        <f t="shared" si="119"/>
        <v>0.3644</v>
      </c>
      <c r="S1481" s="2">
        <v>3</v>
      </c>
      <c r="T1481" t="s">
        <v>46</v>
      </c>
      <c r="U1481">
        <v>4</v>
      </c>
    </row>
    <row r="1482" spans="1:22" x14ac:dyDescent="0.25">
      <c r="A1482" s="1">
        <v>46024</v>
      </c>
      <c r="B1482" t="s">
        <v>1675</v>
      </c>
      <c r="C1482" t="s">
        <v>251</v>
      </c>
      <c r="D1482" t="s">
        <v>85</v>
      </c>
      <c r="E1482" t="s">
        <v>50</v>
      </c>
      <c r="F1482" t="s">
        <v>26</v>
      </c>
      <c r="G1482" t="s">
        <v>27</v>
      </c>
      <c r="H1482" t="s">
        <v>86</v>
      </c>
      <c r="I1482" t="s">
        <v>60</v>
      </c>
      <c r="J1482" s="2">
        <v>5</v>
      </c>
      <c r="K1482" s="3">
        <v>1964.97</v>
      </c>
      <c r="L1482" s="3">
        <v>1204.3499999999999</v>
      </c>
      <c r="M1482" s="4">
        <v>7.8799999999999995E-2</v>
      </c>
      <c r="N1482" s="3">
        <f t="shared" si="115"/>
        <v>9824.85</v>
      </c>
      <c r="O1482" s="3">
        <f t="shared" si="116"/>
        <v>9050.65</v>
      </c>
      <c r="P1482" s="3">
        <f t="shared" si="117"/>
        <v>6021.75</v>
      </c>
      <c r="Q1482" s="3">
        <f t="shared" si="118"/>
        <v>3028.9</v>
      </c>
      <c r="R1482" s="4">
        <f t="shared" si="119"/>
        <v>0.3347</v>
      </c>
      <c r="S1482" s="2">
        <v>8</v>
      </c>
      <c r="T1482" t="s">
        <v>46</v>
      </c>
      <c r="U1482">
        <v>4</v>
      </c>
    </row>
    <row r="1483" spans="1:22" x14ac:dyDescent="0.25">
      <c r="A1483" s="1">
        <v>46089</v>
      </c>
      <c r="B1483" t="s">
        <v>1676</v>
      </c>
      <c r="C1483" t="s">
        <v>42</v>
      </c>
      <c r="D1483" t="s">
        <v>113</v>
      </c>
      <c r="E1483" t="s">
        <v>50</v>
      </c>
      <c r="F1483" t="s">
        <v>58</v>
      </c>
      <c r="G1483" t="s">
        <v>27</v>
      </c>
      <c r="H1483" t="s">
        <v>86</v>
      </c>
      <c r="I1483" t="s">
        <v>94</v>
      </c>
      <c r="J1483" s="2">
        <v>6</v>
      </c>
      <c r="K1483" s="3">
        <v>1984.33</v>
      </c>
      <c r="L1483" s="3">
        <v>1196.1099999999999</v>
      </c>
      <c r="M1483" s="4">
        <v>3.5000000000000003E-2</v>
      </c>
      <c r="N1483" s="3">
        <f t="shared" si="115"/>
        <v>11905.98</v>
      </c>
      <c r="O1483" s="3">
        <f t="shared" si="116"/>
        <v>11489.27</v>
      </c>
      <c r="P1483" s="3">
        <f t="shared" si="117"/>
        <v>7176.66</v>
      </c>
      <c r="Q1483" s="3">
        <f t="shared" si="118"/>
        <v>4312.6099999999997</v>
      </c>
      <c r="R1483" s="4">
        <f t="shared" si="119"/>
        <v>0.37540000000000001</v>
      </c>
      <c r="S1483" s="2">
        <v>13</v>
      </c>
      <c r="T1483" t="s">
        <v>30</v>
      </c>
      <c r="U1483">
        <v>4</v>
      </c>
    </row>
    <row r="1484" spans="1:22" x14ac:dyDescent="0.25">
      <c r="A1484" s="1">
        <v>46058</v>
      </c>
      <c r="B1484" t="s">
        <v>1677</v>
      </c>
      <c r="C1484" t="s">
        <v>155</v>
      </c>
      <c r="D1484" t="s">
        <v>113</v>
      </c>
      <c r="E1484" t="s">
        <v>50</v>
      </c>
      <c r="F1484" t="s">
        <v>58</v>
      </c>
      <c r="G1484" t="s">
        <v>44</v>
      </c>
      <c r="H1484" t="s">
        <v>124</v>
      </c>
      <c r="I1484" t="s">
        <v>74</v>
      </c>
      <c r="J1484" s="2">
        <v>3</v>
      </c>
      <c r="K1484" s="3">
        <v>5687.28</v>
      </c>
      <c r="L1484" s="3">
        <v>4148.0200000000004</v>
      </c>
      <c r="M1484" s="4">
        <v>8.2500000000000004E-2</v>
      </c>
      <c r="N1484" s="3">
        <f t="shared" si="115"/>
        <v>17061.84</v>
      </c>
      <c r="O1484" s="3">
        <f t="shared" si="116"/>
        <v>15654.24</v>
      </c>
      <c r="P1484" s="3">
        <f t="shared" si="117"/>
        <v>12444.06</v>
      </c>
      <c r="Q1484" s="3">
        <f t="shared" si="118"/>
        <v>3210.18</v>
      </c>
      <c r="R1484" s="4">
        <f t="shared" si="119"/>
        <v>0.2051</v>
      </c>
      <c r="S1484" s="2">
        <v>12</v>
      </c>
      <c r="T1484" t="s">
        <v>30</v>
      </c>
      <c r="U1484">
        <v>3</v>
      </c>
    </row>
    <row r="1485" spans="1:22" x14ac:dyDescent="0.25">
      <c r="A1485" s="1">
        <v>46182</v>
      </c>
      <c r="B1485" t="s">
        <v>1678</v>
      </c>
      <c r="C1485" t="s">
        <v>384</v>
      </c>
      <c r="D1485" t="s">
        <v>43</v>
      </c>
      <c r="E1485" t="s">
        <v>25</v>
      </c>
      <c r="F1485" t="s">
        <v>26</v>
      </c>
      <c r="G1485" t="s">
        <v>37</v>
      </c>
      <c r="H1485" t="s">
        <v>104</v>
      </c>
      <c r="I1485" t="s">
        <v>77</v>
      </c>
      <c r="J1485" s="2">
        <v>5</v>
      </c>
      <c r="K1485" s="3">
        <v>316.92</v>
      </c>
      <c r="L1485" s="3">
        <v>139.80000000000001</v>
      </c>
      <c r="M1485" s="4">
        <v>0</v>
      </c>
      <c r="N1485" s="3">
        <f t="shared" si="115"/>
        <v>1584.6</v>
      </c>
      <c r="O1485" s="3">
        <f t="shared" si="116"/>
        <v>1584.6</v>
      </c>
      <c r="P1485" s="3">
        <f t="shared" si="117"/>
        <v>699</v>
      </c>
      <c r="Q1485" s="3">
        <f t="shared" si="118"/>
        <v>885.6</v>
      </c>
      <c r="R1485" s="4">
        <f t="shared" si="119"/>
        <v>0.55889999999999995</v>
      </c>
      <c r="S1485" s="2">
        <v>2</v>
      </c>
      <c r="T1485" t="s">
        <v>46</v>
      </c>
      <c r="U1485">
        <v>5</v>
      </c>
    </row>
    <row r="1486" spans="1:22" x14ac:dyDescent="0.25">
      <c r="A1486" s="1">
        <v>46217</v>
      </c>
      <c r="B1486" t="s">
        <v>1679</v>
      </c>
      <c r="C1486" t="s">
        <v>523</v>
      </c>
      <c r="D1486" t="s">
        <v>71</v>
      </c>
      <c r="E1486" t="s">
        <v>72</v>
      </c>
      <c r="F1486" t="s">
        <v>26</v>
      </c>
      <c r="G1486" t="s">
        <v>51</v>
      </c>
      <c r="H1486" t="s">
        <v>59</v>
      </c>
      <c r="I1486" t="s">
        <v>65</v>
      </c>
      <c r="J1486" s="2">
        <v>5</v>
      </c>
      <c r="K1486" s="3">
        <v>2273.4699999999998</v>
      </c>
      <c r="L1486" s="3">
        <v>1428.68</v>
      </c>
      <c r="M1486" s="4">
        <v>0.11360000000000001</v>
      </c>
      <c r="N1486" s="3">
        <f t="shared" si="115"/>
        <v>11367.35</v>
      </c>
      <c r="O1486" s="3">
        <f t="shared" si="116"/>
        <v>10076.02</v>
      </c>
      <c r="P1486" s="3">
        <f t="shared" si="117"/>
        <v>7143.4</v>
      </c>
      <c r="Q1486" s="3">
        <f t="shared" si="118"/>
        <v>2932.62</v>
      </c>
      <c r="R1486" s="4">
        <f t="shared" si="119"/>
        <v>0.29099999999999998</v>
      </c>
      <c r="S1486" s="2">
        <v>5</v>
      </c>
      <c r="T1486" t="s">
        <v>46</v>
      </c>
      <c r="U1486">
        <v>5</v>
      </c>
    </row>
    <row r="1487" spans="1:22" x14ac:dyDescent="0.25">
      <c r="A1487" s="1">
        <v>46047</v>
      </c>
      <c r="B1487" t="s">
        <v>1680</v>
      </c>
      <c r="C1487" t="s">
        <v>356</v>
      </c>
      <c r="D1487" t="s">
        <v>85</v>
      </c>
      <c r="E1487" t="s">
        <v>50</v>
      </c>
      <c r="F1487" t="s">
        <v>58</v>
      </c>
      <c r="G1487" t="s">
        <v>44</v>
      </c>
      <c r="H1487" t="s">
        <v>45</v>
      </c>
      <c r="I1487" t="s">
        <v>65</v>
      </c>
      <c r="J1487" s="2">
        <v>3</v>
      </c>
      <c r="K1487" s="3">
        <v>405.88</v>
      </c>
      <c r="L1487" s="3">
        <v>203.6</v>
      </c>
      <c r="M1487" s="4">
        <v>3.5000000000000003E-2</v>
      </c>
      <c r="N1487" s="3">
        <f t="shared" si="115"/>
        <v>1217.6400000000001</v>
      </c>
      <c r="O1487" s="3">
        <f t="shared" si="116"/>
        <v>1175.02</v>
      </c>
      <c r="P1487" s="3">
        <f t="shared" si="117"/>
        <v>610.79999999999995</v>
      </c>
      <c r="Q1487" s="3">
        <f t="shared" si="118"/>
        <v>564.22</v>
      </c>
      <c r="R1487" s="4">
        <f t="shared" si="119"/>
        <v>0.48020000000000002</v>
      </c>
      <c r="S1487" s="2">
        <v>5</v>
      </c>
      <c r="T1487" t="s">
        <v>46</v>
      </c>
      <c r="U1487">
        <v>3</v>
      </c>
    </row>
    <row r="1488" spans="1:22" x14ac:dyDescent="0.25">
      <c r="A1488" s="1">
        <v>46221</v>
      </c>
      <c r="B1488" t="s">
        <v>1681</v>
      </c>
      <c r="C1488" t="s">
        <v>184</v>
      </c>
      <c r="D1488" t="s">
        <v>121</v>
      </c>
      <c r="E1488" t="s">
        <v>72</v>
      </c>
      <c r="F1488" t="s">
        <v>26</v>
      </c>
      <c r="G1488" t="s">
        <v>27</v>
      </c>
      <c r="H1488" t="s">
        <v>28</v>
      </c>
      <c r="I1488" t="s">
        <v>53</v>
      </c>
      <c r="J1488" s="2">
        <v>4</v>
      </c>
      <c r="K1488" s="3">
        <v>768.59</v>
      </c>
      <c r="L1488" s="3">
        <v>466.08</v>
      </c>
      <c r="M1488" s="4">
        <v>2.1600000000000001E-2</v>
      </c>
      <c r="N1488" s="3">
        <f t="shared" si="115"/>
        <v>3074.36</v>
      </c>
      <c r="O1488" s="3">
        <f t="shared" si="116"/>
        <v>3007.95</v>
      </c>
      <c r="P1488" s="3">
        <f t="shared" si="117"/>
        <v>1864.32</v>
      </c>
      <c r="Q1488" s="3">
        <f t="shared" si="118"/>
        <v>1143.6300000000001</v>
      </c>
      <c r="R1488" s="4">
        <f t="shared" si="119"/>
        <v>0.38019999999999998</v>
      </c>
      <c r="S1488" s="2">
        <v>8</v>
      </c>
      <c r="T1488" t="s">
        <v>46</v>
      </c>
      <c r="U1488">
        <v>4</v>
      </c>
    </row>
    <row r="1489" spans="1:21" x14ac:dyDescent="0.25">
      <c r="A1489" s="1">
        <v>46198</v>
      </c>
      <c r="B1489" t="s">
        <v>1682</v>
      </c>
      <c r="C1489" t="s">
        <v>123</v>
      </c>
      <c r="D1489" t="s">
        <v>97</v>
      </c>
      <c r="E1489" t="s">
        <v>57</v>
      </c>
      <c r="F1489" t="s">
        <v>58</v>
      </c>
      <c r="G1489" t="s">
        <v>27</v>
      </c>
      <c r="H1489" t="s">
        <v>68</v>
      </c>
      <c r="I1489" t="s">
        <v>92</v>
      </c>
      <c r="J1489" s="2">
        <v>7</v>
      </c>
      <c r="K1489" s="3">
        <v>1299.45</v>
      </c>
      <c r="L1489" s="3">
        <v>791.14</v>
      </c>
      <c r="M1489" s="4">
        <v>3.5000000000000003E-2</v>
      </c>
      <c r="N1489" s="3">
        <f t="shared" si="115"/>
        <v>9096.15</v>
      </c>
      <c r="O1489" s="3">
        <f t="shared" si="116"/>
        <v>8777.7800000000007</v>
      </c>
      <c r="P1489" s="3">
        <f t="shared" si="117"/>
        <v>5537.98</v>
      </c>
      <c r="Q1489" s="3">
        <f t="shared" si="118"/>
        <v>3239.8</v>
      </c>
      <c r="R1489" s="4">
        <f t="shared" si="119"/>
        <v>0.36909999999999998</v>
      </c>
      <c r="S1489" s="2">
        <v>10</v>
      </c>
      <c r="T1489" t="s">
        <v>40</v>
      </c>
    </row>
    <row r="1490" spans="1:21" x14ac:dyDescent="0.25">
      <c r="A1490" s="1">
        <v>46100</v>
      </c>
      <c r="B1490" t="s">
        <v>1683</v>
      </c>
      <c r="C1490" t="s">
        <v>132</v>
      </c>
      <c r="D1490" t="s">
        <v>97</v>
      </c>
      <c r="E1490" t="s">
        <v>57</v>
      </c>
      <c r="F1490" t="s">
        <v>36</v>
      </c>
      <c r="G1490" t="s">
        <v>37</v>
      </c>
      <c r="H1490" t="s">
        <v>38</v>
      </c>
      <c r="I1490" t="s">
        <v>53</v>
      </c>
      <c r="J1490" s="2">
        <v>1</v>
      </c>
      <c r="K1490" s="3">
        <v>448.77</v>
      </c>
      <c r="L1490" s="3">
        <v>192.02</v>
      </c>
      <c r="M1490" s="4">
        <v>0</v>
      </c>
      <c r="N1490" s="3">
        <f t="shared" si="115"/>
        <v>448.77</v>
      </c>
      <c r="O1490" s="3">
        <f t="shared" si="116"/>
        <v>448.77</v>
      </c>
      <c r="P1490" s="3">
        <f t="shared" si="117"/>
        <v>192.02</v>
      </c>
      <c r="Q1490" s="3">
        <f t="shared" si="118"/>
        <v>256.75</v>
      </c>
      <c r="R1490" s="4">
        <f t="shared" si="119"/>
        <v>0.57210000000000005</v>
      </c>
      <c r="S1490" s="2">
        <v>2</v>
      </c>
      <c r="T1490" t="s">
        <v>46</v>
      </c>
      <c r="U1490">
        <v>3</v>
      </c>
    </row>
    <row r="1491" spans="1:21" x14ac:dyDescent="0.25">
      <c r="A1491" s="1">
        <v>46127</v>
      </c>
      <c r="B1491" t="s">
        <v>1684</v>
      </c>
      <c r="C1491" t="s">
        <v>123</v>
      </c>
      <c r="D1491" t="s">
        <v>126</v>
      </c>
      <c r="E1491" t="s">
        <v>57</v>
      </c>
      <c r="F1491" t="s">
        <v>58</v>
      </c>
      <c r="G1491" t="s">
        <v>37</v>
      </c>
      <c r="H1491" t="s">
        <v>104</v>
      </c>
      <c r="I1491" t="s">
        <v>77</v>
      </c>
      <c r="J1491" s="2">
        <v>5</v>
      </c>
      <c r="K1491" s="3">
        <v>310.10000000000002</v>
      </c>
      <c r="L1491" s="3">
        <v>139.36000000000001</v>
      </c>
      <c r="M1491" s="4">
        <v>0.1331</v>
      </c>
      <c r="N1491" s="3">
        <f t="shared" si="115"/>
        <v>1550.5</v>
      </c>
      <c r="O1491" s="3">
        <f t="shared" si="116"/>
        <v>1344.13</v>
      </c>
      <c r="P1491" s="3">
        <f t="shared" si="117"/>
        <v>696.8</v>
      </c>
      <c r="Q1491" s="3">
        <f t="shared" si="118"/>
        <v>647.33000000000004</v>
      </c>
      <c r="R1491" s="4">
        <f t="shared" si="119"/>
        <v>0.48159999999999997</v>
      </c>
      <c r="S1491" s="2">
        <v>14</v>
      </c>
      <c r="T1491" t="s">
        <v>30</v>
      </c>
      <c r="U1491">
        <v>4</v>
      </c>
    </row>
    <row r="1492" spans="1:21" x14ac:dyDescent="0.25">
      <c r="A1492" s="1">
        <v>46125</v>
      </c>
      <c r="B1492" t="s">
        <v>1685</v>
      </c>
      <c r="C1492" t="s">
        <v>110</v>
      </c>
      <c r="D1492" t="s">
        <v>97</v>
      </c>
      <c r="E1492" t="s">
        <v>57</v>
      </c>
      <c r="F1492" t="s">
        <v>26</v>
      </c>
      <c r="G1492" t="s">
        <v>27</v>
      </c>
      <c r="H1492" t="s">
        <v>28</v>
      </c>
      <c r="I1492" t="s">
        <v>39</v>
      </c>
      <c r="J1492" s="2">
        <v>6</v>
      </c>
      <c r="K1492" s="3">
        <v>829.06</v>
      </c>
      <c r="L1492" s="3">
        <v>438.6</v>
      </c>
      <c r="M1492" s="4">
        <v>0.1173</v>
      </c>
      <c r="N1492" s="3">
        <f t="shared" si="115"/>
        <v>4974.3599999999997</v>
      </c>
      <c r="O1492" s="3">
        <f t="shared" si="116"/>
        <v>4390.87</v>
      </c>
      <c r="P1492" s="3">
        <f t="shared" si="117"/>
        <v>2631.6</v>
      </c>
      <c r="Q1492" s="3">
        <f t="shared" si="118"/>
        <v>1759.27</v>
      </c>
      <c r="R1492" s="4">
        <f t="shared" si="119"/>
        <v>0.4007</v>
      </c>
      <c r="S1492" s="2">
        <v>11</v>
      </c>
      <c r="T1492" t="s">
        <v>30</v>
      </c>
      <c r="U1492">
        <v>5</v>
      </c>
    </row>
    <row r="1493" spans="1:21" x14ac:dyDescent="0.25">
      <c r="A1493" s="1">
        <v>46121</v>
      </c>
      <c r="B1493" t="s">
        <v>1686</v>
      </c>
      <c r="C1493" t="s">
        <v>67</v>
      </c>
      <c r="D1493" t="s">
        <v>139</v>
      </c>
      <c r="E1493" t="s">
        <v>72</v>
      </c>
      <c r="F1493" t="s">
        <v>26</v>
      </c>
      <c r="G1493" t="s">
        <v>44</v>
      </c>
      <c r="H1493" t="s">
        <v>73</v>
      </c>
      <c r="I1493" t="s">
        <v>60</v>
      </c>
      <c r="J1493" s="2">
        <v>7</v>
      </c>
      <c r="K1493" s="3">
        <v>1767.82</v>
      </c>
      <c r="L1493" s="3">
        <v>1154.8800000000001</v>
      </c>
      <c r="M1493" s="4">
        <v>8.2100000000000006E-2</v>
      </c>
      <c r="N1493" s="3">
        <f t="shared" si="115"/>
        <v>12374.74</v>
      </c>
      <c r="O1493" s="3">
        <f t="shared" si="116"/>
        <v>11358.77</v>
      </c>
      <c r="P1493" s="3">
        <f t="shared" si="117"/>
        <v>8084.16</v>
      </c>
      <c r="Q1493" s="3">
        <f t="shared" si="118"/>
        <v>3274.61</v>
      </c>
      <c r="R1493" s="4">
        <f t="shared" si="119"/>
        <v>0.2883</v>
      </c>
      <c r="S1493" s="2">
        <v>12</v>
      </c>
      <c r="T1493" t="s">
        <v>30</v>
      </c>
      <c r="U1493">
        <v>3</v>
      </c>
    </row>
    <row r="1494" spans="1:21" x14ac:dyDescent="0.25">
      <c r="A1494" s="1">
        <v>46067</v>
      </c>
      <c r="B1494" t="s">
        <v>1687</v>
      </c>
      <c r="C1494" t="s">
        <v>184</v>
      </c>
      <c r="D1494" t="s">
        <v>85</v>
      </c>
      <c r="E1494" t="s">
        <v>50</v>
      </c>
      <c r="F1494" t="s">
        <v>36</v>
      </c>
      <c r="G1494" t="s">
        <v>27</v>
      </c>
      <c r="H1494" t="s">
        <v>68</v>
      </c>
      <c r="I1494" t="s">
        <v>53</v>
      </c>
      <c r="J1494" s="2">
        <v>5</v>
      </c>
      <c r="K1494" s="3">
        <v>1341.94</v>
      </c>
      <c r="L1494" s="3">
        <v>790.44</v>
      </c>
      <c r="M1494" s="4">
        <v>0</v>
      </c>
      <c r="N1494" s="3">
        <f t="shared" si="115"/>
        <v>6709.7</v>
      </c>
      <c r="O1494" s="3">
        <f t="shared" si="116"/>
        <v>6709.7</v>
      </c>
      <c r="P1494" s="3">
        <f t="shared" si="117"/>
        <v>3952.2</v>
      </c>
      <c r="Q1494" s="3">
        <f t="shared" si="118"/>
        <v>2757.5</v>
      </c>
      <c r="R1494" s="4">
        <f t="shared" si="119"/>
        <v>0.41099999999999998</v>
      </c>
      <c r="S1494" s="2">
        <v>6</v>
      </c>
      <c r="T1494" t="s">
        <v>46</v>
      </c>
      <c r="U1494">
        <v>4</v>
      </c>
    </row>
    <row r="1495" spans="1:21" x14ac:dyDescent="0.25">
      <c r="A1495" s="1">
        <v>46195</v>
      </c>
      <c r="B1495" t="s">
        <v>1688</v>
      </c>
      <c r="C1495" t="s">
        <v>240</v>
      </c>
      <c r="D1495" t="s">
        <v>130</v>
      </c>
      <c r="E1495" t="s">
        <v>72</v>
      </c>
      <c r="F1495" t="s">
        <v>58</v>
      </c>
      <c r="G1495" t="s">
        <v>44</v>
      </c>
      <c r="H1495" t="s">
        <v>45</v>
      </c>
      <c r="I1495" t="s">
        <v>29</v>
      </c>
      <c r="J1495" s="2">
        <v>8</v>
      </c>
      <c r="K1495" s="3">
        <v>371.51</v>
      </c>
      <c r="L1495" s="3">
        <v>216.38</v>
      </c>
      <c r="M1495" s="4">
        <v>3.5000000000000003E-2</v>
      </c>
      <c r="N1495" s="3">
        <f t="shared" si="115"/>
        <v>2972.08</v>
      </c>
      <c r="O1495" s="3">
        <f t="shared" si="116"/>
        <v>2868.06</v>
      </c>
      <c r="P1495" s="3">
        <f t="shared" si="117"/>
        <v>1731.04</v>
      </c>
      <c r="Q1495" s="3">
        <f t="shared" si="118"/>
        <v>1137.02</v>
      </c>
      <c r="R1495" s="4">
        <f t="shared" si="119"/>
        <v>0.39639999999999997</v>
      </c>
      <c r="S1495" s="2">
        <v>2</v>
      </c>
      <c r="T1495" t="s">
        <v>40</v>
      </c>
    </row>
    <row r="1496" spans="1:21" x14ac:dyDescent="0.25">
      <c r="A1496" s="1">
        <v>46091</v>
      </c>
      <c r="B1496" t="s">
        <v>1689</v>
      </c>
      <c r="C1496" t="s">
        <v>284</v>
      </c>
      <c r="D1496" t="s">
        <v>101</v>
      </c>
      <c r="E1496" t="s">
        <v>35</v>
      </c>
      <c r="F1496" t="s">
        <v>64</v>
      </c>
      <c r="G1496" t="s">
        <v>44</v>
      </c>
      <c r="H1496" t="s">
        <v>73</v>
      </c>
      <c r="I1496" t="s">
        <v>65</v>
      </c>
      <c r="J1496" s="2">
        <v>4</v>
      </c>
      <c r="K1496" s="3">
        <v>1657.33</v>
      </c>
      <c r="L1496" s="3">
        <v>1083</v>
      </c>
      <c r="M1496" s="4">
        <v>0</v>
      </c>
      <c r="N1496" s="3">
        <f t="shared" si="115"/>
        <v>6629.32</v>
      </c>
      <c r="O1496" s="3">
        <f t="shared" si="116"/>
        <v>6629.32</v>
      </c>
      <c r="P1496" s="3">
        <f t="shared" si="117"/>
        <v>4332</v>
      </c>
      <c r="Q1496" s="3">
        <f t="shared" si="118"/>
        <v>2297.3200000000002</v>
      </c>
      <c r="R1496" s="4">
        <f t="shared" si="119"/>
        <v>0.34649999999999997</v>
      </c>
      <c r="S1496" s="2">
        <v>8</v>
      </c>
      <c r="T1496" t="s">
        <v>46</v>
      </c>
      <c r="U1496">
        <v>3</v>
      </c>
    </row>
    <row r="1497" spans="1:21" x14ac:dyDescent="0.25">
      <c r="A1497" s="1">
        <v>46099</v>
      </c>
      <c r="B1497" t="s">
        <v>1690</v>
      </c>
      <c r="C1497" t="s">
        <v>100</v>
      </c>
      <c r="D1497" t="s">
        <v>71</v>
      </c>
      <c r="E1497" t="s">
        <v>72</v>
      </c>
      <c r="F1497" t="s">
        <v>36</v>
      </c>
      <c r="G1497" t="s">
        <v>27</v>
      </c>
      <c r="H1497" t="s">
        <v>28</v>
      </c>
      <c r="I1497" t="s">
        <v>39</v>
      </c>
      <c r="J1497" s="2">
        <v>2</v>
      </c>
      <c r="K1497" s="3">
        <v>825.81</v>
      </c>
      <c r="L1497" s="3">
        <v>493.98</v>
      </c>
      <c r="M1497" s="4">
        <v>0</v>
      </c>
      <c r="N1497" s="3">
        <f t="shared" si="115"/>
        <v>1651.62</v>
      </c>
      <c r="O1497" s="3">
        <f t="shared" si="116"/>
        <v>1651.62</v>
      </c>
      <c r="P1497" s="3">
        <f t="shared" si="117"/>
        <v>987.96</v>
      </c>
      <c r="Q1497" s="3">
        <f t="shared" si="118"/>
        <v>663.66</v>
      </c>
      <c r="R1497" s="4">
        <f t="shared" si="119"/>
        <v>0.40179999999999999</v>
      </c>
      <c r="S1497" s="2">
        <v>8</v>
      </c>
      <c r="T1497" t="s">
        <v>46</v>
      </c>
      <c r="U1497">
        <v>5</v>
      </c>
    </row>
    <row r="1498" spans="1:21" x14ac:dyDescent="0.25">
      <c r="A1498" s="1">
        <v>46098</v>
      </c>
      <c r="B1498" t="s">
        <v>1691</v>
      </c>
      <c r="C1498" t="s">
        <v>297</v>
      </c>
      <c r="D1498" t="s">
        <v>63</v>
      </c>
      <c r="E1498" t="s">
        <v>35</v>
      </c>
      <c r="F1498" t="s">
        <v>58</v>
      </c>
      <c r="G1498" t="s">
        <v>44</v>
      </c>
      <c r="H1498" t="s">
        <v>124</v>
      </c>
      <c r="I1498" t="s">
        <v>92</v>
      </c>
      <c r="J1498" s="2">
        <v>2</v>
      </c>
      <c r="K1498" s="3">
        <v>6029.89</v>
      </c>
      <c r="L1498" s="3">
        <v>4500.7299999999996</v>
      </c>
      <c r="M1498" s="4">
        <v>0.1588</v>
      </c>
      <c r="N1498" s="3">
        <f t="shared" si="115"/>
        <v>12059.78</v>
      </c>
      <c r="O1498" s="3">
        <f t="shared" si="116"/>
        <v>10144.69</v>
      </c>
      <c r="P1498" s="3">
        <f t="shared" si="117"/>
        <v>9001.4599999999991</v>
      </c>
      <c r="Q1498" s="3">
        <f t="shared" si="118"/>
        <v>1143.23</v>
      </c>
      <c r="R1498" s="4">
        <f t="shared" si="119"/>
        <v>0.11269999999999999</v>
      </c>
      <c r="S1498" s="2">
        <v>8</v>
      </c>
      <c r="T1498" t="s">
        <v>46</v>
      </c>
      <c r="U1498">
        <v>4</v>
      </c>
    </row>
    <row r="1499" spans="1:21" x14ac:dyDescent="0.25">
      <c r="A1499" s="1">
        <v>46097</v>
      </c>
      <c r="B1499" t="s">
        <v>1692</v>
      </c>
      <c r="C1499" t="s">
        <v>464</v>
      </c>
      <c r="D1499" t="s">
        <v>85</v>
      </c>
      <c r="E1499" t="s">
        <v>50</v>
      </c>
      <c r="F1499" t="s">
        <v>58</v>
      </c>
      <c r="G1499" t="s">
        <v>44</v>
      </c>
      <c r="H1499" t="s">
        <v>45</v>
      </c>
      <c r="I1499" t="s">
        <v>29</v>
      </c>
      <c r="J1499" s="2">
        <v>6</v>
      </c>
      <c r="K1499" s="3">
        <v>403.46</v>
      </c>
      <c r="L1499" s="3">
        <v>219.04</v>
      </c>
      <c r="M1499" s="4">
        <v>3.5000000000000003E-2</v>
      </c>
      <c r="N1499" s="3">
        <f t="shared" si="115"/>
        <v>2420.7600000000002</v>
      </c>
      <c r="O1499" s="3">
        <f t="shared" si="116"/>
        <v>2336.0300000000002</v>
      </c>
      <c r="P1499" s="3">
        <f t="shared" si="117"/>
        <v>1314.24</v>
      </c>
      <c r="Q1499" s="3">
        <f t="shared" si="118"/>
        <v>1021.79</v>
      </c>
      <c r="R1499" s="4">
        <f t="shared" si="119"/>
        <v>0.43740000000000001</v>
      </c>
      <c r="S1499" s="2">
        <v>4</v>
      </c>
      <c r="T1499" t="s">
        <v>46</v>
      </c>
      <c r="U1499">
        <v>3</v>
      </c>
    </row>
    <row r="1500" spans="1:21" x14ac:dyDescent="0.25">
      <c r="A1500" s="1">
        <v>46158</v>
      </c>
      <c r="B1500" t="s">
        <v>1693</v>
      </c>
      <c r="C1500" t="s">
        <v>290</v>
      </c>
      <c r="D1500" t="s">
        <v>24</v>
      </c>
      <c r="E1500" t="s">
        <v>25</v>
      </c>
      <c r="F1500" t="s">
        <v>64</v>
      </c>
      <c r="G1500" t="s">
        <v>51</v>
      </c>
      <c r="H1500" t="s">
        <v>59</v>
      </c>
      <c r="I1500" t="s">
        <v>53</v>
      </c>
      <c r="J1500" s="2">
        <v>1</v>
      </c>
      <c r="K1500" s="3">
        <v>2231.5500000000002</v>
      </c>
      <c r="L1500" s="3">
        <v>1412.95</v>
      </c>
      <c r="M1500" s="4">
        <v>5.2999999999999999E-2</v>
      </c>
      <c r="N1500" s="3">
        <f t="shared" si="115"/>
        <v>2231.5500000000002</v>
      </c>
      <c r="O1500" s="3">
        <f t="shared" si="116"/>
        <v>2113.2800000000002</v>
      </c>
      <c r="P1500" s="3">
        <f t="shared" si="117"/>
        <v>1412.95</v>
      </c>
      <c r="Q1500" s="3">
        <f t="shared" si="118"/>
        <v>700.33</v>
      </c>
      <c r="R1500" s="4">
        <f t="shared" si="119"/>
        <v>0.33139999999999997</v>
      </c>
      <c r="S1500" s="2">
        <v>3</v>
      </c>
      <c r="T1500" t="s">
        <v>46</v>
      </c>
      <c r="U1500">
        <v>3</v>
      </c>
    </row>
    <row r="1501" spans="1:21" x14ac:dyDescent="0.25">
      <c r="A1501" s="1">
        <v>46207</v>
      </c>
      <c r="B1501" t="s">
        <v>1694</v>
      </c>
      <c r="C1501" t="s">
        <v>480</v>
      </c>
      <c r="D1501" t="s">
        <v>56</v>
      </c>
      <c r="E1501" t="s">
        <v>57</v>
      </c>
      <c r="F1501" t="s">
        <v>36</v>
      </c>
      <c r="G1501" t="s">
        <v>27</v>
      </c>
      <c r="H1501" t="s">
        <v>86</v>
      </c>
      <c r="I1501" t="s">
        <v>77</v>
      </c>
      <c r="J1501" s="2">
        <v>3</v>
      </c>
      <c r="K1501" s="3">
        <v>1894.26</v>
      </c>
      <c r="L1501" s="3">
        <v>1148.52</v>
      </c>
      <c r="M1501" s="4">
        <v>0</v>
      </c>
      <c r="N1501" s="3">
        <f t="shared" si="115"/>
        <v>5682.78</v>
      </c>
      <c r="O1501" s="3">
        <f t="shared" si="116"/>
        <v>5682.78</v>
      </c>
      <c r="P1501" s="3">
        <f t="shared" si="117"/>
        <v>3445.56</v>
      </c>
      <c r="Q1501" s="3">
        <f t="shared" si="118"/>
        <v>2237.2199999999998</v>
      </c>
      <c r="R1501" s="4">
        <f t="shared" si="119"/>
        <v>0.39369999999999999</v>
      </c>
      <c r="S1501" s="2">
        <v>7</v>
      </c>
      <c r="T1501" t="s">
        <v>46</v>
      </c>
      <c r="U1501">
        <v>3</v>
      </c>
    </row>
    <row r="1502" spans="1:21" x14ac:dyDescent="0.25">
      <c r="A1502" s="1">
        <v>46032</v>
      </c>
      <c r="B1502" t="s">
        <v>1695</v>
      </c>
      <c r="C1502" t="s">
        <v>375</v>
      </c>
      <c r="D1502" t="s">
        <v>126</v>
      </c>
      <c r="E1502" t="s">
        <v>57</v>
      </c>
      <c r="F1502" t="s">
        <v>26</v>
      </c>
      <c r="G1502" t="s">
        <v>44</v>
      </c>
      <c r="H1502" t="s">
        <v>45</v>
      </c>
      <c r="I1502" t="s">
        <v>29</v>
      </c>
      <c r="J1502" s="2">
        <v>6</v>
      </c>
      <c r="K1502" s="3">
        <v>406.3</v>
      </c>
      <c r="L1502" s="3">
        <v>218.62</v>
      </c>
      <c r="M1502" s="4">
        <v>0</v>
      </c>
      <c r="N1502" s="3">
        <f t="shared" si="115"/>
        <v>2437.8000000000002</v>
      </c>
      <c r="O1502" s="3">
        <f t="shared" si="116"/>
        <v>2437.8000000000002</v>
      </c>
      <c r="P1502" s="3">
        <f t="shared" si="117"/>
        <v>1311.72</v>
      </c>
      <c r="Q1502" s="3">
        <f t="shared" si="118"/>
        <v>1126.08</v>
      </c>
      <c r="R1502" s="4">
        <f t="shared" si="119"/>
        <v>0.46189999999999998</v>
      </c>
      <c r="S1502" s="2">
        <v>10</v>
      </c>
      <c r="T1502" t="s">
        <v>46</v>
      </c>
      <c r="U1502">
        <v>3</v>
      </c>
    </row>
    <row r="1503" spans="1:21" x14ac:dyDescent="0.25">
      <c r="A1503" s="1">
        <v>46153</v>
      </c>
      <c r="B1503" t="s">
        <v>1696</v>
      </c>
      <c r="C1503" t="s">
        <v>106</v>
      </c>
      <c r="D1503" t="s">
        <v>207</v>
      </c>
      <c r="E1503" t="s">
        <v>35</v>
      </c>
      <c r="F1503" t="s">
        <v>64</v>
      </c>
      <c r="G1503" t="s">
        <v>51</v>
      </c>
      <c r="H1503" t="s">
        <v>59</v>
      </c>
      <c r="I1503" t="s">
        <v>60</v>
      </c>
      <c r="J1503" s="2">
        <v>5</v>
      </c>
      <c r="K1503" s="3">
        <v>2182.5500000000002</v>
      </c>
      <c r="L1503" s="3">
        <v>1471.3</v>
      </c>
      <c r="M1503" s="4">
        <v>7.0000000000000001E-3</v>
      </c>
      <c r="N1503" s="3">
        <f t="shared" si="115"/>
        <v>10912.75</v>
      </c>
      <c r="O1503" s="3">
        <f t="shared" si="116"/>
        <v>10836.36</v>
      </c>
      <c r="P1503" s="3">
        <f t="shared" si="117"/>
        <v>7356.5</v>
      </c>
      <c r="Q1503" s="3">
        <f t="shared" si="118"/>
        <v>3479.86</v>
      </c>
      <c r="R1503" s="4">
        <f t="shared" si="119"/>
        <v>0.3211</v>
      </c>
      <c r="S1503" s="2">
        <v>11</v>
      </c>
      <c r="T1503" t="s">
        <v>30</v>
      </c>
      <c r="U1503">
        <v>2</v>
      </c>
    </row>
    <row r="1504" spans="1:21" x14ac:dyDescent="0.25">
      <c r="A1504" s="1">
        <v>46033</v>
      </c>
      <c r="B1504" t="s">
        <v>1697</v>
      </c>
      <c r="C1504" t="s">
        <v>120</v>
      </c>
      <c r="D1504" t="s">
        <v>34</v>
      </c>
      <c r="E1504" t="s">
        <v>35</v>
      </c>
      <c r="F1504" t="s">
        <v>58</v>
      </c>
      <c r="G1504" t="s">
        <v>44</v>
      </c>
      <c r="H1504" t="s">
        <v>73</v>
      </c>
      <c r="I1504" t="s">
        <v>92</v>
      </c>
      <c r="J1504" s="2">
        <v>8</v>
      </c>
      <c r="K1504" s="3">
        <v>1640.96</v>
      </c>
      <c r="L1504" s="3">
        <v>1090.17</v>
      </c>
      <c r="M1504" s="4">
        <v>0.14249999999999999</v>
      </c>
      <c r="N1504" s="3">
        <f t="shared" si="115"/>
        <v>13127.68</v>
      </c>
      <c r="O1504" s="3">
        <f t="shared" si="116"/>
        <v>11256.99</v>
      </c>
      <c r="P1504" s="3">
        <f t="shared" si="117"/>
        <v>8721.36</v>
      </c>
      <c r="Q1504" s="3">
        <f t="shared" si="118"/>
        <v>2535.63</v>
      </c>
      <c r="R1504" s="4">
        <f t="shared" si="119"/>
        <v>0.22520000000000001</v>
      </c>
      <c r="S1504" s="2">
        <v>13</v>
      </c>
      <c r="T1504" t="s">
        <v>30</v>
      </c>
      <c r="U1504">
        <v>4</v>
      </c>
    </row>
    <row r="1505" spans="1:21" x14ac:dyDescent="0.25">
      <c r="A1505" s="1">
        <v>46064</v>
      </c>
      <c r="B1505" t="s">
        <v>1698</v>
      </c>
      <c r="C1505" t="s">
        <v>476</v>
      </c>
      <c r="D1505" t="s">
        <v>34</v>
      </c>
      <c r="E1505" t="s">
        <v>35</v>
      </c>
      <c r="F1505" t="s">
        <v>58</v>
      </c>
      <c r="G1505" t="s">
        <v>44</v>
      </c>
      <c r="H1505" t="s">
        <v>124</v>
      </c>
      <c r="I1505" t="s">
        <v>29</v>
      </c>
      <c r="J1505" s="2">
        <v>7</v>
      </c>
      <c r="K1505" s="3">
        <v>5700.7</v>
      </c>
      <c r="L1505" s="3">
        <v>4409.6099999999997</v>
      </c>
      <c r="M1505" s="4">
        <v>7.9899999999999999E-2</v>
      </c>
      <c r="N1505" s="3">
        <f t="shared" si="115"/>
        <v>39904.9</v>
      </c>
      <c r="O1505" s="3">
        <f t="shared" si="116"/>
        <v>36716.5</v>
      </c>
      <c r="P1505" s="3">
        <f t="shared" si="117"/>
        <v>30867.27</v>
      </c>
      <c r="Q1505" s="3">
        <f t="shared" si="118"/>
        <v>5849.23</v>
      </c>
      <c r="R1505" s="4">
        <f t="shared" si="119"/>
        <v>0.1593</v>
      </c>
      <c r="S1505" s="2">
        <v>14</v>
      </c>
      <c r="T1505" t="s">
        <v>30</v>
      </c>
      <c r="U1505">
        <v>2</v>
      </c>
    </row>
    <row r="1506" spans="1:21" x14ac:dyDescent="0.25">
      <c r="A1506" s="1">
        <v>46227</v>
      </c>
      <c r="B1506" t="s">
        <v>1699</v>
      </c>
      <c r="C1506" t="s">
        <v>226</v>
      </c>
      <c r="D1506" t="s">
        <v>43</v>
      </c>
      <c r="E1506" t="s">
        <v>25</v>
      </c>
      <c r="F1506" t="s">
        <v>36</v>
      </c>
      <c r="G1506" t="s">
        <v>44</v>
      </c>
      <c r="H1506" t="s">
        <v>73</v>
      </c>
      <c r="I1506" t="s">
        <v>87</v>
      </c>
      <c r="J1506" s="2">
        <v>4</v>
      </c>
      <c r="K1506" s="3">
        <v>1785.82</v>
      </c>
      <c r="L1506" s="3">
        <v>1167.51</v>
      </c>
      <c r="M1506" s="4">
        <v>0</v>
      </c>
      <c r="N1506" s="3">
        <f t="shared" si="115"/>
        <v>7143.28</v>
      </c>
      <c r="O1506" s="3">
        <f t="shared" si="116"/>
        <v>7143.28</v>
      </c>
      <c r="P1506" s="3">
        <f t="shared" si="117"/>
        <v>4670.04</v>
      </c>
      <c r="Q1506" s="3">
        <f t="shared" si="118"/>
        <v>2473.2399999999998</v>
      </c>
      <c r="R1506" s="4">
        <f t="shared" si="119"/>
        <v>0.34620000000000001</v>
      </c>
      <c r="S1506" s="2">
        <v>10</v>
      </c>
      <c r="T1506" t="s">
        <v>46</v>
      </c>
      <c r="U1506">
        <v>3</v>
      </c>
    </row>
    <row r="1507" spans="1:21" x14ac:dyDescent="0.25">
      <c r="A1507" s="1">
        <v>46144</v>
      </c>
      <c r="B1507" t="s">
        <v>1700</v>
      </c>
      <c r="C1507" t="s">
        <v>464</v>
      </c>
      <c r="D1507" t="s">
        <v>121</v>
      </c>
      <c r="E1507" t="s">
        <v>72</v>
      </c>
      <c r="F1507" t="s">
        <v>64</v>
      </c>
      <c r="G1507" t="s">
        <v>51</v>
      </c>
      <c r="H1507" t="s">
        <v>52</v>
      </c>
      <c r="I1507" t="s">
        <v>60</v>
      </c>
      <c r="J1507" s="2">
        <v>8</v>
      </c>
      <c r="K1507" s="3">
        <v>249.18</v>
      </c>
      <c r="L1507" s="3">
        <v>118.17</v>
      </c>
      <c r="M1507" s="4">
        <v>0</v>
      </c>
      <c r="N1507" s="3">
        <f t="shared" si="115"/>
        <v>1993.44</v>
      </c>
      <c r="O1507" s="3">
        <f t="shared" si="116"/>
        <v>1993.44</v>
      </c>
      <c r="P1507" s="3">
        <f t="shared" si="117"/>
        <v>945.36</v>
      </c>
      <c r="Q1507" s="3">
        <f t="shared" si="118"/>
        <v>1048.08</v>
      </c>
      <c r="R1507" s="4">
        <f t="shared" si="119"/>
        <v>0.52580000000000005</v>
      </c>
      <c r="S1507" s="2">
        <v>14</v>
      </c>
      <c r="T1507" t="s">
        <v>30</v>
      </c>
      <c r="U1507">
        <v>4</v>
      </c>
    </row>
    <row r="1508" spans="1:21" x14ac:dyDescent="0.25">
      <c r="A1508" s="1">
        <v>46059</v>
      </c>
      <c r="B1508" t="s">
        <v>1701</v>
      </c>
      <c r="C1508" t="s">
        <v>226</v>
      </c>
      <c r="D1508" t="s">
        <v>207</v>
      </c>
      <c r="E1508" t="s">
        <v>35</v>
      </c>
      <c r="F1508" t="s">
        <v>36</v>
      </c>
      <c r="G1508" t="s">
        <v>37</v>
      </c>
      <c r="H1508" t="s">
        <v>38</v>
      </c>
      <c r="I1508" t="s">
        <v>60</v>
      </c>
      <c r="J1508" s="2">
        <v>2</v>
      </c>
      <c r="K1508" s="3">
        <v>429.69</v>
      </c>
      <c r="L1508" s="3">
        <v>197.94</v>
      </c>
      <c r="M1508" s="4">
        <v>0</v>
      </c>
      <c r="N1508" s="3">
        <f t="shared" si="115"/>
        <v>859.38</v>
      </c>
      <c r="O1508" s="3">
        <f t="shared" si="116"/>
        <v>859.38</v>
      </c>
      <c r="P1508" s="3">
        <f t="shared" si="117"/>
        <v>395.88</v>
      </c>
      <c r="Q1508" s="3">
        <f t="shared" si="118"/>
        <v>463.5</v>
      </c>
      <c r="R1508" s="4">
        <f t="shared" si="119"/>
        <v>0.5393</v>
      </c>
      <c r="S1508" s="2">
        <v>9</v>
      </c>
      <c r="T1508" t="s">
        <v>40</v>
      </c>
    </row>
    <row r="1509" spans="1:21" x14ac:dyDescent="0.25">
      <c r="A1509" s="1">
        <v>46196</v>
      </c>
      <c r="B1509" t="s">
        <v>1702</v>
      </c>
      <c r="C1509" t="s">
        <v>103</v>
      </c>
      <c r="D1509" t="s">
        <v>126</v>
      </c>
      <c r="E1509" t="s">
        <v>57</v>
      </c>
      <c r="F1509" t="s">
        <v>58</v>
      </c>
      <c r="G1509" t="s">
        <v>51</v>
      </c>
      <c r="H1509" t="s">
        <v>52</v>
      </c>
      <c r="I1509" t="s">
        <v>53</v>
      </c>
      <c r="J1509" s="2">
        <v>1</v>
      </c>
      <c r="K1509" s="3">
        <v>257.86</v>
      </c>
      <c r="L1509" s="3">
        <v>119.98</v>
      </c>
      <c r="M1509" s="4">
        <v>0.14319999999999999</v>
      </c>
      <c r="N1509" s="3">
        <f t="shared" si="115"/>
        <v>257.86</v>
      </c>
      <c r="O1509" s="3">
        <f t="shared" si="116"/>
        <v>220.93</v>
      </c>
      <c r="P1509" s="3">
        <f t="shared" si="117"/>
        <v>119.98</v>
      </c>
      <c r="Q1509" s="3">
        <f t="shared" si="118"/>
        <v>100.95</v>
      </c>
      <c r="R1509" s="4">
        <f t="shared" si="119"/>
        <v>0.45689999999999997</v>
      </c>
      <c r="S1509" s="2">
        <v>2</v>
      </c>
      <c r="T1509" t="s">
        <v>46</v>
      </c>
      <c r="U1509">
        <v>3</v>
      </c>
    </row>
    <row r="1510" spans="1:21" x14ac:dyDescent="0.25">
      <c r="A1510" s="1">
        <v>46228</v>
      </c>
      <c r="B1510" t="s">
        <v>1703</v>
      </c>
      <c r="C1510" t="s">
        <v>106</v>
      </c>
      <c r="D1510" t="s">
        <v>113</v>
      </c>
      <c r="E1510" t="s">
        <v>50</v>
      </c>
      <c r="F1510" t="s">
        <v>36</v>
      </c>
      <c r="G1510" t="s">
        <v>37</v>
      </c>
      <c r="H1510" t="s">
        <v>178</v>
      </c>
      <c r="I1510" t="s">
        <v>60</v>
      </c>
      <c r="J1510" s="2">
        <v>2</v>
      </c>
      <c r="K1510" s="3">
        <v>511.48</v>
      </c>
      <c r="L1510" s="3">
        <v>246.45</v>
      </c>
      <c r="M1510" s="4">
        <v>0</v>
      </c>
      <c r="N1510" s="3">
        <f t="shared" si="115"/>
        <v>1022.96</v>
      </c>
      <c r="O1510" s="3">
        <f t="shared" si="116"/>
        <v>1022.96</v>
      </c>
      <c r="P1510" s="3">
        <f t="shared" si="117"/>
        <v>492.9</v>
      </c>
      <c r="Q1510" s="3">
        <f t="shared" si="118"/>
        <v>530.05999999999995</v>
      </c>
      <c r="R1510" s="4">
        <f t="shared" si="119"/>
        <v>0.51819999999999999</v>
      </c>
      <c r="S1510" s="2">
        <v>11</v>
      </c>
      <c r="T1510" t="s">
        <v>30</v>
      </c>
      <c r="U1510">
        <v>3</v>
      </c>
    </row>
    <row r="1511" spans="1:21" x14ac:dyDescent="0.25">
      <c r="A1511" s="1">
        <v>46147</v>
      </c>
      <c r="B1511" t="s">
        <v>1704</v>
      </c>
      <c r="C1511" t="s">
        <v>23</v>
      </c>
      <c r="D1511" t="s">
        <v>34</v>
      </c>
      <c r="E1511" t="s">
        <v>35</v>
      </c>
      <c r="F1511" t="s">
        <v>64</v>
      </c>
      <c r="G1511" t="s">
        <v>27</v>
      </c>
      <c r="H1511" t="s">
        <v>86</v>
      </c>
      <c r="I1511" t="s">
        <v>60</v>
      </c>
      <c r="J1511" s="2">
        <v>4</v>
      </c>
      <c r="K1511" s="3">
        <v>1958.43</v>
      </c>
      <c r="L1511" s="3">
        <v>1224.8900000000001</v>
      </c>
      <c r="M1511" s="4">
        <v>9.64E-2</v>
      </c>
      <c r="N1511" s="3">
        <f t="shared" si="115"/>
        <v>7833.72</v>
      </c>
      <c r="O1511" s="3">
        <f t="shared" si="116"/>
        <v>7078.55</v>
      </c>
      <c r="P1511" s="3">
        <f t="shared" si="117"/>
        <v>4899.5600000000004</v>
      </c>
      <c r="Q1511" s="3">
        <f t="shared" si="118"/>
        <v>2178.9899999999998</v>
      </c>
      <c r="R1511" s="4">
        <f t="shared" si="119"/>
        <v>0.30780000000000002</v>
      </c>
      <c r="S1511" s="2">
        <v>3</v>
      </c>
      <c r="T1511" t="s">
        <v>46</v>
      </c>
      <c r="U1511">
        <v>2</v>
      </c>
    </row>
    <row r="1512" spans="1:21" x14ac:dyDescent="0.25">
      <c r="A1512" s="1">
        <v>46167</v>
      </c>
      <c r="B1512" t="s">
        <v>1705</v>
      </c>
      <c r="C1512" t="s">
        <v>251</v>
      </c>
      <c r="D1512" t="s">
        <v>207</v>
      </c>
      <c r="E1512" t="s">
        <v>35</v>
      </c>
      <c r="F1512" t="s">
        <v>26</v>
      </c>
      <c r="G1512" t="s">
        <v>44</v>
      </c>
      <c r="H1512" t="s">
        <v>73</v>
      </c>
      <c r="I1512" t="s">
        <v>87</v>
      </c>
      <c r="J1512" s="2">
        <v>3</v>
      </c>
      <c r="K1512" s="3">
        <v>1610.85</v>
      </c>
      <c r="L1512" s="3">
        <v>1084.5899999999999</v>
      </c>
      <c r="M1512" s="4">
        <v>1.9400000000000001E-2</v>
      </c>
      <c r="N1512" s="3">
        <f t="shared" si="115"/>
        <v>4832.55</v>
      </c>
      <c r="O1512" s="3">
        <f t="shared" si="116"/>
        <v>4738.8</v>
      </c>
      <c r="P1512" s="3">
        <f t="shared" si="117"/>
        <v>3253.77</v>
      </c>
      <c r="Q1512" s="3">
        <f t="shared" si="118"/>
        <v>1485.03</v>
      </c>
      <c r="R1512" s="4">
        <f t="shared" si="119"/>
        <v>0.31340000000000001</v>
      </c>
      <c r="S1512" s="2">
        <v>3</v>
      </c>
      <c r="T1512" t="s">
        <v>46</v>
      </c>
      <c r="U1512">
        <v>4</v>
      </c>
    </row>
    <row r="1513" spans="1:21" x14ac:dyDescent="0.25">
      <c r="A1513" s="1">
        <v>46190</v>
      </c>
      <c r="B1513" t="s">
        <v>1706</v>
      </c>
      <c r="C1513" t="s">
        <v>370</v>
      </c>
      <c r="D1513" t="s">
        <v>139</v>
      </c>
      <c r="E1513" t="s">
        <v>72</v>
      </c>
      <c r="F1513" t="s">
        <v>26</v>
      </c>
      <c r="G1513" t="s">
        <v>44</v>
      </c>
      <c r="H1513" t="s">
        <v>45</v>
      </c>
      <c r="I1513" t="s">
        <v>65</v>
      </c>
      <c r="J1513" s="2">
        <v>4</v>
      </c>
      <c r="K1513" s="3">
        <v>369.08</v>
      </c>
      <c r="L1513" s="3">
        <v>209.09</v>
      </c>
      <c r="M1513" s="4">
        <v>0.12620000000000001</v>
      </c>
      <c r="N1513" s="3">
        <f t="shared" si="115"/>
        <v>1476.32</v>
      </c>
      <c r="O1513" s="3">
        <f t="shared" si="116"/>
        <v>1290.01</v>
      </c>
      <c r="P1513" s="3">
        <f t="shared" si="117"/>
        <v>836.36</v>
      </c>
      <c r="Q1513" s="3">
        <f t="shared" si="118"/>
        <v>453.65</v>
      </c>
      <c r="R1513" s="4">
        <f t="shared" si="119"/>
        <v>0.35170000000000001</v>
      </c>
      <c r="S1513" s="2">
        <v>12</v>
      </c>
      <c r="T1513" t="s">
        <v>40</v>
      </c>
    </row>
    <row r="1514" spans="1:21" x14ac:dyDescent="0.25">
      <c r="A1514" s="1">
        <v>46135</v>
      </c>
      <c r="B1514" t="s">
        <v>1707</v>
      </c>
      <c r="C1514" t="s">
        <v>218</v>
      </c>
      <c r="D1514" t="s">
        <v>121</v>
      </c>
      <c r="E1514" t="s">
        <v>72</v>
      </c>
      <c r="F1514" t="s">
        <v>26</v>
      </c>
      <c r="G1514" t="s">
        <v>27</v>
      </c>
      <c r="H1514" t="s">
        <v>86</v>
      </c>
      <c r="I1514" t="s">
        <v>77</v>
      </c>
      <c r="J1514" s="2">
        <v>4</v>
      </c>
      <c r="K1514" s="3">
        <v>1812.26</v>
      </c>
      <c r="L1514" s="3">
        <v>1207.93</v>
      </c>
      <c r="M1514" s="4">
        <v>1.7100000000000001E-2</v>
      </c>
      <c r="N1514" s="3">
        <f t="shared" si="115"/>
        <v>7249.04</v>
      </c>
      <c r="O1514" s="3">
        <f t="shared" si="116"/>
        <v>7125.08</v>
      </c>
      <c r="P1514" s="3">
        <f t="shared" si="117"/>
        <v>4831.72</v>
      </c>
      <c r="Q1514" s="3">
        <f t="shared" si="118"/>
        <v>2293.36</v>
      </c>
      <c r="R1514" s="4">
        <f t="shared" si="119"/>
        <v>0.32190000000000002</v>
      </c>
      <c r="S1514" s="2">
        <v>7</v>
      </c>
      <c r="T1514" t="s">
        <v>46</v>
      </c>
      <c r="U1514">
        <v>4</v>
      </c>
    </row>
    <row r="1515" spans="1:21" x14ac:dyDescent="0.25">
      <c r="A1515" s="1">
        <v>46032</v>
      </c>
      <c r="B1515" t="s">
        <v>1708</v>
      </c>
      <c r="C1515" t="s">
        <v>67</v>
      </c>
      <c r="D1515" t="s">
        <v>56</v>
      </c>
      <c r="E1515" t="s">
        <v>57</v>
      </c>
      <c r="F1515" t="s">
        <v>64</v>
      </c>
      <c r="G1515" t="s">
        <v>44</v>
      </c>
      <c r="H1515" t="s">
        <v>124</v>
      </c>
      <c r="I1515" t="s">
        <v>29</v>
      </c>
      <c r="J1515" s="2">
        <v>4</v>
      </c>
      <c r="K1515" s="3">
        <v>6069.1</v>
      </c>
      <c r="L1515" s="3">
        <v>4271.99</v>
      </c>
      <c r="M1515" s="4">
        <v>0</v>
      </c>
      <c r="N1515" s="3">
        <f t="shared" si="115"/>
        <v>24276.400000000001</v>
      </c>
      <c r="O1515" s="3">
        <f t="shared" si="116"/>
        <v>24276.400000000001</v>
      </c>
      <c r="P1515" s="3">
        <f t="shared" si="117"/>
        <v>17087.96</v>
      </c>
      <c r="Q1515" s="3">
        <f t="shared" si="118"/>
        <v>7188.44</v>
      </c>
      <c r="R1515" s="4">
        <f t="shared" si="119"/>
        <v>0.29609999999999997</v>
      </c>
      <c r="S1515" s="2">
        <v>2</v>
      </c>
      <c r="T1515" t="s">
        <v>46</v>
      </c>
      <c r="U1515">
        <v>4</v>
      </c>
    </row>
    <row r="1516" spans="1:21" x14ac:dyDescent="0.25">
      <c r="A1516" s="1">
        <v>46207</v>
      </c>
      <c r="B1516" t="s">
        <v>1709</v>
      </c>
      <c r="C1516" t="s">
        <v>331</v>
      </c>
      <c r="D1516" t="s">
        <v>63</v>
      </c>
      <c r="E1516" t="s">
        <v>35</v>
      </c>
      <c r="F1516" t="s">
        <v>36</v>
      </c>
      <c r="G1516" t="s">
        <v>27</v>
      </c>
      <c r="H1516" t="s">
        <v>28</v>
      </c>
      <c r="I1516" t="s">
        <v>29</v>
      </c>
      <c r="J1516" s="2">
        <v>6</v>
      </c>
      <c r="K1516" s="3">
        <v>815.82</v>
      </c>
      <c r="L1516" s="3">
        <v>453.83</v>
      </c>
      <c r="M1516" s="4">
        <v>6.8000000000000005E-2</v>
      </c>
      <c r="N1516" s="3">
        <f t="shared" si="115"/>
        <v>4894.92</v>
      </c>
      <c r="O1516" s="3">
        <f t="shared" si="116"/>
        <v>4562.07</v>
      </c>
      <c r="P1516" s="3">
        <f t="shared" si="117"/>
        <v>2722.98</v>
      </c>
      <c r="Q1516" s="3">
        <f t="shared" si="118"/>
        <v>1839.09</v>
      </c>
      <c r="R1516" s="4">
        <f t="shared" si="119"/>
        <v>0.40310000000000001</v>
      </c>
      <c r="S1516" s="2">
        <v>12</v>
      </c>
      <c r="T1516" t="s">
        <v>30</v>
      </c>
      <c r="U1516">
        <v>5</v>
      </c>
    </row>
    <row r="1517" spans="1:21" x14ac:dyDescent="0.25">
      <c r="A1517" s="1">
        <v>46103</v>
      </c>
      <c r="B1517" t="s">
        <v>1710</v>
      </c>
      <c r="C1517" t="s">
        <v>48</v>
      </c>
      <c r="D1517" t="s">
        <v>85</v>
      </c>
      <c r="E1517" t="s">
        <v>50</v>
      </c>
      <c r="F1517" t="s">
        <v>64</v>
      </c>
      <c r="G1517" t="s">
        <v>27</v>
      </c>
      <c r="H1517" t="s">
        <v>86</v>
      </c>
      <c r="I1517" t="s">
        <v>92</v>
      </c>
      <c r="J1517" s="2">
        <v>6</v>
      </c>
      <c r="K1517" s="3">
        <v>1967.49</v>
      </c>
      <c r="L1517" s="3">
        <v>1171.5899999999999</v>
      </c>
      <c r="M1517" s="4">
        <v>6.3E-3</v>
      </c>
      <c r="N1517" s="3">
        <f t="shared" si="115"/>
        <v>11804.94</v>
      </c>
      <c r="O1517" s="3">
        <f t="shared" si="116"/>
        <v>11730.57</v>
      </c>
      <c r="P1517" s="3">
        <f t="shared" si="117"/>
        <v>7029.54</v>
      </c>
      <c r="Q1517" s="3">
        <f t="shared" si="118"/>
        <v>4701.03</v>
      </c>
      <c r="R1517" s="4">
        <f t="shared" si="119"/>
        <v>0.40079999999999999</v>
      </c>
      <c r="S1517" s="2">
        <v>6</v>
      </c>
      <c r="T1517" t="s">
        <v>46</v>
      </c>
      <c r="U1517">
        <v>2</v>
      </c>
    </row>
    <row r="1518" spans="1:21" x14ac:dyDescent="0.25">
      <c r="A1518" s="1">
        <v>46186</v>
      </c>
      <c r="B1518" t="s">
        <v>1711</v>
      </c>
      <c r="C1518" t="s">
        <v>218</v>
      </c>
      <c r="D1518" t="s">
        <v>97</v>
      </c>
      <c r="E1518" t="s">
        <v>57</v>
      </c>
      <c r="F1518" t="s">
        <v>36</v>
      </c>
      <c r="G1518" t="s">
        <v>51</v>
      </c>
      <c r="H1518" t="s">
        <v>59</v>
      </c>
      <c r="I1518" t="s">
        <v>77</v>
      </c>
      <c r="J1518" s="2">
        <v>5</v>
      </c>
      <c r="K1518" s="3">
        <v>2073.7199999999998</v>
      </c>
      <c r="L1518" s="3">
        <v>1394.5</v>
      </c>
      <c r="M1518" s="4">
        <v>0</v>
      </c>
      <c r="N1518" s="3">
        <f t="shared" si="115"/>
        <v>10368.6</v>
      </c>
      <c r="O1518" s="3">
        <f t="shared" si="116"/>
        <v>10368.6</v>
      </c>
      <c r="P1518" s="3">
        <f t="shared" si="117"/>
        <v>6972.5</v>
      </c>
      <c r="Q1518" s="3">
        <f t="shared" si="118"/>
        <v>3396.1</v>
      </c>
      <c r="R1518" s="4">
        <f t="shared" si="119"/>
        <v>0.32750000000000001</v>
      </c>
      <c r="S1518" s="2">
        <v>5</v>
      </c>
      <c r="T1518" t="s">
        <v>46</v>
      </c>
      <c r="U1518">
        <v>3</v>
      </c>
    </row>
    <row r="1519" spans="1:21" x14ac:dyDescent="0.25">
      <c r="A1519" s="1">
        <v>46150</v>
      </c>
      <c r="B1519" t="s">
        <v>1712</v>
      </c>
      <c r="C1519" t="s">
        <v>288</v>
      </c>
      <c r="D1519" t="s">
        <v>71</v>
      </c>
      <c r="E1519" t="s">
        <v>72</v>
      </c>
      <c r="F1519" t="s">
        <v>64</v>
      </c>
      <c r="G1519" t="s">
        <v>27</v>
      </c>
      <c r="H1519" t="s">
        <v>86</v>
      </c>
      <c r="I1519" t="s">
        <v>92</v>
      </c>
      <c r="J1519" s="2">
        <v>3</v>
      </c>
      <c r="K1519" s="3">
        <v>1966.97</v>
      </c>
      <c r="L1519" s="3">
        <v>1204.56</v>
      </c>
      <c r="M1519" s="4">
        <v>4.1200000000000001E-2</v>
      </c>
      <c r="N1519" s="3">
        <f t="shared" si="115"/>
        <v>5900.91</v>
      </c>
      <c r="O1519" s="3">
        <f t="shared" si="116"/>
        <v>5657.79</v>
      </c>
      <c r="P1519" s="3">
        <f t="shared" si="117"/>
        <v>3613.68</v>
      </c>
      <c r="Q1519" s="3">
        <f t="shared" si="118"/>
        <v>2044.11</v>
      </c>
      <c r="R1519" s="4">
        <f t="shared" si="119"/>
        <v>0.36130000000000001</v>
      </c>
      <c r="S1519" s="2">
        <v>2</v>
      </c>
      <c r="T1519" t="s">
        <v>46</v>
      </c>
      <c r="U1519">
        <v>4</v>
      </c>
    </row>
    <row r="1520" spans="1:21" x14ac:dyDescent="0.25">
      <c r="A1520" s="1">
        <v>46167</v>
      </c>
      <c r="B1520" t="s">
        <v>1713</v>
      </c>
      <c r="C1520" t="s">
        <v>184</v>
      </c>
      <c r="D1520" t="s">
        <v>71</v>
      </c>
      <c r="E1520" t="s">
        <v>72</v>
      </c>
      <c r="F1520" t="s">
        <v>58</v>
      </c>
      <c r="G1520" t="s">
        <v>37</v>
      </c>
      <c r="H1520" t="s">
        <v>38</v>
      </c>
      <c r="I1520" t="s">
        <v>65</v>
      </c>
      <c r="J1520" s="2">
        <v>7</v>
      </c>
      <c r="K1520" s="3">
        <v>451.83</v>
      </c>
      <c r="L1520" s="3">
        <v>205.17</v>
      </c>
      <c r="M1520" s="4">
        <v>9.7600000000000006E-2</v>
      </c>
      <c r="N1520" s="3">
        <f t="shared" si="115"/>
        <v>3162.81</v>
      </c>
      <c r="O1520" s="3">
        <f t="shared" si="116"/>
        <v>2854.12</v>
      </c>
      <c r="P1520" s="3">
        <f t="shared" si="117"/>
        <v>1436.19</v>
      </c>
      <c r="Q1520" s="3">
        <f t="shared" si="118"/>
        <v>1417.93</v>
      </c>
      <c r="R1520" s="4">
        <f t="shared" si="119"/>
        <v>0.49680000000000002</v>
      </c>
      <c r="S1520" s="2">
        <v>2</v>
      </c>
      <c r="T1520" t="s">
        <v>46</v>
      </c>
      <c r="U1520">
        <v>4</v>
      </c>
    </row>
    <row r="1521" spans="1:22" x14ac:dyDescent="0.25">
      <c r="A1521" s="1">
        <v>46225</v>
      </c>
      <c r="B1521" t="s">
        <v>1714</v>
      </c>
      <c r="C1521" t="s">
        <v>115</v>
      </c>
      <c r="D1521" t="s">
        <v>71</v>
      </c>
      <c r="E1521" t="s">
        <v>72</v>
      </c>
      <c r="F1521" t="s">
        <v>58</v>
      </c>
      <c r="G1521" t="s">
        <v>44</v>
      </c>
      <c r="H1521" t="s">
        <v>73</v>
      </c>
      <c r="I1521" t="s">
        <v>65</v>
      </c>
      <c r="J1521" s="2">
        <v>8</v>
      </c>
      <c r="K1521" s="3">
        <v>1768.93</v>
      </c>
      <c r="L1521" s="3">
        <v>1089.6099999999999</v>
      </c>
      <c r="M1521" s="4">
        <v>0.10009999999999999</v>
      </c>
      <c r="N1521" s="3">
        <f t="shared" si="115"/>
        <v>14151.44</v>
      </c>
      <c r="O1521" s="3">
        <f t="shared" si="116"/>
        <v>12734.88</v>
      </c>
      <c r="P1521" s="3">
        <f t="shared" si="117"/>
        <v>8716.8799999999992</v>
      </c>
      <c r="Q1521" s="3">
        <f t="shared" si="118"/>
        <v>4018</v>
      </c>
      <c r="R1521" s="4">
        <f t="shared" si="119"/>
        <v>0.3155</v>
      </c>
      <c r="S1521" s="2">
        <v>9</v>
      </c>
      <c r="T1521" t="s">
        <v>46</v>
      </c>
      <c r="U1521">
        <v>3</v>
      </c>
    </row>
    <row r="1522" spans="1:22" x14ac:dyDescent="0.25">
      <c r="A1522" s="1">
        <v>46144</v>
      </c>
      <c r="B1522" t="s">
        <v>1715</v>
      </c>
      <c r="C1522" t="s">
        <v>184</v>
      </c>
      <c r="D1522" t="s">
        <v>34</v>
      </c>
      <c r="E1522" t="s">
        <v>35</v>
      </c>
      <c r="F1522" t="s">
        <v>36</v>
      </c>
      <c r="G1522" t="s">
        <v>37</v>
      </c>
      <c r="H1522" t="s">
        <v>178</v>
      </c>
      <c r="I1522" t="s">
        <v>65</v>
      </c>
      <c r="J1522" s="2">
        <v>4</v>
      </c>
      <c r="K1522" s="3">
        <v>523.98</v>
      </c>
      <c r="L1522" s="3">
        <v>230.51</v>
      </c>
      <c r="M1522" s="4">
        <v>0</v>
      </c>
      <c r="N1522" s="3">
        <f t="shared" si="115"/>
        <v>2095.92</v>
      </c>
      <c r="O1522" s="3">
        <f t="shared" si="116"/>
        <v>2095.92</v>
      </c>
      <c r="P1522" s="3">
        <f t="shared" si="117"/>
        <v>922.04</v>
      </c>
      <c r="Q1522" s="3">
        <f t="shared" si="118"/>
        <v>1173.8800000000001</v>
      </c>
      <c r="R1522" s="4">
        <f t="shared" si="119"/>
        <v>0.56010000000000004</v>
      </c>
      <c r="S1522" s="2">
        <v>12</v>
      </c>
      <c r="T1522" t="s">
        <v>30</v>
      </c>
      <c r="U1522">
        <v>4</v>
      </c>
    </row>
    <row r="1523" spans="1:22" x14ac:dyDescent="0.25">
      <c r="A1523" s="1">
        <v>46073</v>
      </c>
      <c r="B1523" t="s">
        <v>1716</v>
      </c>
      <c r="C1523" t="s">
        <v>70</v>
      </c>
      <c r="D1523" t="s">
        <v>71</v>
      </c>
      <c r="E1523" t="s">
        <v>72</v>
      </c>
      <c r="F1523" t="s">
        <v>36</v>
      </c>
      <c r="G1523" t="s">
        <v>44</v>
      </c>
      <c r="H1523" t="s">
        <v>73</v>
      </c>
      <c r="I1523" t="s">
        <v>77</v>
      </c>
      <c r="J1523" s="2">
        <v>2</v>
      </c>
      <c r="K1523" s="3">
        <v>1717.51</v>
      </c>
      <c r="L1523" s="3">
        <v>1075.8699999999999</v>
      </c>
      <c r="M1523" s="4">
        <v>2.3E-2</v>
      </c>
      <c r="N1523" s="3">
        <f t="shared" si="115"/>
        <v>3435.02</v>
      </c>
      <c r="O1523" s="3">
        <f t="shared" si="116"/>
        <v>3356.01</v>
      </c>
      <c r="P1523" s="3">
        <f t="shared" si="117"/>
        <v>2151.7399999999998</v>
      </c>
      <c r="Q1523" s="3">
        <f t="shared" si="118"/>
        <v>1204.27</v>
      </c>
      <c r="R1523" s="4">
        <f t="shared" si="119"/>
        <v>0.35880000000000001</v>
      </c>
      <c r="S1523" s="2">
        <v>4</v>
      </c>
      <c r="T1523" t="s">
        <v>40</v>
      </c>
    </row>
    <row r="1524" spans="1:22" x14ac:dyDescent="0.25">
      <c r="A1524" s="1">
        <v>46233</v>
      </c>
      <c r="B1524" t="s">
        <v>1717</v>
      </c>
      <c r="C1524" t="s">
        <v>214</v>
      </c>
      <c r="D1524" t="s">
        <v>130</v>
      </c>
      <c r="E1524" t="s">
        <v>72</v>
      </c>
      <c r="F1524" t="s">
        <v>58</v>
      </c>
      <c r="G1524" t="s">
        <v>27</v>
      </c>
      <c r="H1524" t="s">
        <v>68</v>
      </c>
      <c r="I1524" t="s">
        <v>87</v>
      </c>
      <c r="J1524" s="2">
        <v>8</v>
      </c>
      <c r="K1524" s="3">
        <v>1215.43</v>
      </c>
      <c r="L1524" s="3">
        <v>833.3</v>
      </c>
      <c r="M1524" s="4">
        <v>0.10920000000000001</v>
      </c>
      <c r="N1524" s="3">
        <f t="shared" si="115"/>
        <v>9723.44</v>
      </c>
      <c r="O1524" s="3">
        <f t="shared" si="116"/>
        <v>8661.64</v>
      </c>
      <c r="P1524" s="3">
        <f t="shared" si="117"/>
        <v>6666.4</v>
      </c>
      <c r="Q1524" s="3">
        <f t="shared" si="118"/>
        <v>1995.24</v>
      </c>
      <c r="R1524" s="4">
        <f t="shared" si="119"/>
        <v>0.23039999999999999</v>
      </c>
      <c r="S1524" s="2">
        <v>13</v>
      </c>
      <c r="T1524" t="s">
        <v>30</v>
      </c>
      <c r="U1524">
        <v>4</v>
      </c>
    </row>
    <row r="1525" spans="1:22" x14ac:dyDescent="0.25">
      <c r="A1525" s="1">
        <v>46186</v>
      </c>
      <c r="B1525" t="s">
        <v>1718</v>
      </c>
      <c r="C1525" t="s">
        <v>204</v>
      </c>
      <c r="D1525" t="s">
        <v>34</v>
      </c>
      <c r="E1525" t="s">
        <v>35</v>
      </c>
      <c r="F1525" t="s">
        <v>26</v>
      </c>
      <c r="G1525" t="s">
        <v>51</v>
      </c>
      <c r="H1525" t="s">
        <v>52</v>
      </c>
      <c r="I1525" t="s">
        <v>39</v>
      </c>
      <c r="J1525" s="2">
        <v>6</v>
      </c>
      <c r="K1525" s="3">
        <v>244.5</v>
      </c>
      <c r="L1525" s="3">
        <v>123.42</v>
      </c>
      <c r="M1525" s="4">
        <v>0</v>
      </c>
      <c r="N1525" s="3">
        <f t="shared" si="115"/>
        <v>1467</v>
      </c>
      <c r="O1525" s="3">
        <f t="shared" si="116"/>
        <v>1467</v>
      </c>
      <c r="P1525" s="3">
        <f t="shared" si="117"/>
        <v>740.52</v>
      </c>
      <c r="Q1525" s="3">
        <f t="shared" si="118"/>
        <v>726.48</v>
      </c>
      <c r="R1525" s="4">
        <f t="shared" si="119"/>
        <v>0.49519999999999997</v>
      </c>
      <c r="S1525" s="2">
        <v>14</v>
      </c>
      <c r="T1525" t="s">
        <v>30</v>
      </c>
      <c r="U1525">
        <v>2</v>
      </c>
    </row>
    <row r="1526" spans="1:22" x14ac:dyDescent="0.25">
      <c r="A1526" s="1">
        <v>46219</v>
      </c>
      <c r="B1526" t="s">
        <v>1719</v>
      </c>
      <c r="C1526" t="s">
        <v>48</v>
      </c>
      <c r="D1526" t="s">
        <v>43</v>
      </c>
      <c r="E1526" t="s">
        <v>25</v>
      </c>
      <c r="F1526" t="s">
        <v>26</v>
      </c>
      <c r="G1526" t="s">
        <v>51</v>
      </c>
      <c r="H1526" t="s">
        <v>52</v>
      </c>
      <c r="I1526" t="s">
        <v>53</v>
      </c>
      <c r="J1526" s="2">
        <v>7</v>
      </c>
      <c r="K1526" s="3">
        <v>269.26</v>
      </c>
      <c r="L1526" s="3">
        <v>124.83</v>
      </c>
      <c r="M1526" s="4">
        <v>8.8999999999999996E-2</v>
      </c>
      <c r="N1526" s="3">
        <f t="shared" si="115"/>
        <v>1884.82</v>
      </c>
      <c r="O1526" s="3">
        <f t="shared" si="116"/>
        <v>1717.07</v>
      </c>
      <c r="P1526" s="3">
        <f t="shared" si="117"/>
        <v>873.81</v>
      </c>
      <c r="Q1526" s="3">
        <f t="shared" si="118"/>
        <v>843.26</v>
      </c>
      <c r="R1526" s="4">
        <f t="shared" si="119"/>
        <v>0.49109999999999998</v>
      </c>
      <c r="S1526" s="2">
        <v>4</v>
      </c>
      <c r="T1526" t="s">
        <v>46</v>
      </c>
      <c r="U1526">
        <v>3</v>
      </c>
    </row>
    <row r="1527" spans="1:22" x14ac:dyDescent="0.25">
      <c r="A1527" s="1">
        <v>46119</v>
      </c>
      <c r="B1527" t="s">
        <v>1720</v>
      </c>
      <c r="C1527" t="s">
        <v>235</v>
      </c>
      <c r="D1527" t="s">
        <v>56</v>
      </c>
      <c r="E1527" t="s">
        <v>57</v>
      </c>
      <c r="F1527" t="s">
        <v>36</v>
      </c>
      <c r="G1527" t="s">
        <v>37</v>
      </c>
      <c r="H1527" t="s">
        <v>38</v>
      </c>
      <c r="I1527" t="s">
        <v>87</v>
      </c>
      <c r="J1527" s="2">
        <v>5</v>
      </c>
      <c r="K1527" s="3">
        <v>425.63</v>
      </c>
      <c r="L1527" s="3">
        <v>184.53</v>
      </c>
      <c r="M1527" s="4">
        <v>0</v>
      </c>
      <c r="N1527" s="3">
        <f t="shared" si="115"/>
        <v>2128.15</v>
      </c>
      <c r="O1527" s="3">
        <f t="shared" si="116"/>
        <v>2128.15</v>
      </c>
      <c r="P1527" s="3">
        <f t="shared" si="117"/>
        <v>922.65</v>
      </c>
      <c r="Q1527" s="3">
        <f t="shared" si="118"/>
        <v>1205.5</v>
      </c>
      <c r="R1527" s="4">
        <f t="shared" si="119"/>
        <v>0.5665</v>
      </c>
      <c r="S1527" s="2">
        <v>5</v>
      </c>
      <c r="T1527" t="s">
        <v>46</v>
      </c>
      <c r="U1527">
        <v>2</v>
      </c>
    </row>
    <row r="1528" spans="1:22" x14ac:dyDescent="0.25">
      <c r="A1528" s="1">
        <v>46075</v>
      </c>
      <c r="B1528" t="s">
        <v>1721</v>
      </c>
      <c r="C1528" t="s">
        <v>138</v>
      </c>
      <c r="D1528" t="s">
        <v>43</v>
      </c>
      <c r="E1528" t="s">
        <v>25</v>
      </c>
      <c r="F1528" t="s">
        <v>64</v>
      </c>
      <c r="G1528" t="s">
        <v>37</v>
      </c>
      <c r="H1528" t="s">
        <v>38</v>
      </c>
      <c r="I1528" t="s">
        <v>39</v>
      </c>
      <c r="J1528" s="2">
        <v>7</v>
      </c>
      <c r="K1528" s="3">
        <v>428.7</v>
      </c>
      <c r="L1528" s="3">
        <v>192.89</v>
      </c>
      <c r="M1528" s="4">
        <v>5.5300000000000002E-2</v>
      </c>
      <c r="N1528" s="3">
        <f t="shared" si="115"/>
        <v>3000.9</v>
      </c>
      <c r="O1528" s="3">
        <f t="shared" si="116"/>
        <v>2834.95</v>
      </c>
      <c r="P1528" s="3">
        <f t="shared" si="117"/>
        <v>1350.23</v>
      </c>
      <c r="Q1528" s="3">
        <f t="shared" si="118"/>
        <v>1484.72</v>
      </c>
      <c r="R1528" s="4">
        <f t="shared" si="119"/>
        <v>0.52370000000000005</v>
      </c>
      <c r="S1528" s="2">
        <v>7</v>
      </c>
      <c r="T1528" t="s">
        <v>46</v>
      </c>
      <c r="U1528">
        <v>2</v>
      </c>
    </row>
    <row r="1529" spans="1:22" x14ac:dyDescent="0.25">
      <c r="A1529" s="1">
        <v>46077</v>
      </c>
      <c r="B1529" t="s">
        <v>1722</v>
      </c>
      <c r="C1529" t="s">
        <v>82</v>
      </c>
      <c r="D1529" t="s">
        <v>56</v>
      </c>
      <c r="E1529" t="s">
        <v>57</v>
      </c>
      <c r="F1529" t="s">
        <v>64</v>
      </c>
      <c r="G1529" t="s">
        <v>44</v>
      </c>
      <c r="H1529" t="s">
        <v>45</v>
      </c>
      <c r="I1529" t="s">
        <v>87</v>
      </c>
      <c r="J1529" s="2">
        <v>1</v>
      </c>
      <c r="K1529" s="3">
        <v>397.53</v>
      </c>
      <c r="L1529" s="3">
        <v>210.58</v>
      </c>
      <c r="M1529" s="4">
        <v>0.10100000000000001</v>
      </c>
      <c r="N1529" s="3">
        <f t="shared" si="115"/>
        <v>397.53</v>
      </c>
      <c r="O1529" s="3">
        <f t="shared" si="116"/>
        <v>357.38</v>
      </c>
      <c r="P1529" s="3">
        <f t="shared" si="117"/>
        <v>210.58</v>
      </c>
      <c r="Q1529" s="3">
        <f t="shared" si="118"/>
        <v>146.80000000000001</v>
      </c>
      <c r="R1529" s="4">
        <f t="shared" si="119"/>
        <v>0.4108</v>
      </c>
      <c r="S1529" s="2">
        <v>5</v>
      </c>
      <c r="T1529" t="s">
        <v>46</v>
      </c>
      <c r="U1529">
        <v>3</v>
      </c>
    </row>
    <row r="1530" spans="1:22" x14ac:dyDescent="0.25">
      <c r="A1530" s="1">
        <v>46075</v>
      </c>
      <c r="B1530" t="s">
        <v>1723</v>
      </c>
      <c r="C1530" t="s">
        <v>157</v>
      </c>
      <c r="D1530" t="s">
        <v>121</v>
      </c>
      <c r="E1530" t="s">
        <v>72</v>
      </c>
      <c r="F1530" t="s">
        <v>26</v>
      </c>
      <c r="G1530" t="s">
        <v>27</v>
      </c>
      <c r="H1530" t="s">
        <v>28</v>
      </c>
      <c r="I1530" t="s">
        <v>60</v>
      </c>
      <c r="J1530" s="2">
        <v>7</v>
      </c>
      <c r="K1530" s="3">
        <v>764.72</v>
      </c>
      <c r="L1530" s="3">
        <v>461.55</v>
      </c>
      <c r="M1530" s="4">
        <v>2.3199999999999998E-2</v>
      </c>
      <c r="N1530" s="3">
        <f t="shared" si="115"/>
        <v>5353.04</v>
      </c>
      <c r="O1530" s="3">
        <f t="shared" si="116"/>
        <v>5228.8500000000004</v>
      </c>
      <c r="P1530" s="3">
        <f t="shared" si="117"/>
        <v>3230.85</v>
      </c>
      <c r="Q1530" s="3">
        <f t="shared" si="118"/>
        <v>1998</v>
      </c>
      <c r="R1530" s="4">
        <f t="shared" si="119"/>
        <v>0.3821</v>
      </c>
      <c r="S1530" s="2">
        <v>4</v>
      </c>
      <c r="T1530" t="s">
        <v>46</v>
      </c>
      <c r="U1530">
        <v>3</v>
      </c>
    </row>
    <row r="1531" spans="1:22" x14ac:dyDescent="0.25">
      <c r="A1531" s="1">
        <v>46107</v>
      </c>
      <c r="B1531" t="s">
        <v>1724</v>
      </c>
      <c r="C1531" t="s">
        <v>195</v>
      </c>
      <c r="D1531" t="s">
        <v>49</v>
      </c>
      <c r="E1531" t="s">
        <v>50</v>
      </c>
      <c r="F1531" t="s">
        <v>36</v>
      </c>
      <c r="G1531" t="s">
        <v>37</v>
      </c>
      <c r="H1531" t="s">
        <v>104</v>
      </c>
      <c r="I1531" t="s">
        <v>92</v>
      </c>
      <c r="J1531" s="2">
        <v>6</v>
      </c>
      <c r="K1531" s="3">
        <v>315.38</v>
      </c>
      <c r="L1531" s="3">
        <v>135.56</v>
      </c>
      <c r="M1531" s="4">
        <v>8.6099999999999996E-2</v>
      </c>
      <c r="N1531" s="3">
        <f t="shared" si="115"/>
        <v>1892.28</v>
      </c>
      <c r="O1531" s="3">
        <f t="shared" si="116"/>
        <v>1729.35</v>
      </c>
      <c r="P1531" s="3">
        <f t="shared" si="117"/>
        <v>813.36</v>
      </c>
      <c r="Q1531" s="3">
        <f t="shared" si="118"/>
        <v>915.99</v>
      </c>
      <c r="R1531" s="4">
        <f t="shared" si="119"/>
        <v>0.52969999999999995</v>
      </c>
      <c r="S1531" s="2">
        <v>8</v>
      </c>
      <c r="T1531" t="s">
        <v>40</v>
      </c>
    </row>
    <row r="1532" spans="1:22" x14ac:dyDescent="0.25">
      <c r="A1532" s="1">
        <v>46117</v>
      </c>
      <c r="B1532" t="s">
        <v>1725</v>
      </c>
      <c r="C1532" t="s">
        <v>168</v>
      </c>
      <c r="D1532" t="s">
        <v>126</v>
      </c>
      <c r="E1532" t="s">
        <v>57</v>
      </c>
      <c r="F1532" t="s">
        <v>58</v>
      </c>
      <c r="G1532" t="s">
        <v>51</v>
      </c>
      <c r="H1532" t="s">
        <v>116</v>
      </c>
      <c r="I1532" t="s">
        <v>53</v>
      </c>
      <c r="J1532" s="2">
        <v>6</v>
      </c>
      <c r="K1532" s="3">
        <v>2863.35</v>
      </c>
      <c r="L1532" s="3">
        <v>1778.86</v>
      </c>
      <c r="M1532" s="4">
        <v>0.1263</v>
      </c>
      <c r="N1532" s="3">
        <f t="shared" si="115"/>
        <v>17180.099999999999</v>
      </c>
      <c r="O1532" s="3">
        <f t="shared" si="116"/>
        <v>15010.25</v>
      </c>
      <c r="P1532" s="3">
        <f t="shared" si="117"/>
        <v>10673.16</v>
      </c>
      <c r="Q1532" s="3">
        <f t="shared" si="118"/>
        <v>4337.09</v>
      </c>
      <c r="R1532" s="4">
        <f t="shared" si="119"/>
        <v>0.28889999999999999</v>
      </c>
      <c r="S1532" s="2">
        <v>5</v>
      </c>
      <c r="T1532" t="s">
        <v>46</v>
      </c>
      <c r="U1532">
        <v>5</v>
      </c>
    </row>
    <row r="1533" spans="1:22" x14ac:dyDescent="0.25">
      <c r="A1533" s="1">
        <v>46221</v>
      </c>
      <c r="B1533" t="s">
        <v>1726</v>
      </c>
      <c r="C1533" t="s">
        <v>464</v>
      </c>
      <c r="D1533" t="s">
        <v>34</v>
      </c>
      <c r="E1533" t="s">
        <v>35</v>
      </c>
      <c r="F1533" t="s">
        <v>64</v>
      </c>
      <c r="G1533" t="s">
        <v>51</v>
      </c>
      <c r="H1533" t="s">
        <v>59</v>
      </c>
      <c r="I1533" t="s">
        <v>53</v>
      </c>
      <c r="J1533" s="2">
        <v>4</v>
      </c>
      <c r="K1533" s="3">
        <v>2192.09</v>
      </c>
      <c r="L1533" s="3">
        <v>1470.96</v>
      </c>
      <c r="M1533" s="4">
        <v>0</v>
      </c>
      <c r="N1533" s="3">
        <f t="shared" si="115"/>
        <v>8768.36</v>
      </c>
      <c r="O1533" s="3">
        <f t="shared" si="116"/>
        <v>8768.36</v>
      </c>
      <c r="P1533" s="3">
        <f t="shared" si="117"/>
        <v>5883.84</v>
      </c>
      <c r="Q1533" s="3">
        <f t="shared" si="118"/>
        <v>2884.52</v>
      </c>
      <c r="R1533" s="4">
        <f t="shared" si="119"/>
        <v>0.32900000000000001</v>
      </c>
      <c r="S1533" s="2">
        <v>12</v>
      </c>
      <c r="T1533" t="s">
        <v>30</v>
      </c>
      <c r="U1533">
        <v>5</v>
      </c>
    </row>
    <row r="1534" spans="1:22" x14ac:dyDescent="0.25">
      <c r="A1534" s="1">
        <v>46064</v>
      </c>
      <c r="B1534" t="s">
        <v>1727</v>
      </c>
      <c r="C1534" t="s">
        <v>214</v>
      </c>
      <c r="D1534" t="s">
        <v>113</v>
      </c>
      <c r="E1534" t="s">
        <v>50</v>
      </c>
      <c r="F1534" t="s">
        <v>64</v>
      </c>
      <c r="G1534" t="s">
        <v>51</v>
      </c>
      <c r="H1534" t="s">
        <v>116</v>
      </c>
      <c r="I1534" t="s">
        <v>74</v>
      </c>
      <c r="J1534" s="2">
        <v>8</v>
      </c>
      <c r="K1534" s="3">
        <v>2950.06</v>
      </c>
      <c r="L1534" s="3">
        <v>1766.37</v>
      </c>
      <c r="M1534" s="4">
        <v>0</v>
      </c>
      <c r="N1534" s="3">
        <f t="shared" si="115"/>
        <v>23600.48</v>
      </c>
      <c r="O1534" s="3">
        <f t="shared" si="116"/>
        <v>23600.48</v>
      </c>
      <c r="P1534" s="3">
        <f t="shared" si="117"/>
        <v>14130.96</v>
      </c>
      <c r="Q1534" s="3">
        <f t="shared" si="118"/>
        <v>9469.52</v>
      </c>
      <c r="R1534" s="4">
        <f t="shared" si="119"/>
        <v>0.4012</v>
      </c>
      <c r="S1534" s="2">
        <v>6</v>
      </c>
      <c r="T1534" t="s">
        <v>46</v>
      </c>
      <c r="U1534">
        <v>2</v>
      </c>
    </row>
    <row r="1535" spans="1:22" x14ac:dyDescent="0.25">
      <c r="A1535" s="1">
        <v>46046</v>
      </c>
      <c r="B1535" t="s">
        <v>1728</v>
      </c>
      <c r="C1535" t="s">
        <v>168</v>
      </c>
      <c r="D1535" t="s">
        <v>207</v>
      </c>
      <c r="E1535" t="s">
        <v>35</v>
      </c>
      <c r="F1535" t="s">
        <v>64</v>
      </c>
      <c r="G1535" t="s">
        <v>27</v>
      </c>
      <c r="H1535" t="s">
        <v>86</v>
      </c>
      <c r="I1535" t="s">
        <v>87</v>
      </c>
      <c r="J1535" s="2">
        <v>3</v>
      </c>
      <c r="K1535" s="3">
        <v>1841</v>
      </c>
      <c r="L1535" s="3">
        <v>1149.32</v>
      </c>
      <c r="M1535" s="4">
        <v>0.1114</v>
      </c>
      <c r="N1535" s="3">
        <f t="shared" si="115"/>
        <v>5523</v>
      </c>
      <c r="O1535" s="3">
        <f t="shared" si="116"/>
        <v>4907.74</v>
      </c>
      <c r="P1535" s="3">
        <f t="shared" si="117"/>
        <v>3447.96</v>
      </c>
      <c r="Q1535" s="3">
        <f t="shared" si="118"/>
        <v>1459.78</v>
      </c>
      <c r="R1535" s="4">
        <f t="shared" si="119"/>
        <v>0.2974</v>
      </c>
      <c r="S1535" s="2">
        <v>20</v>
      </c>
      <c r="T1535" t="s">
        <v>30</v>
      </c>
      <c r="U1535">
        <v>2</v>
      </c>
      <c r="V1535" t="s">
        <v>208</v>
      </c>
    </row>
    <row r="1536" spans="1:22" x14ac:dyDescent="0.25">
      <c r="A1536" s="1">
        <v>46084</v>
      </c>
      <c r="B1536" t="s">
        <v>1729</v>
      </c>
      <c r="C1536" t="s">
        <v>182</v>
      </c>
      <c r="D1536" t="s">
        <v>56</v>
      </c>
      <c r="E1536" t="s">
        <v>57</v>
      </c>
      <c r="F1536" t="s">
        <v>64</v>
      </c>
      <c r="G1536" t="s">
        <v>27</v>
      </c>
      <c r="H1536" t="s">
        <v>86</v>
      </c>
      <c r="I1536" t="s">
        <v>39</v>
      </c>
      <c r="J1536" s="2">
        <v>6</v>
      </c>
      <c r="K1536" s="3">
        <v>1813.35</v>
      </c>
      <c r="L1536" s="3">
        <v>1204.74</v>
      </c>
      <c r="M1536" s="4">
        <v>0.1056</v>
      </c>
      <c r="N1536" s="3">
        <f t="shared" si="115"/>
        <v>10880.1</v>
      </c>
      <c r="O1536" s="3">
        <f t="shared" si="116"/>
        <v>9731.16</v>
      </c>
      <c r="P1536" s="3">
        <f t="shared" si="117"/>
        <v>7228.44</v>
      </c>
      <c r="Q1536" s="3">
        <f t="shared" si="118"/>
        <v>2502.7199999999998</v>
      </c>
      <c r="R1536" s="4">
        <f t="shared" si="119"/>
        <v>0.25719999999999998</v>
      </c>
      <c r="S1536" s="2">
        <v>14</v>
      </c>
      <c r="T1536" t="s">
        <v>30</v>
      </c>
      <c r="U1536">
        <v>2</v>
      </c>
    </row>
    <row r="1537" spans="1:21" x14ac:dyDescent="0.25">
      <c r="A1537" s="1">
        <v>46112</v>
      </c>
      <c r="B1537" t="s">
        <v>1730</v>
      </c>
      <c r="C1537" t="s">
        <v>62</v>
      </c>
      <c r="D1537" t="s">
        <v>71</v>
      </c>
      <c r="E1537" t="s">
        <v>72</v>
      </c>
      <c r="F1537" t="s">
        <v>26</v>
      </c>
      <c r="G1537" t="s">
        <v>51</v>
      </c>
      <c r="H1537" t="s">
        <v>116</v>
      </c>
      <c r="I1537" t="s">
        <v>29</v>
      </c>
      <c r="J1537" s="2">
        <v>8</v>
      </c>
      <c r="K1537" s="3">
        <v>2666.25</v>
      </c>
      <c r="L1537" s="3">
        <v>1814.76</v>
      </c>
      <c r="M1537" s="4">
        <v>0</v>
      </c>
      <c r="N1537" s="3">
        <f t="shared" si="115"/>
        <v>21330</v>
      </c>
      <c r="O1537" s="3">
        <f t="shared" si="116"/>
        <v>21330</v>
      </c>
      <c r="P1537" s="3">
        <f t="shared" si="117"/>
        <v>14518.08</v>
      </c>
      <c r="Q1537" s="3">
        <f t="shared" si="118"/>
        <v>6811.92</v>
      </c>
      <c r="R1537" s="4">
        <f t="shared" si="119"/>
        <v>0.31940000000000002</v>
      </c>
      <c r="S1537" s="2">
        <v>11</v>
      </c>
      <c r="T1537" t="s">
        <v>30</v>
      </c>
      <c r="U1537">
        <v>3</v>
      </c>
    </row>
    <row r="1538" spans="1:21" x14ac:dyDescent="0.25">
      <c r="A1538" s="1">
        <v>46154</v>
      </c>
      <c r="B1538" t="s">
        <v>1731</v>
      </c>
      <c r="C1538" t="s">
        <v>144</v>
      </c>
      <c r="D1538" t="s">
        <v>97</v>
      </c>
      <c r="E1538" t="s">
        <v>57</v>
      </c>
      <c r="F1538" t="s">
        <v>26</v>
      </c>
      <c r="G1538" t="s">
        <v>44</v>
      </c>
      <c r="H1538" t="s">
        <v>124</v>
      </c>
      <c r="I1538" t="s">
        <v>29</v>
      </c>
      <c r="J1538" s="2">
        <v>8</v>
      </c>
      <c r="K1538" s="3">
        <v>5694.63</v>
      </c>
      <c r="L1538" s="3">
        <v>4387.6499999999996</v>
      </c>
      <c r="M1538" s="4">
        <v>0</v>
      </c>
      <c r="N1538" s="3">
        <f t="shared" ref="N1538:N1601" si="120">ROUND(J1538*K1538,2)</f>
        <v>45557.04</v>
      </c>
      <c r="O1538" s="3">
        <f t="shared" ref="O1538:O1601" si="121">ROUND(N1538*(1-M1538),2)</f>
        <v>45557.04</v>
      </c>
      <c r="P1538" s="3">
        <f t="shared" ref="P1538:P1601" si="122">ROUND(J1538*L1538,2)</f>
        <v>35101.199999999997</v>
      </c>
      <c r="Q1538" s="3">
        <f t="shared" ref="Q1538:Q1601" si="123">ROUND(O1538-P1538,2)</f>
        <v>10455.84</v>
      </c>
      <c r="R1538" s="4">
        <f t="shared" ref="R1538:R1601" si="124">IF(O1538=0,0,ROUND(Q1538/O1538,4))</f>
        <v>0.22950000000000001</v>
      </c>
      <c r="S1538" s="2">
        <v>2</v>
      </c>
      <c r="T1538" t="s">
        <v>46</v>
      </c>
      <c r="U1538">
        <v>4</v>
      </c>
    </row>
    <row r="1539" spans="1:21" x14ac:dyDescent="0.25">
      <c r="A1539" s="1">
        <v>46077</v>
      </c>
      <c r="B1539" t="s">
        <v>1732</v>
      </c>
      <c r="C1539" t="s">
        <v>260</v>
      </c>
      <c r="D1539" t="s">
        <v>43</v>
      </c>
      <c r="E1539" t="s">
        <v>25</v>
      </c>
      <c r="F1539" t="s">
        <v>36</v>
      </c>
      <c r="G1539" t="s">
        <v>27</v>
      </c>
      <c r="H1539" t="s">
        <v>86</v>
      </c>
      <c r="I1539" t="s">
        <v>53</v>
      </c>
      <c r="J1539" s="2">
        <v>8</v>
      </c>
      <c r="K1539" s="3">
        <v>1825.64</v>
      </c>
      <c r="L1539" s="3">
        <v>1203.92</v>
      </c>
      <c r="M1539" s="4">
        <v>4.4299999999999999E-2</v>
      </c>
      <c r="N1539" s="3">
        <f t="shared" si="120"/>
        <v>14605.12</v>
      </c>
      <c r="O1539" s="3">
        <f t="shared" si="121"/>
        <v>13958.11</v>
      </c>
      <c r="P1539" s="3">
        <f t="shared" si="122"/>
        <v>9631.36</v>
      </c>
      <c r="Q1539" s="3">
        <f t="shared" si="123"/>
        <v>4326.75</v>
      </c>
      <c r="R1539" s="4">
        <f t="shared" si="124"/>
        <v>0.31</v>
      </c>
      <c r="S1539" s="2">
        <v>8</v>
      </c>
      <c r="T1539" t="s">
        <v>46</v>
      </c>
      <c r="U1539">
        <v>3</v>
      </c>
    </row>
    <row r="1540" spans="1:21" x14ac:dyDescent="0.25">
      <c r="A1540" s="1">
        <v>46226</v>
      </c>
      <c r="B1540" t="s">
        <v>1733</v>
      </c>
      <c r="C1540" t="s">
        <v>523</v>
      </c>
      <c r="D1540" t="s">
        <v>34</v>
      </c>
      <c r="E1540" t="s">
        <v>35</v>
      </c>
      <c r="F1540" t="s">
        <v>36</v>
      </c>
      <c r="G1540" t="s">
        <v>44</v>
      </c>
      <c r="H1540" t="s">
        <v>73</v>
      </c>
      <c r="I1540" t="s">
        <v>53</v>
      </c>
      <c r="J1540" s="2">
        <v>1</v>
      </c>
      <c r="K1540" s="3">
        <v>1691.09</v>
      </c>
      <c r="L1540" s="3">
        <v>1077.48</v>
      </c>
      <c r="M1540" s="4">
        <v>0</v>
      </c>
      <c r="N1540" s="3">
        <f t="shared" si="120"/>
        <v>1691.09</v>
      </c>
      <c r="O1540" s="3">
        <f t="shared" si="121"/>
        <v>1691.09</v>
      </c>
      <c r="P1540" s="3">
        <f t="shared" si="122"/>
        <v>1077.48</v>
      </c>
      <c r="Q1540" s="3">
        <f t="shared" si="123"/>
        <v>613.61</v>
      </c>
      <c r="R1540" s="4">
        <f t="shared" si="124"/>
        <v>0.36280000000000001</v>
      </c>
      <c r="S1540" s="2">
        <v>7</v>
      </c>
      <c r="T1540" t="s">
        <v>46</v>
      </c>
      <c r="U1540">
        <v>2</v>
      </c>
    </row>
    <row r="1541" spans="1:21" x14ac:dyDescent="0.25">
      <c r="A1541" s="1">
        <v>46122</v>
      </c>
      <c r="B1541" t="s">
        <v>1734</v>
      </c>
      <c r="C1541" t="s">
        <v>172</v>
      </c>
      <c r="D1541" t="s">
        <v>113</v>
      </c>
      <c r="E1541" t="s">
        <v>50</v>
      </c>
      <c r="F1541" t="s">
        <v>64</v>
      </c>
      <c r="G1541" t="s">
        <v>44</v>
      </c>
      <c r="H1541" t="s">
        <v>73</v>
      </c>
      <c r="I1541" t="s">
        <v>77</v>
      </c>
      <c r="J1541" s="2">
        <v>7</v>
      </c>
      <c r="K1541" s="3">
        <v>1595.57</v>
      </c>
      <c r="L1541" s="3">
        <v>1047.6400000000001</v>
      </c>
      <c r="M1541" s="4">
        <v>0.1031</v>
      </c>
      <c r="N1541" s="3">
        <f t="shared" si="120"/>
        <v>11168.99</v>
      </c>
      <c r="O1541" s="3">
        <f t="shared" si="121"/>
        <v>10017.469999999999</v>
      </c>
      <c r="P1541" s="3">
        <f t="shared" si="122"/>
        <v>7333.48</v>
      </c>
      <c r="Q1541" s="3">
        <f t="shared" si="123"/>
        <v>2683.99</v>
      </c>
      <c r="R1541" s="4">
        <f t="shared" si="124"/>
        <v>0.26790000000000003</v>
      </c>
      <c r="S1541" s="2">
        <v>7</v>
      </c>
      <c r="T1541" t="s">
        <v>46</v>
      </c>
      <c r="U1541">
        <v>4</v>
      </c>
    </row>
    <row r="1542" spans="1:21" x14ac:dyDescent="0.25">
      <c r="A1542" s="1">
        <v>46156</v>
      </c>
      <c r="B1542" t="s">
        <v>1735</v>
      </c>
      <c r="C1542" t="s">
        <v>153</v>
      </c>
      <c r="D1542" t="s">
        <v>56</v>
      </c>
      <c r="E1542" t="s">
        <v>57</v>
      </c>
      <c r="F1542" t="s">
        <v>58</v>
      </c>
      <c r="G1542" t="s">
        <v>37</v>
      </c>
      <c r="H1542" t="s">
        <v>38</v>
      </c>
      <c r="I1542" t="s">
        <v>60</v>
      </c>
      <c r="J1542" s="2">
        <v>3</v>
      </c>
      <c r="K1542" s="3">
        <v>413.85</v>
      </c>
      <c r="L1542" s="3">
        <v>187.06</v>
      </c>
      <c r="M1542" s="4">
        <v>3.5000000000000003E-2</v>
      </c>
      <c r="N1542" s="3">
        <f t="shared" si="120"/>
        <v>1241.55</v>
      </c>
      <c r="O1542" s="3">
        <f t="shared" si="121"/>
        <v>1198.0999999999999</v>
      </c>
      <c r="P1542" s="3">
        <f t="shared" si="122"/>
        <v>561.17999999999995</v>
      </c>
      <c r="Q1542" s="3">
        <f t="shared" si="123"/>
        <v>636.91999999999996</v>
      </c>
      <c r="R1542" s="4">
        <f t="shared" si="124"/>
        <v>0.53159999999999996</v>
      </c>
      <c r="S1542" s="2">
        <v>14</v>
      </c>
      <c r="T1542" t="s">
        <v>30</v>
      </c>
      <c r="U1542">
        <v>3</v>
      </c>
    </row>
    <row r="1543" spans="1:21" x14ac:dyDescent="0.25">
      <c r="A1543" s="1">
        <v>46134</v>
      </c>
      <c r="B1543" t="s">
        <v>1736</v>
      </c>
      <c r="C1543" t="s">
        <v>76</v>
      </c>
      <c r="D1543" t="s">
        <v>97</v>
      </c>
      <c r="E1543" t="s">
        <v>57</v>
      </c>
      <c r="F1543" t="s">
        <v>36</v>
      </c>
      <c r="G1543" t="s">
        <v>51</v>
      </c>
      <c r="H1543" t="s">
        <v>59</v>
      </c>
      <c r="I1543" t="s">
        <v>94</v>
      </c>
      <c r="J1543" s="2">
        <v>5</v>
      </c>
      <c r="K1543" s="3">
        <v>2274.1</v>
      </c>
      <c r="L1543" s="3">
        <v>1412.59</v>
      </c>
      <c r="M1543" s="4">
        <v>3.2000000000000001E-2</v>
      </c>
      <c r="N1543" s="3">
        <f t="shared" si="120"/>
        <v>11370.5</v>
      </c>
      <c r="O1543" s="3">
        <f t="shared" si="121"/>
        <v>11006.64</v>
      </c>
      <c r="P1543" s="3">
        <f t="shared" si="122"/>
        <v>7062.95</v>
      </c>
      <c r="Q1543" s="3">
        <f t="shared" si="123"/>
        <v>3943.69</v>
      </c>
      <c r="R1543" s="4">
        <f t="shared" si="124"/>
        <v>0.35830000000000001</v>
      </c>
      <c r="S1543" s="2">
        <v>14</v>
      </c>
      <c r="T1543" t="s">
        <v>30</v>
      </c>
      <c r="U1543">
        <v>5</v>
      </c>
    </row>
    <row r="1544" spans="1:21" x14ac:dyDescent="0.25">
      <c r="A1544" s="1">
        <v>46210</v>
      </c>
      <c r="B1544" t="s">
        <v>1737</v>
      </c>
      <c r="C1544" t="s">
        <v>378</v>
      </c>
      <c r="D1544" t="s">
        <v>43</v>
      </c>
      <c r="E1544" t="s">
        <v>25</v>
      </c>
      <c r="F1544" t="s">
        <v>64</v>
      </c>
      <c r="G1544" t="s">
        <v>27</v>
      </c>
      <c r="H1544" t="s">
        <v>68</v>
      </c>
      <c r="I1544" t="s">
        <v>94</v>
      </c>
      <c r="J1544" s="2">
        <v>2</v>
      </c>
      <c r="K1544" s="3">
        <v>1315.35</v>
      </c>
      <c r="L1544" s="3">
        <v>808.5</v>
      </c>
      <c r="M1544" s="4">
        <v>0</v>
      </c>
      <c r="N1544" s="3">
        <f t="shared" si="120"/>
        <v>2630.7</v>
      </c>
      <c r="O1544" s="3">
        <f t="shared" si="121"/>
        <v>2630.7</v>
      </c>
      <c r="P1544" s="3">
        <f t="shared" si="122"/>
        <v>1617</v>
      </c>
      <c r="Q1544" s="3">
        <f t="shared" si="123"/>
        <v>1013.7</v>
      </c>
      <c r="R1544" s="4">
        <f t="shared" si="124"/>
        <v>0.38529999999999998</v>
      </c>
      <c r="S1544" s="2">
        <v>5</v>
      </c>
      <c r="T1544" t="s">
        <v>46</v>
      </c>
      <c r="U1544">
        <v>3</v>
      </c>
    </row>
    <row r="1545" spans="1:21" x14ac:dyDescent="0.25">
      <c r="A1545" s="1">
        <v>46097</v>
      </c>
      <c r="B1545" t="s">
        <v>1738</v>
      </c>
      <c r="C1545" t="s">
        <v>134</v>
      </c>
      <c r="D1545" t="s">
        <v>24</v>
      </c>
      <c r="E1545" t="s">
        <v>25</v>
      </c>
      <c r="F1545" t="s">
        <v>58</v>
      </c>
      <c r="G1545" t="s">
        <v>27</v>
      </c>
      <c r="H1545" t="s">
        <v>68</v>
      </c>
      <c r="I1545" t="s">
        <v>94</v>
      </c>
      <c r="J1545" s="2">
        <v>7</v>
      </c>
      <c r="K1545" s="3">
        <v>1297.4000000000001</v>
      </c>
      <c r="L1545" s="3">
        <v>813.48</v>
      </c>
      <c r="M1545" s="4">
        <v>7.3300000000000004E-2</v>
      </c>
      <c r="N1545" s="3">
        <f t="shared" si="120"/>
        <v>9081.7999999999993</v>
      </c>
      <c r="O1545" s="3">
        <f t="shared" si="121"/>
        <v>8416.1</v>
      </c>
      <c r="P1545" s="3">
        <f t="shared" si="122"/>
        <v>5694.36</v>
      </c>
      <c r="Q1545" s="3">
        <f t="shared" si="123"/>
        <v>2721.74</v>
      </c>
      <c r="R1545" s="4">
        <f t="shared" si="124"/>
        <v>0.32340000000000002</v>
      </c>
      <c r="S1545" s="2">
        <v>13</v>
      </c>
      <c r="T1545" t="s">
        <v>30</v>
      </c>
      <c r="U1545">
        <v>5</v>
      </c>
    </row>
    <row r="1546" spans="1:21" x14ac:dyDescent="0.25">
      <c r="A1546" s="1">
        <v>46067</v>
      </c>
      <c r="B1546" t="s">
        <v>1739</v>
      </c>
      <c r="C1546" t="s">
        <v>336</v>
      </c>
      <c r="D1546" t="s">
        <v>34</v>
      </c>
      <c r="E1546" t="s">
        <v>35</v>
      </c>
      <c r="F1546" t="s">
        <v>36</v>
      </c>
      <c r="G1546" t="s">
        <v>44</v>
      </c>
      <c r="H1546" t="s">
        <v>73</v>
      </c>
      <c r="I1546" t="s">
        <v>53</v>
      </c>
      <c r="J1546" s="2">
        <v>1</v>
      </c>
      <c r="K1546" s="3">
        <v>1610.55</v>
      </c>
      <c r="L1546" s="3">
        <v>1087.54</v>
      </c>
      <c r="M1546" s="4">
        <v>0</v>
      </c>
      <c r="N1546" s="3">
        <f t="shared" si="120"/>
        <v>1610.55</v>
      </c>
      <c r="O1546" s="3">
        <f t="shared" si="121"/>
        <v>1610.55</v>
      </c>
      <c r="P1546" s="3">
        <f t="shared" si="122"/>
        <v>1087.54</v>
      </c>
      <c r="Q1546" s="3">
        <f t="shared" si="123"/>
        <v>523.01</v>
      </c>
      <c r="R1546" s="4">
        <f t="shared" si="124"/>
        <v>0.32469999999999999</v>
      </c>
      <c r="S1546" s="2">
        <v>3</v>
      </c>
      <c r="T1546" t="s">
        <v>46</v>
      </c>
      <c r="U1546">
        <v>3</v>
      </c>
    </row>
    <row r="1547" spans="1:21" x14ac:dyDescent="0.25">
      <c r="A1547" s="1">
        <v>46098</v>
      </c>
      <c r="B1547" t="s">
        <v>1740</v>
      </c>
      <c r="C1547" t="s">
        <v>381</v>
      </c>
      <c r="D1547" t="s">
        <v>97</v>
      </c>
      <c r="E1547" t="s">
        <v>57</v>
      </c>
      <c r="F1547" t="s">
        <v>58</v>
      </c>
      <c r="G1547" t="s">
        <v>27</v>
      </c>
      <c r="H1547" t="s">
        <v>86</v>
      </c>
      <c r="I1547" t="s">
        <v>74</v>
      </c>
      <c r="J1547" s="2">
        <v>5</v>
      </c>
      <c r="K1547" s="3">
        <v>1949.61</v>
      </c>
      <c r="L1547" s="3">
        <v>1247.03</v>
      </c>
      <c r="M1547" s="4">
        <v>6.5500000000000003E-2</v>
      </c>
      <c r="N1547" s="3">
        <f t="shared" si="120"/>
        <v>9748.0499999999993</v>
      </c>
      <c r="O1547" s="3">
        <f t="shared" si="121"/>
        <v>9109.5499999999993</v>
      </c>
      <c r="P1547" s="3">
        <f t="shared" si="122"/>
        <v>6235.15</v>
      </c>
      <c r="Q1547" s="3">
        <f t="shared" si="123"/>
        <v>2874.4</v>
      </c>
      <c r="R1547" s="4">
        <f t="shared" si="124"/>
        <v>0.3155</v>
      </c>
      <c r="S1547" s="2">
        <v>4</v>
      </c>
      <c r="T1547" t="s">
        <v>46</v>
      </c>
      <c r="U1547">
        <v>3</v>
      </c>
    </row>
    <row r="1548" spans="1:21" x14ac:dyDescent="0.25">
      <c r="A1548" s="1">
        <v>46161</v>
      </c>
      <c r="B1548" t="s">
        <v>1741</v>
      </c>
      <c r="C1548" t="s">
        <v>89</v>
      </c>
      <c r="D1548" t="s">
        <v>24</v>
      </c>
      <c r="E1548" t="s">
        <v>25</v>
      </c>
      <c r="F1548" t="s">
        <v>26</v>
      </c>
      <c r="G1548" t="s">
        <v>51</v>
      </c>
      <c r="H1548" t="s">
        <v>52</v>
      </c>
      <c r="I1548" t="s">
        <v>65</v>
      </c>
      <c r="J1548" s="2">
        <v>2</v>
      </c>
      <c r="K1548" s="3">
        <v>272.77999999999997</v>
      </c>
      <c r="L1548" s="3">
        <v>121.87</v>
      </c>
      <c r="M1548" s="4">
        <v>0</v>
      </c>
      <c r="N1548" s="3">
        <f t="shared" si="120"/>
        <v>545.55999999999995</v>
      </c>
      <c r="O1548" s="3">
        <f t="shared" si="121"/>
        <v>545.55999999999995</v>
      </c>
      <c r="P1548" s="3">
        <f t="shared" si="122"/>
        <v>243.74</v>
      </c>
      <c r="Q1548" s="3">
        <f t="shared" si="123"/>
        <v>301.82</v>
      </c>
      <c r="R1548" s="4">
        <f t="shared" si="124"/>
        <v>0.55320000000000003</v>
      </c>
      <c r="S1548" s="2">
        <v>11</v>
      </c>
      <c r="T1548" t="s">
        <v>30</v>
      </c>
      <c r="U1548">
        <v>4</v>
      </c>
    </row>
    <row r="1549" spans="1:21" x14ac:dyDescent="0.25">
      <c r="A1549" s="1">
        <v>46053</v>
      </c>
      <c r="B1549" t="s">
        <v>1742</v>
      </c>
      <c r="C1549" t="s">
        <v>79</v>
      </c>
      <c r="D1549" t="s">
        <v>126</v>
      </c>
      <c r="E1549" t="s">
        <v>57</v>
      </c>
      <c r="F1549" t="s">
        <v>64</v>
      </c>
      <c r="G1549" t="s">
        <v>37</v>
      </c>
      <c r="H1549" t="s">
        <v>178</v>
      </c>
      <c r="I1549" t="s">
        <v>53</v>
      </c>
      <c r="J1549" s="2">
        <v>4</v>
      </c>
      <c r="K1549" s="3">
        <v>493.87</v>
      </c>
      <c r="L1549" s="3">
        <v>237.12</v>
      </c>
      <c r="M1549" s="4">
        <v>0</v>
      </c>
      <c r="N1549" s="3">
        <f t="shared" si="120"/>
        <v>1975.48</v>
      </c>
      <c r="O1549" s="3">
        <f t="shared" si="121"/>
        <v>1975.48</v>
      </c>
      <c r="P1549" s="3">
        <f t="shared" si="122"/>
        <v>948.48</v>
      </c>
      <c r="Q1549" s="3">
        <f t="shared" si="123"/>
        <v>1027</v>
      </c>
      <c r="R1549" s="4">
        <f t="shared" si="124"/>
        <v>0.51990000000000003</v>
      </c>
      <c r="S1549" s="2">
        <v>6</v>
      </c>
      <c r="T1549" t="s">
        <v>46</v>
      </c>
      <c r="U1549">
        <v>2</v>
      </c>
    </row>
    <row r="1550" spans="1:21" x14ac:dyDescent="0.25">
      <c r="A1550" s="1">
        <v>46122</v>
      </c>
      <c r="B1550" t="s">
        <v>1743</v>
      </c>
      <c r="C1550" t="s">
        <v>155</v>
      </c>
      <c r="D1550" t="s">
        <v>85</v>
      </c>
      <c r="E1550" t="s">
        <v>50</v>
      </c>
      <c r="F1550" t="s">
        <v>36</v>
      </c>
      <c r="G1550" t="s">
        <v>37</v>
      </c>
      <c r="H1550" t="s">
        <v>38</v>
      </c>
      <c r="I1550" t="s">
        <v>77</v>
      </c>
      <c r="J1550" s="2">
        <v>1</v>
      </c>
      <c r="K1550" s="3">
        <v>439.34</v>
      </c>
      <c r="L1550" s="3">
        <v>188.64</v>
      </c>
      <c r="M1550" s="4">
        <v>3.3399999999999999E-2</v>
      </c>
      <c r="N1550" s="3">
        <f t="shared" si="120"/>
        <v>439.34</v>
      </c>
      <c r="O1550" s="3">
        <f t="shared" si="121"/>
        <v>424.67</v>
      </c>
      <c r="P1550" s="3">
        <f t="shared" si="122"/>
        <v>188.64</v>
      </c>
      <c r="Q1550" s="3">
        <f t="shared" si="123"/>
        <v>236.03</v>
      </c>
      <c r="R1550" s="4">
        <f t="shared" si="124"/>
        <v>0.55579999999999996</v>
      </c>
      <c r="S1550" s="2">
        <v>5</v>
      </c>
      <c r="T1550" t="s">
        <v>46</v>
      </c>
      <c r="U1550">
        <v>2</v>
      </c>
    </row>
    <row r="1551" spans="1:21" x14ac:dyDescent="0.25">
      <c r="A1551" s="1">
        <v>46118</v>
      </c>
      <c r="B1551" t="s">
        <v>1744</v>
      </c>
      <c r="C1551" t="s">
        <v>247</v>
      </c>
      <c r="D1551" t="s">
        <v>85</v>
      </c>
      <c r="E1551" t="s">
        <v>50</v>
      </c>
      <c r="F1551" t="s">
        <v>36</v>
      </c>
      <c r="G1551" t="s">
        <v>37</v>
      </c>
      <c r="H1551" t="s">
        <v>38</v>
      </c>
      <c r="I1551" t="s">
        <v>53</v>
      </c>
      <c r="J1551" s="2">
        <v>3</v>
      </c>
      <c r="K1551" s="3">
        <v>408.93</v>
      </c>
      <c r="L1551" s="3">
        <v>197.06</v>
      </c>
      <c r="M1551" s="4">
        <v>1.78E-2</v>
      </c>
      <c r="N1551" s="3">
        <f t="shared" si="120"/>
        <v>1226.79</v>
      </c>
      <c r="O1551" s="3">
        <f t="shared" si="121"/>
        <v>1204.95</v>
      </c>
      <c r="P1551" s="3">
        <f t="shared" si="122"/>
        <v>591.17999999999995</v>
      </c>
      <c r="Q1551" s="3">
        <f t="shared" si="123"/>
        <v>613.77</v>
      </c>
      <c r="R1551" s="4">
        <f t="shared" si="124"/>
        <v>0.50939999999999996</v>
      </c>
      <c r="S1551" s="2">
        <v>8</v>
      </c>
      <c r="T1551" t="s">
        <v>46</v>
      </c>
      <c r="U1551">
        <v>5</v>
      </c>
    </row>
    <row r="1552" spans="1:21" x14ac:dyDescent="0.25">
      <c r="A1552" s="1">
        <v>46182</v>
      </c>
      <c r="B1552" t="s">
        <v>1745</v>
      </c>
      <c r="C1552" t="s">
        <v>321</v>
      </c>
      <c r="D1552" t="s">
        <v>126</v>
      </c>
      <c r="E1552" t="s">
        <v>57</v>
      </c>
      <c r="F1552" t="s">
        <v>58</v>
      </c>
      <c r="G1552" t="s">
        <v>27</v>
      </c>
      <c r="H1552" t="s">
        <v>68</v>
      </c>
      <c r="I1552" t="s">
        <v>74</v>
      </c>
      <c r="J1552" s="2">
        <v>5</v>
      </c>
      <c r="K1552" s="3">
        <v>1216.55</v>
      </c>
      <c r="L1552" s="3">
        <v>781.48</v>
      </c>
      <c r="M1552" s="4">
        <v>0.16350000000000001</v>
      </c>
      <c r="N1552" s="3">
        <f t="shared" si="120"/>
        <v>6082.75</v>
      </c>
      <c r="O1552" s="3">
        <f t="shared" si="121"/>
        <v>5088.22</v>
      </c>
      <c r="P1552" s="3">
        <f t="shared" si="122"/>
        <v>3907.4</v>
      </c>
      <c r="Q1552" s="3">
        <f t="shared" si="123"/>
        <v>1180.82</v>
      </c>
      <c r="R1552" s="4">
        <f t="shared" si="124"/>
        <v>0.2321</v>
      </c>
      <c r="S1552" s="2">
        <v>9</v>
      </c>
      <c r="T1552" t="s">
        <v>46</v>
      </c>
      <c r="U1552">
        <v>2</v>
      </c>
    </row>
    <row r="1553" spans="1:21" x14ac:dyDescent="0.25">
      <c r="A1553" s="1">
        <v>46128</v>
      </c>
      <c r="B1553" t="s">
        <v>1746</v>
      </c>
      <c r="C1553" t="s">
        <v>170</v>
      </c>
      <c r="D1553" t="s">
        <v>97</v>
      </c>
      <c r="E1553" t="s">
        <v>57</v>
      </c>
      <c r="F1553" t="s">
        <v>36</v>
      </c>
      <c r="G1553" t="s">
        <v>44</v>
      </c>
      <c r="H1553" t="s">
        <v>124</v>
      </c>
      <c r="I1553" t="s">
        <v>60</v>
      </c>
      <c r="J1553" s="2">
        <v>1</v>
      </c>
      <c r="K1553" s="3">
        <v>5711.18</v>
      </c>
      <c r="L1553" s="3">
        <v>4207.3500000000004</v>
      </c>
      <c r="M1553" s="4">
        <v>0</v>
      </c>
      <c r="N1553" s="3">
        <f t="shared" si="120"/>
        <v>5711.18</v>
      </c>
      <c r="O1553" s="3">
        <f t="shared" si="121"/>
        <v>5711.18</v>
      </c>
      <c r="P1553" s="3">
        <f t="shared" si="122"/>
        <v>4207.3500000000004</v>
      </c>
      <c r="Q1553" s="3">
        <f t="shared" si="123"/>
        <v>1503.83</v>
      </c>
      <c r="R1553" s="4">
        <f t="shared" si="124"/>
        <v>0.26329999999999998</v>
      </c>
      <c r="S1553" s="2">
        <v>8</v>
      </c>
      <c r="T1553" t="s">
        <v>46</v>
      </c>
      <c r="U1553">
        <v>5</v>
      </c>
    </row>
    <row r="1554" spans="1:21" x14ac:dyDescent="0.25">
      <c r="A1554" s="1">
        <v>46108</v>
      </c>
      <c r="B1554" t="s">
        <v>1747</v>
      </c>
      <c r="C1554" t="s">
        <v>609</v>
      </c>
      <c r="D1554" t="s">
        <v>207</v>
      </c>
      <c r="E1554" t="s">
        <v>35</v>
      </c>
      <c r="F1554" t="s">
        <v>58</v>
      </c>
      <c r="G1554" t="s">
        <v>44</v>
      </c>
      <c r="H1554" t="s">
        <v>73</v>
      </c>
      <c r="I1554" t="s">
        <v>87</v>
      </c>
      <c r="J1554" s="2">
        <v>8</v>
      </c>
      <c r="K1554" s="3">
        <v>1766.57</v>
      </c>
      <c r="L1554" s="3">
        <v>1126.22</v>
      </c>
      <c r="M1554" s="4">
        <v>0.12540000000000001</v>
      </c>
      <c r="N1554" s="3">
        <f t="shared" si="120"/>
        <v>14132.56</v>
      </c>
      <c r="O1554" s="3">
        <f t="shared" si="121"/>
        <v>12360.34</v>
      </c>
      <c r="P1554" s="3">
        <f t="shared" si="122"/>
        <v>9009.76</v>
      </c>
      <c r="Q1554" s="3">
        <f t="shared" si="123"/>
        <v>3350.58</v>
      </c>
      <c r="R1554" s="4">
        <f t="shared" si="124"/>
        <v>0.27110000000000001</v>
      </c>
      <c r="S1554" s="2">
        <v>12</v>
      </c>
      <c r="T1554" t="s">
        <v>30</v>
      </c>
      <c r="U1554">
        <v>4</v>
      </c>
    </row>
    <row r="1555" spans="1:21" x14ac:dyDescent="0.25">
      <c r="A1555" s="1">
        <v>46190</v>
      </c>
      <c r="B1555" t="s">
        <v>1748</v>
      </c>
      <c r="C1555" t="s">
        <v>266</v>
      </c>
      <c r="D1555" t="s">
        <v>113</v>
      </c>
      <c r="E1555" t="s">
        <v>50</v>
      </c>
      <c r="F1555" t="s">
        <v>58</v>
      </c>
      <c r="G1555" t="s">
        <v>44</v>
      </c>
      <c r="H1555" t="s">
        <v>73</v>
      </c>
      <c r="I1555" t="s">
        <v>39</v>
      </c>
      <c r="J1555" s="2">
        <v>3</v>
      </c>
      <c r="K1555" s="3">
        <v>1628.08</v>
      </c>
      <c r="L1555" s="3">
        <v>1054.4100000000001</v>
      </c>
      <c r="M1555" s="4">
        <v>7.5600000000000001E-2</v>
      </c>
      <c r="N1555" s="3">
        <f t="shared" si="120"/>
        <v>4884.24</v>
      </c>
      <c r="O1555" s="3">
        <f t="shared" si="121"/>
        <v>4514.99</v>
      </c>
      <c r="P1555" s="3">
        <f t="shared" si="122"/>
        <v>3163.23</v>
      </c>
      <c r="Q1555" s="3">
        <f t="shared" si="123"/>
        <v>1351.76</v>
      </c>
      <c r="R1555" s="4">
        <f t="shared" si="124"/>
        <v>0.2994</v>
      </c>
      <c r="S1555" s="2">
        <v>11</v>
      </c>
      <c r="T1555" t="s">
        <v>30</v>
      </c>
      <c r="U1555">
        <v>4</v>
      </c>
    </row>
    <row r="1556" spans="1:21" x14ac:dyDescent="0.25">
      <c r="A1556" s="1">
        <v>46087</v>
      </c>
      <c r="B1556" t="s">
        <v>1749</v>
      </c>
      <c r="C1556" t="s">
        <v>235</v>
      </c>
      <c r="D1556" t="s">
        <v>63</v>
      </c>
      <c r="E1556" t="s">
        <v>35</v>
      </c>
      <c r="F1556" t="s">
        <v>26</v>
      </c>
      <c r="G1556" t="s">
        <v>51</v>
      </c>
      <c r="H1556" t="s">
        <v>116</v>
      </c>
      <c r="I1556" t="s">
        <v>74</v>
      </c>
      <c r="J1556" s="2">
        <v>4</v>
      </c>
      <c r="K1556" s="3">
        <v>2857.25</v>
      </c>
      <c r="L1556" s="3">
        <v>1807.6</v>
      </c>
      <c r="M1556" s="4">
        <v>0</v>
      </c>
      <c r="N1556" s="3">
        <f t="shared" si="120"/>
        <v>11429</v>
      </c>
      <c r="O1556" s="3">
        <f t="shared" si="121"/>
        <v>11429</v>
      </c>
      <c r="P1556" s="3">
        <f t="shared" si="122"/>
        <v>7230.4</v>
      </c>
      <c r="Q1556" s="3">
        <f t="shared" si="123"/>
        <v>4198.6000000000004</v>
      </c>
      <c r="R1556" s="4">
        <f t="shared" si="124"/>
        <v>0.3674</v>
      </c>
      <c r="S1556" s="2">
        <v>7</v>
      </c>
      <c r="T1556" t="s">
        <v>46</v>
      </c>
      <c r="U1556">
        <v>3</v>
      </c>
    </row>
    <row r="1557" spans="1:21" x14ac:dyDescent="0.25">
      <c r="A1557" s="1">
        <v>46229</v>
      </c>
      <c r="B1557" t="s">
        <v>1750</v>
      </c>
      <c r="C1557" t="s">
        <v>79</v>
      </c>
      <c r="D1557" t="s">
        <v>63</v>
      </c>
      <c r="E1557" t="s">
        <v>35</v>
      </c>
      <c r="F1557" t="s">
        <v>58</v>
      </c>
      <c r="G1557" t="s">
        <v>37</v>
      </c>
      <c r="H1557" t="s">
        <v>38</v>
      </c>
      <c r="I1557" t="s">
        <v>77</v>
      </c>
      <c r="J1557" s="2">
        <v>1</v>
      </c>
      <c r="K1557" s="3">
        <v>404.22</v>
      </c>
      <c r="L1557" s="3">
        <v>182.49</v>
      </c>
      <c r="M1557" s="4">
        <v>3.5000000000000003E-2</v>
      </c>
      <c r="N1557" s="3">
        <f t="shared" si="120"/>
        <v>404.22</v>
      </c>
      <c r="O1557" s="3">
        <f t="shared" si="121"/>
        <v>390.07</v>
      </c>
      <c r="P1557" s="3">
        <f t="shared" si="122"/>
        <v>182.49</v>
      </c>
      <c r="Q1557" s="3">
        <f t="shared" si="123"/>
        <v>207.58</v>
      </c>
      <c r="R1557" s="4">
        <f t="shared" si="124"/>
        <v>0.53220000000000001</v>
      </c>
      <c r="S1557" s="2">
        <v>14</v>
      </c>
      <c r="T1557" t="s">
        <v>30</v>
      </c>
      <c r="U1557">
        <v>2</v>
      </c>
    </row>
    <row r="1558" spans="1:21" x14ac:dyDescent="0.25">
      <c r="A1558" s="1">
        <v>46233</v>
      </c>
      <c r="B1558" t="s">
        <v>1751</v>
      </c>
      <c r="C1558" t="s">
        <v>144</v>
      </c>
      <c r="D1558" t="s">
        <v>207</v>
      </c>
      <c r="E1558" t="s">
        <v>35</v>
      </c>
      <c r="F1558" t="s">
        <v>26</v>
      </c>
      <c r="G1558" t="s">
        <v>27</v>
      </c>
      <c r="H1558" t="s">
        <v>68</v>
      </c>
      <c r="I1558" t="s">
        <v>87</v>
      </c>
      <c r="J1558" s="2">
        <v>5</v>
      </c>
      <c r="K1558" s="3">
        <v>1274.51</v>
      </c>
      <c r="L1558" s="3">
        <v>761.76</v>
      </c>
      <c r="M1558" s="4">
        <v>0</v>
      </c>
      <c r="N1558" s="3">
        <f t="shared" si="120"/>
        <v>6372.55</v>
      </c>
      <c r="O1558" s="3">
        <f t="shared" si="121"/>
        <v>6372.55</v>
      </c>
      <c r="P1558" s="3">
        <f t="shared" si="122"/>
        <v>3808.8</v>
      </c>
      <c r="Q1558" s="3">
        <f t="shared" si="123"/>
        <v>2563.75</v>
      </c>
      <c r="R1558" s="4">
        <f t="shared" si="124"/>
        <v>0.40229999999999999</v>
      </c>
      <c r="S1558" s="2">
        <v>13</v>
      </c>
      <c r="T1558" t="s">
        <v>30</v>
      </c>
      <c r="U1558">
        <v>5</v>
      </c>
    </row>
    <row r="1559" spans="1:21" x14ac:dyDescent="0.25">
      <c r="A1559" s="1">
        <v>46229</v>
      </c>
      <c r="B1559" t="s">
        <v>1752</v>
      </c>
      <c r="C1559" t="s">
        <v>375</v>
      </c>
      <c r="D1559" t="s">
        <v>24</v>
      </c>
      <c r="E1559" t="s">
        <v>25</v>
      </c>
      <c r="F1559" t="s">
        <v>58</v>
      </c>
      <c r="G1559" t="s">
        <v>27</v>
      </c>
      <c r="H1559" t="s">
        <v>28</v>
      </c>
      <c r="I1559" t="s">
        <v>92</v>
      </c>
      <c r="J1559" s="2">
        <v>6</v>
      </c>
      <c r="K1559" s="3">
        <v>742.76</v>
      </c>
      <c r="L1559" s="3">
        <v>475.23</v>
      </c>
      <c r="M1559" s="4">
        <v>6.2899999999999998E-2</v>
      </c>
      <c r="N1559" s="3">
        <f t="shared" si="120"/>
        <v>4456.5600000000004</v>
      </c>
      <c r="O1559" s="3">
        <f t="shared" si="121"/>
        <v>4176.24</v>
      </c>
      <c r="P1559" s="3">
        <f t="shared" si="122"/>
        <v>2851.38</v>
      </c>
      <c r="Q1559" s="3">
        <f t="shared" si="123"/>
        <v>1324.86</v>
      </c>
      <c r="R1559" s="4">
        <f t="shared" si="124"/>
        <v>0.31719999999999998</v>
      </c>
      <c r="S1559" s="2">
        <v>10</v>
      </c>
      <c r="T1559" t="s">
        <v>46</v>
      </c>
      <c r="U1559">
        <v>5</v>
      </c>
    </row>
    <row r="1560" spans="1:21" x14ac:dyDescent="0.25">
      <c r="A1560" s="1">
        <v>46037</v>
      </c>
      <c r="B1560" t="s">
        <v>1753</v>
      </c>
      <c r="C1560" t="s">
        <v>288</v>
      </c>
      <c r="D1560" t="s">
        <v>126</v>
      </c>
      <c r="E1560" t="s">
        <v>57</v>
      </c>
      <c r="F1560" t="s">
        <v>36</v>
      </c>
      <c r="G1560" t="s">
        <v>27</v>
      </c>
      <c r="H1560" t="s">
        <v>28</v>
      </c>
      <c r="I1560" t="s">
        <v>87</v>
      </c>
      <c r="J1560" s="2">
        <v>3</v>
      </c>
      <c r="K1560" s="3">
        <v>766.11</v>
      </c>
      <c r="L1560" s="3">
        <v>471.46</v>
      </c>
      <c r="M1560" s="4">
        <v>0.1207</v>
      </c>
      <c r="N1560" s="3">
        <f t="shared" si="120"/>
        <v>2298.33</v>
      </c>
      <c r="O1560" s="3">
        <f t="shared" si="121"/>
        <v>2020.92</v>
      </c>
      <c r="P1560" s="3">
        <f t="shared" si="122"/>
        <v>1414.38</v>
      </c>
      <c r="Q1560" s="3">
        <f t="shared" si="123"/>
        <v>606.54</v>
      </c>
      <c r="R1560" s="4">
        <f t="shared" si="124"/>
        <v>0.30009999999999998</v>
      </c>
      <c r="S1560" s="2">
        <v>7</v>
      </c>
      <c r="T1560" t="s">
        <v>46</v>
      </c>
      <c r="U1560">
        <v>4</v>
      </c>
    </row>
    <row r="1561" spans="1:21" x14ac:dyDescent="0.25">
      <c r="A1561" s="1">
        <v>46070</v>
      </c>
      <c r="B1561" t="s">
        <v>1754</v>
      </c>
      <c r="C1561" t="s">
        <v>159</v>
      </c>
      <c r="D1561" t="s">
        <v>101</v>
      </c>
      <c r="E1561" t="s">
        <v>35</v>
      </c>
      <c r="F1561" t="s">
        <v>26</v>
      </c>
      <c r="G1561" t="s">
        <v>44</v>
      </c>
      <c r="H1561" t="s">
        <v>73</v>
      </c>
      <c r="I1561" t="s">
        <v>29</v>
      </c>
      <c r="J1561" s="2">
        <v>2</v>
      </c>
      <c r="K1561" s="3">
        <v>1658.65</v>
      </c>
      <c r="L1561" s="3">
        <v>1050.06</v>
      </c>
      <c r="M1561" s="4">
        <v>1.2200000000000001E-2</v>
      </c>
      <c r="N1561" s="3">
        <f t="shared" si="120"/>
        <v>3317.3</v>
      </c>
      <c r="O1561" s="3">
        <f t="shared" si="121"/>
        <v>3276.83</v>
      </c>
      <c r="P1561" s="3">
        <f t="shared" si="122"/>
        <v>2100.12</v>
      </c>
      <c r="Q1561" s="3">
        <f t="shared" si="123"/>
        <v>1176.71</v>
      </c>
      <c r="R1561" s="4">
        <f t="shared" si="124"/>
        <v>0.35909999999999997</v>
      </c>
      <c r="S1561" s="2">
        <v>14</v>
      </c>
      <c r="T1561" t="s">
        <v>30</v>
      </c>
      <c r="U1561">
        <v>3</v>
      </c>
    </row>
    <row r="1562" spans="1:21" x14ac:dyDescent="0.25">
      <c r="A1562" s="1">
        <v>46209</v>
      </c>
      <c r="B1562" t="s">
        <v>1755</v>
      </c>
      <c r="C1562" t="s">
        <v>288</v>
      </c>
      <c r="D1562" t="s">
        <v>121</v>
      </c>
      <c r="E1562" t="s">
        <v>72</v>
      </c>
      <c r="F1562" t="s">
        <v>58</v>
      </c>
      <c r="G1562" t="s">
        <v>51</v>
      </c>
      <c r="H1562" t="s">
        <v>52</v>
      </c>
      <c r="I1562" t="s">
        <v>39</v>
      </c>
      <c r="J1562" s="2">
        <v>8</v>
      </c>
      <c r="K1562" s="3">
        <v>274.60000000000002</v>
      </c>
      <c r="L1562" s="3">
        <v>126.94</v>
      </c>
      <c r="M1562" s="4">
        <v>7.0000000000000007E-2</v>
      </c>
      <c r="N1562" s="3">
        <f t="shared" si="120"/>
        <v>2196.8000000000002</v>
      </c>
      <c r="O1562" s="3">
        <f t="shared" si="121"/>
        <v>2043.02</v>
      </c>
      <c r="P1562" s="3">
        <f t="shared" si="122"/>
        <v>1015.52</v>
      </c>
      <c r="Q1562" s="3">
        <f t="shared" si="123"/>
        <v>1027.5</v>
      </c>
      <c r="R1562" s="4">
        <f t="shared" si="124"/>
        <v>0.50290000000000001</v>
      </c>
      <c r="S1562" s="2">
        <v>10</v>
      </c>
      <c r="T1562" t="s">
        <v>46</v>
      </c>
      <c r="U1562">
        <v>4</v>
      </c>
    </row>
    <row r="1563" spans="1:21" x14ac:dyDescent="0.25">
      <c r="A1563" s="1">
        <v>46137</v>
      </c>
      <c r="B1563" t="s">
        <v>1756</v>
      </c>
      <c r="C1563" t="s">
        <v>79</v>
      </c>
      <c r="D1563" t="s">
        <v>49</v>
      </c>
      <c r="E1563" t="s">
        <v>50</v>
      </c>
      <c r="F1563" t="s">
        <v>36</v>
      </c>
      <c r="G1563" t="s">
        <v>27</v>
      </c>
      <c r="H1563" t="s">
        <v>86</v>
      </c>
      <c r="I1563" t="s">
        <v>74</v>
      </c>
      <c r="J1563" s="2">
        <v>3</v>
      </c>
      <c r="K1563" s="3">
        <v>1867.05</v>
      </c>
      <c r="L1563" s="3">
        <v>1207.82</v>
      </c>
      <c r="M1563" s="4">
        <v>0.1003</v>
      </c>
      <c r="N1563" s="3">
        <f t="shared" si="120"/>
        <v>5601.15</v>
      </c>
      <c r="O1563" s="3">
        <f t="shared" si="121"/>
        <v>5039.3500000000004</v>
      </c>
      <c r="P1563" s="3">
        <f t="shared" si="122"/>
        <v>3623.46</v>
      </c>
      <c r="Q1563" s="3">
        <f t="shared" si="123"/>
        <v>1415.89</v>
      </c>
      <c r="R1563" s="4">
        <f t="shared" si="124"/>
        <v>0.28100000000000003</v>
      </c>
      <c r="S1563" s="2">
        <v>7</v>
      </c>
      <c r="T1563" t="s">
        <v>46</v>
      </c>
      <c r="U1563">
        <v>2</v>
      </c>
    </row>
    <row r="1564" spans="1:21" x14ac:dyDescent="0.25">
      <c r="A1564" s="1">
        <v>46077</v>
      </c>
      <c r="B1564" t="s">
        <v>1757</v>
      </c>
      <c r="C1564" t="s">
        <v>315</v>
      </c>
      <c r="D1564" t="s">
        <v>71</v>
      </c>
      <c r="E1564" t="s">
        <v>72</v>
      </c>
      <c r="F1564" t="s">
        <v>58</v>
      </c>
      <c r="G1564" t="s">
        <v>27</v>
      </c>
      <c r="H1564" t="s">
        <v>86</v>
      </c>
      <c r="I1564" t="s">
        <v>53</v>
      </c>
      <c r="J1564" s="2">
        <v>7</v>
      </c>
      <c r="K1564" s="3">
        <v>1802.88</v>
      </c>
      <c r="L1564" s="3">
        <v>1209.49</v>
      </c>
      <c r="M1564" s="4">
        <v>5.0799999999999998E-2</v>
      </c>
      <c r="N1564" s="3">
        <f t="shared" si="120"/>
        <v>12620.16</v>
      </c>
      <c r="O1564" s="3">
        <f t="shared" si="121"/>
        <v>11979.06</v>
      </c>
      <c r="P1564" s="3">
        <f t="shared" si="122"/>
        <v>8466.43</v>
      </c>
      <c r="Q1564" s="3">
        <f t="shared" si="123"/>
        <v>3512.63</v>
      </c>
      <c r="R1564" s="4">
        <f t="shared" si="124"/>
        <v>0.29320000000000002</v>
      </c>
      <c r="S1564" s="2">
        <v>12</v>
      </c>
      <c r="T1564" t="s">
        <v>30</v>
      </c>
      <c r="U1564">
        <v>5</v>
      </c>
    </row>
    <row r="1565" spans="1:21" x14ac:dyDescent="0.25">
      <c r="A1565" s="1">
        <v>46092</v>
      </c>
      <c r="B1565" t="s">
        <v>1758</v>
      </c>
      <c r="C1565" t="s">
        <v>144</v>
      </c>
      <c r="D1565" t="s">
        <v>113</v>
      </c>
      <c r="E1565" t="s">
        <v>50</v>
      </c>
      <c r="F1565" t="s">
        <v>58</v>
      </c>
      <c r="G1565" t="s">
        <v>37</v>
      </c>
      <c r="H1565" t="s">
        <v>104</v>
      </c>
      <c r="I1565" t="s">
        <v>87</v>
      </c>
      <c r="J1565" s="2">
        <v>4</v>
      </c>
      <c r="K1565" s="3">
        <v>316.83</v>
      </c>
      <c r="L1565" s="3">
        <v>129.72999999999999</v>
      </c>
      <c r="M1565" s="4">
        <v>3.5000000000000003E-2</v>
      </c>
      <c r="N1565" s="3">
        <f t="shared" si="120"/>
        <v>1267.32</v>
      </c>
      <c r="O1565" s="3">
        <f t="shared" si="121"/>
        <v>1222.96</v>
      </c>
      <c r="P1565" s="3">
        <f t="shared" si="122"/>
        <v>518.91999999999996</v>
      </c>
      <c r="Q1565" s="3">
        <f t="shared" si="123"/>
        <v>704.04</v>
      </c>
      <c r="R1565" s="4">
        <f t="shared" si="124"/>
        <v>0.57569999999999999</v>
      </c>
      <c r="S1565" s="2">
        <v>10</v>
      </c>
      <c r="T1565" t="s">
        <v>46</v>
      </c>
      <c r="U1565">
        <v>2</v>
      </c>
    </row>
    <row r="1566" spans="1:21" x14ac:dyDescent="0.25">
      <c r="A1566" s="1">
        <v>46044</v>
      </c>
      <c r="B1566" t="s">
        <v>1759</v>
      </c>
      <c r="C1566" t="s">
        <v>286</v>
      </c>
      <c r="D1566" t="s">
        <v>121</v>
      </c>
      <c r="E1566" t="s">
        <v>72</v>
      </c>
      <c r="F1566" t="s">
        <v>64</v>
      </c>
      <c r="G1566" t="s">
        <v>37</v>
      </c>
      <c r="H1566" t="s">
        <v>104</v>
      </c>
      <c r="I1566" t="s">
        <v>60</v>
      </c>
      <c r="J1566" s="2">
        <v>3</v>
      </c>
      <c r="K1566" s="3">
        <v>329.48</v>
      </c>
      <c r="L1566" s="3">
        <v>146.09</v>
      </c>
      <c r="M1566" s="4">
        <v>0</v>
      </c>
      <c r="N1566" s="3">
        <f t="shared" si="120"/>
        <v>988.44</v>
      </c>
      <c r="O1566" s="3">
        <f t="shared" si="121"/>
        <v>988.44</v>
      </c>
      <c r="P1566" s="3">
        <f t="shared" si="122"/>
        <v>438.27</v>
      </c>
      <c r="Q1566" s="3">
        <f t="shared" si="123"/>
        <v>550.16999999999996</v>
      </c>
      <c r="R1566" s="4">
        <f t="shared" si="124"/>
        <v>0.55659999999999998</v>
      </c>
      <c r="S1566" s="2">
        <v>9</v>
      </c>
      <c r="T1566" t="s">
        <v>46</v>
      </c>
      <c r="U1566">
        <v>5</v>
      </c>
    </row>
    <row r="1567" spans="1:21" x14ac:dyDescent="0.25">
      <c r="A1567" s="1">
        <v>46118</v>
      </c>
      <c r="B1567" t="s">
        <v>1760</v>
      </c>
      <c r="C1567" t="s">
        <v>271</v>
      </c>
      <c r="D1567" t="s">
        <v>207</v>
      </c>
      <c r="E1567" t="s">
        <v>35</v>
      </c>
      <c r="F1567" t="s">
        <v>64</v>
      </c>
      <c r="G1567" t="s">
        <v>27</v>
      </c>
      <c r="H1567" t="s">
        <v>68</v>
      </c>
      <c r="I1567" t="s">
        <v>60</v>
      </c>
      <c r="J1567" s="2">
        <v>7</v>
      </c>
      <c r="K1567" s="3">
        <v>1336.74</v>
      </c>
      <c r="L1567" s="3">
        <v>761.96</v>
      </c>
      <c r="M1567" s="4">
        <v>7.9100000000000004E-2</v>
      </c>
      <c r="N1567" s="3">
        <f t="shared" si="120"/>
        <v>9357.18</v>
      </c>
      <c r="O1567" s="3">
        <f t="shared" si="121"/>
        <v>8617.0300000000007</v>
      </c>
      <c r="P1567" s="3">
        <f t="shared" si="122"/>
        <v>5333.72</v>
      </c>
      <c r="Q1567" s="3">
        <f t="shared" si="123"/>
        <v>3283.31</v>
      </c>
      <c r="R1567" s="4">
        <f t="shared" si="124"/>
        <v>0.38100000000000001</v>
      </c>
      <c r="S1567" s="2">
        <v>13</v>
      </c>
      <c r="T1567" t="s">
        <v>30</v>
      </c>
      <c r="U1567">
        <v>3</v>
      </c>
    </row>
    <row r="1568" spans="1:21" x14ac:dyDescent="0.25">
      <c r="A1568" s="1">
        <v>46131</v>
      </c>
      <c r="B1568" t="s">
        <v>1761</v>
      </c>
      <c r="C1568" t="s">
        <v>476</v>
      </c>
      <c r="D1568" t="s">
        <v>97</v>
      </c>
      <c r="E1568" t="s">
        <v>57</v>
      </c>
      <c r="F1568" t="s">
        <v>26</v>
      </c>
      <c r="G1568" t="s">
        <v>37</v>
      </c>
      <c r="H1568" t="s">
        <v>178</v>
      </c>
      <c r="I1568" t="s">
        <v>60</v>
      </c>
      <c r="J1568" s="2">
        <v>4</v>
      </c>
      <c r="K1568" s="3">
        <v>525.41999999999996</v>
      </c>
      <c r="L1568" s="3">
        <v>244.18</v>
      </c>
      <c r="M1568" s="4">
        <v>0</v>
      </c>
      <c r="N1568" s="3">
        <f t="shared" si="120"/>
        <v>2101.6799999999998</v>
      </c>
      <c r="O1568" s="3">
        <f t="shared" si="121"/>
        <v>2101.6799999999998</v>
      </c>
      <c r="P1568" s="3">
        <f t="shared" si="122"/>
        <v>976.72</v>
      </c>
      <c r="Q1568" s="3">
        <f t="shared" si="123"/>
        <v>1124.96</v>
      </c>
      <c r="R1568" s="4">
        <f t="shared" si="124"/>
        <v>0.5353</v>
      </c>
      <c r="S1568" s="2">
        <v>8</v>
      </c>
      <c r="T1568" t="s">
        <v>46</v>
      </c>
      <c r="U1568">
        <v>5</v>
      </c>
    </row>
    <row r="1569" spans="1:22" x14ac:dyDescent="0.25">
      <c r="A1569" s="1">
        <v>46112</v>
      </c>
      <c r="B1569" t="s">
        <v>1762</v>
      </c>
      <c r="C1569" t="s">
        <v>190</v>
      </c>
      <c r="D1569" t="s">
        <v>63</v>
      </c>
      <c r="E1569" t="s">
        <v>35</v>
      </c>
      <c r="F1569" t="s">
        <v>26</v>
      </c>
      <c r="G1569" t="s">
        <v>27</v>
      </c>
      <c r="H1569" t="s">
        <v>86</v>
      </c>
      <c r="I1569" t="s">
        <v>39</v>
      </c>
      <c r="J1569" s="2">
        <v>8</v>
      </c>
      <c r="K1569" s="3">
        <v>1878.05</v>
      </c>
      <c r="L1569" s="3">
        <v>1230.57</v>
      </c>
      <c r="M1569" s="4">
        <v>0</v>
      </c>
      <c r="N1569" s="3">
        <f t="shared" si="120"/>
        <v>15024.4</v>
      </c>
      <c r="O1569" s="3">
        <f t="shared" si="121"/>
        <v>15024.4</v>
      </c>
      <c r="P1569" s="3">
        <f t="shared" si="122"/>
        <v>9844.56</v>
      </c>
      <c r="Q1569" s="3">
        <f t="shared" si="123"/>
        <v>5179.84</v>
      </c>
      <c r="R1569" s="4">
        <f t="shared" si="124"/>
        <v>0.3448</v>
      </c>
      <c r="S1569" s="2">
        <v>2</v>
      </c>
      <c r="T1569" t="s">
        <v>46</v>
      </c>
      <c r="U1569">
        <v>2</v>
      </c>
    </row>
    <row r="1570" spans="1:22" x14ac:dyDescent="0.25">
      <c r="A1570" s="1">
        <v>46210</v>
      </c>
      <c r="B1570" t="s">
        <v>1763</v>
      </c>
      <c r="C1570" t="s">
        <v>42</v>
      </c>
      <c r="D1570" t="s">
        <v>71</v>
      </c>
      <c r="E1570" t="s">
        <v>72</v>
      </c>
      <c r="F1570" t="s">
        <v>26</v>
      </c>
      <c r="G1570" t="s">
        <v>37</v>
      </c>
      <c r="H1570" t="s">
        <v>104</v>
      </c>
      <c r="I1570" t="s">
        <v>77</v>
      </c>
      <c r="J1570" s="2">
        <v>7</v>
      </c>
      <c r="K1570" s="3">
        <v>320.8</v>
      </c>
      <c r="L1570" s="3">
        <v>143.06</v>
      </c>
      <c r="M1570" s="4">
        <v>0</v>
      </c>
      <c r="N1570" s="3">
        <f t="shared" si="120"/>
        <v>2245.6</v>
      </c>
      <c r="O1570" s="3">
        <f t="shared" si="121"/>
        <v>2245.6</v>
      </c>
      <c r="P1570" s="3">
        <f t="shared" si="122"/>
        <v>1001.42</v>
      </c>
      <c r="Q1570" s="3">
        <f t="shared" si="123"/>
        <v>1244.18</v>
      </c>
      <c r="R1570" s="4">
        <f t="shared" si="124"/>
        <v>0.55410000000000004</v>
      </c>
      <c r="S1570" s="2">
        <v>8</v>
      </c>
      <c r="T1570" t="s">
        <v>46</v>
      </c>
      <c r="U1570">
        <v>5</v>
      </c>
    </row>
    <row r="1571" spans="1:22" x14ac:dyDescent="0.25">
      <c r="A1571" s="1">
        <v>46114</v>
      </c>
      <c r="B1571" t="s">
        <v>1764</v>
      </c>
      <c r="C1571" t="s">
        <v>378</v>
      </c>
      <c r="D1571" t="s">
        <v>130</v>
      </c>
      <c r="E1571" t="s">
        <v>72</v>
      </c>
      <c r="F1571" t="s">
        <v>64</v>
      </c>
      <c r="G1571" t="s">
        <v>51</v>
      </c>
      <c r="H1571" t="s">
        <v>59</v>
      </c>
      <c r="I1571" t="s">
        <v>39</v>
      </c>
      <c r="J1571" s="2">
        <v>4</v>
      </c>
      <c r="K1571" s="3">
        <v>2285.9699999999998</v>
      </c>
      <c r="L1571" s="3">
        <v>1409.2</v>
      </c>
      <c r="M1571" s="4">
        <v>0</v>
      </c>
      <c r="N1571" s="3">
        <f t="shared" si="120"/>
        <v>9143.8799999999992</v>
      </c>
      <c r="O1571" s="3">
        <f t="shared" si="121"/>
        <v>9143.8799999999992</v>
      </c>
      <c r="P1571" s="3">
        <f t="shared" si="122"/>
        <v>5636.8</v>
      </c>
      <c r="Q1571" s="3">
        <f t="shared" si="123"/>
        <v>3507.08</v>
      </c>
      <c r="R1571" s="4">
        <f t="shared" si="124"/>
        <v>0.38350000000000001</v>
      </c>
      <c r="S1571" s="2">
        <v>14</v>
      </c>
      <c r="T1571" t="s">
        <v>30</v>
      </c>
      <c r="U1571">
        <v>2</v>
      </c>
    </row>
    <row r="1572" spans="1:22" x14ac:dyDescent="0.25">
      <c r="A1572" s="1">
        <v>46099</v>
      </c>
      <c r="B1572" t="s">
        <v>1765</v>
      </c>
      <c r="C1572" t="s">
        <v>103</v>
      </c>
      <c r="D1572" t="s">
        <v>34</v>
      </c>
      <c r="E1572" t="s">
        <v>35</v>
      </c>
      <c r="F1572" t="s">
        <v>26</v>
      </c>
      <c r="G1572" t="s">
        <v>37</v>
      </c>
      <c r="H1572" t="s">
        <v>104</v>
      </c>
      <c r="I1572" t="s">
        <v>60</v>
      </c>
      <c r="J1572" s="2">
        <v>2</v>
      </c>
      <c r="K1572" s="3">
        <v>331.96</v>
      </c>
      <c r="L1572" s="3">
        <v>133.91999999999999</v>
      </c>
      <c r="M1572" s="4">
        <v>3.0599999999999999E-2</v>
      </c>
      <c r="N1572" s="3">
        <f t="shared" si="120"/>
        <v>663.92</v>
      </c>
      <c r="O1572" s="3">
        <f t="shared" si="121"/>
        <v>643.6</v>
      </c>
      <c r="P1572" s="3">
        <f t="shared" si="122"/>
        <v>267.83999999999997</v>
      </c>
      <c r="Q1572" s="3">
        <f t="shared" si="123"/>
        <v>375.76</v>
      </c>
      <c r="R1572" s="4">
        <f t="shared" si="124"/>
        <v>0.58379999999999999</v>
      </c>
      <c r="S1572" s="2">
        <v>4</v>
      </c>
      <c r="T1572" t="s">
        <v>46</v>
      </c>
      <c r="U1572">
        <v>4</v>
      </c>
    </row>
    <row r="1573" spans="1:22" x14ac:dyDescent="0.25">
      <c r="A1573" s="1">
        <v>46180</v>
      </c>
      <c r="B1573" t="s">
        <v>1766</v>
      </c>
      <c r="C1573" t="s">
        <v>356</v>
      </c>
      <c r="D1573" t="s">
        <v>130</v>
      </c>
      <c r="E1573" t="s">
        <v>72</v>
      </c>
      <c r="F1573" t="s">
        <v>58</v>
      </c>
      <c r="G1573" t="s">
        <v>51</v>
      </c>
      <c r="H1573" t="s">
        <v>59</v>
      </c>
      <c r="I1573" t="s">
        <v>92</v>
      </c>
      <c r="J1573" s="2">
        <v>8</v>
      </c>
      <c r="K1573" s="3">
        <v>2240.31</v>
      </c>
      <c r="L1573" s="3">
        <v>1421.55</v>
      </c>
      <c r="M1573" s="4">
        <v>0.1106</v>
      </c>
      <c r="N1573" s="3">
        <f t="shared" si="120"/>
        <v>17922.48</v>
      </c>
      <c r="O1573" s="3">
        <f t="shared" si="121"/>
        <v>15940.25</v>
      </c>
      <c r="P1573" s="3">
        <f t="shared" si="122"/>
        <v>11372.4</v>
      </c>
      <c r="Q1573" s="3">
        <f t="shared" si="123"/>
        <v>4567.8500000000004</v>
      </c>
      <c r="R1573" s="4">
        <f t="shared" si="124"/>
        <v>0.28660000000000002</v>
      </c>
      <c r="S1573" s="2">
        <v>14</v>
      </c>
      <c r="T1573" t="s">
        <v>30</v>
      </c>
      <c r="U1573">
        <v>2</v>
      </c>
    </row>
    <row r="1574" spans="1:22" x14ac:dyDescent="0.25">
      <c r="A1574" s="1">
        <v>46046</v>
      </c>
      <c r="B1574" t="s">
        <v>1767</v>
      </c>
      <c r="C1574" t="s">
        <v>174</v>
      </c>
      <c r="D1574" t="s">
        <v>113</v>
      </c>
      <c r="E1574" t="s">
        <v>50</v>
      </c>
      <c r="F1574" t="s">
        <v>58</v>
      </c>
      <c r="G1574" t="s">
        <v>51</v>
      </c>
      <c r="H1574" t="s">
        <v>116</v>
      </c>
      <c r="I1574" t="s">
        <v>29</v>
      </c>
      <c r="J1574" s="2">
        <v>1</v>
      </c>
      <c r="K1574" s="3">
        <v>2933.36</v>
      </c>
      <c r="L1574" s="3">
        <v>1782.25</v>
      </c>
      <c r="M1574" s="4">
        <v>0.12470000000000001</v>
      </c>
      <c r="N1574" s="3">
        <f t="shared" si="120"/>
        <v>2933.36</v>
      </c>
      <c r="O1574" s="3">
        <f t="shared" si="121"/>
        <v>2567.5700000000002</v>
      </c>
      <c r="P1574" s="3">
        <f t="shared" si="122"/>
        <v>1782.25</v>
      </c>
      <c r="Q1574" s="3">
        <f t="shared" si="123"/>
        <v>785.32</v>
      </c>
      <c r="R1574" s="4">
        <f t="shared" si="124"/>
        <v>0.30590000000000001</v>
      </c>
      <c r="S1574" s="2">
        <v>14</v>
      </c>
      <c r="T1574" t="s">
        <v>30</v>
      </c>
      <c r="U1574">
        <v>2</v>
      </c>
    </row>
    <row r="1575" spans="1:22" x14ac:dyDescent="0.25">
      <c r="A1575" s="1">
        <v>46106</v>
      </c>
      <c r="B1575" t="s">
        <v>1768</v>
      </c>
      <c r="C1575" t="s">
        <v>476</v>
      </c>
      <c r="D1575" t="s">
        <v>85</v>
      </c>
      <c r="E1575" t="s">
        <v>50</v>
      </c>
      <c r="F1575" t="s">
        <v>36</v>
      </c>
      <c r="G1575" t="s">
        <v>37</v>
      </c>
      <c r="H1575" t="s">
        <v>104</v>
      </c>
      <c r="I1575" t="s">
        <v>77</v>
      </c>
      <c r="J1575" s="2">
        <v>3</v>
      </c>
      <c r="K1575" s="3">
        <v>323.35000000000002</v>
      </c>
      <c r="L1575" s="3">
        <v>129.72</v>
      </c>
      <c r="M1575" s="4">
        <v>6.3100000000000003E-2</v>
      </c>
      <c r="N1575" s="3">
        <f t="shared" si="120"/>
        <v>970.05</v>
      </c>
      <c r="O1575" s="3">
        <f t="shared" si="121"/>
        <v>908.84</v>
      </c>
      <c r="P1575" s="3">
        <f t="shared" si="122"/>
        <v>389.16</v>
      </c>
      <c r="Q1575" s="3">
        <f t="shared" si="123"/>
        <v>519.67999999999995</v>
      </c>
      <c r="R1575" s="4">
        <f t="shared" si="124"/>
        <v>0.57179999999999997</v>
      </c>
      <c r="S1575" s="2">
        <v>8</v>
      </c>
      <c r="T1575" t="s">
        <v>46</v>
      </c>
      <c r="U1575">
        <v>4</v>
      </c>
    </row>
    <row r="1576" spans="1:22" x14ac:dyDescent="0.25">
      <c r="A1576" s="1">
        <v>46136</v>
      </c>
      <c r="B1576" t="s">
        <v>1769</v>
      </c>
      <c r="C1576" t="s">
        <v>216</v>
      </c>
      <c r="D1576" t="s">
        <v>97</v>
      </c>
      <c r="E1576" t="s">
        <v>57</v>
      </c>
      <c r="F1576" t="s">
        <v>36</v>
      </c>
      <c r="G1576" t="s">
        <v>51</v>
      </c>
      <c r="H1576" t="s">
        <v>116</v>
      </c>
      <c r="I1576" t="s">
        <v>74</v>
      </c>
      <c r="J1576" s="2">
        <v>8</v>
      </c>
      <c r="K1576" s="3">
        <v>2887.11</v>
      </c>
      <c r="L1576" s="3">
        <v>1856.88</v>
      </c>
      <c r="M1576" s="4">
        <v>4.4900000000000002E-2</v>
      </c>
      <c r="N1576" s="3">
        <f t="shared" si="120"/>
        <v>23096.880000000001</v>
      </c>
      <c r="O1576" s="3">
        <f t="shared" si="121"/>
        <v>22059.83</v>
      </c>
      <c r="P1576" s="3">
        <f t="shared" si="122"/>
        <v>14855.04</v>
      </c>
      <c r="Q1576" s="3">
        <f t="shared" si="123"/>
        <v>7204.79</v>
      </c>
      <c r="R1576" s="4">
        <f t="shared" si="124"/>
        <v>0.3266</v>
      </c>
      <c r="S1576" s="2">
        <v>5</v>
      </c>
      <c r="T1576" t="s">
        <v>46</v>
      </c>
      <c r="U1576">
        <v>4</v>
      </c>
    </row>
    <row r="1577" spans="1:22" x14ac:dyDescent="0.25">
      <c r="A1577" s="1">
        <v>46052</v>
      </c>
      <c r="B1577" t="s">
        <v>1770</v>
      </c>
      <c r="C1577" t="s">
        <v>166</v>
      </c>
      <c r="D1577" t="s">
        <v>121</v>
      </c>
      <c r="E1577" t="s">
        <v>72</v>
      </c>
      <c r="F1577" t="s">
        <v>26</v>
      </c>
      <c r="G1577" t="s">
        <v>37</v>
      </c>
      <c r="H1577" t="s">
        <v>38</v>
      </c>
      <c r="I1577" t="s">
        <v>39</v>
      </c>
      <c r="J1577" s="2">
        <v>2</v>
      </c>
      <c r="K1577" s="3">
        <v>447.76</v>
      </c>
      <c r="L1577" s="3">
        <v>188.89</v>
      </c>
      <c r="M1577" s="4">
        <v>0</v>
      </c>
      <c r="N1577" s="3">
        <f t="shared" si="120"/>
        <v>895.52</v>
      </c>
      <c r="O1577" s="3">
        <f t="shared" si="121"/>
        <v>895.52</v>
      </c>
      <c r="P1577" s="3">
        <f t="shared" si="122"/>
        <v>377.78</v>
      </c>
      <c r="Q1577" s="3">
        <f t="shared" si="123"/>
        <v>517.74</v>
      </c>
      <c r="R1577" s="4">
        <f t="shared" si="124"/>
        <v>0.57809999999999995</v>
      </c>
      <c r="S1577" s="2">
        <v>10</v>
      </c>
      <c r="T1577" t="s">
        <v>46</v>
      </c>
      <c r="U1577">
        <v>2</v>
      </c>
    </row>
    <row r="1578" spans="1:22" x14ac:dyDescent="0.25">
      <c r="A1578" s="1">
        <v>46060</v>
      </c>
      <c r="B1578" t="s">
        <v>1771</v>
      </c>
      <c r="C1578" t="s">
        <v>336</v>
      </c>
      <c r="D1578" t="s">
        <v>43</v>
      </c>
      <c r="E1578" t="s">
        <v>25</v>
      </c>
      <c r="F1578" t="s">
        <v>26</v>
      </c>
      <c r="G1578" t="s">
        <v>37</v>
      </c>
      <c r="H1578" t="s">
        <v>104</v>
      </c>
      <c r="I1578" t="s">
        <v>29</v>
      </c>
      <c r="J1578" s="2">
        <v>5</v>
      </c>
      <c r="K1578" s="3">
        <v>333.81</v>
      </c>
      <c r="L1578" s="3">
        <v>138.47</v>
      </c>
      <c r="M1578" s="4">
        <v>0.39219999999999999</v>
      </c>
      <c r="N1578" s="3">
        <f t="shared" si="120"/>
        <v>1669.05</v>
      </c>
      <c r="O1578" s="3">
        <f t="shared" si="121"/>
        <v>1014.45</v>
      </c>
      <c r="P1578" s="3">
        <f t="shared" si="122"/>
        <v>692.35</v>
      </c>
      <c r="Q1578" s="3">
        <f t="shared" si="123"/>
        <v>322.10000000000002</v>
      </c>
      <c r="R1578" s="4">
        <f t="shared" si="124"/>
        <v>0.3175</v>
      </c>
      <c r="S1578" s="2">
        <v>2</v>
      </c>
      <c r="T1578" t="s">
        <v>46</v>
      </c>
      <c r="U1578">
        <v>2</v>
      </c>
      <c r="V1578" t="s">
        <v>31</v>
      </c>
    </row>
    <row r="1579" spans="1:22" x14ac:dyDescent="0.25">
      <c r="A1579" s="1">
        <v>46051</v>
      </c>
      <c r="B1579" t="s">
        <v>1772</v>
      </c>
      <c r="C1579" t="s">
        <v>108</v>
      </c>
      <c r="D1579" t="s">
        <v>56</v>
      </c>
      <c r="E1579" t="s">
        <v>57</v>
      </c>
      <c r="F1579" t="s">
        <v>26</v>
      </c>
      <c r="G1579" t="s">
        <v>27</v>
      </c>
      <c r="H1579" t="s">
        <v>86</v>
      </c>
      <c r="I1579" t="s">
        <v>29</v>
      </c>
      <c r="J1579" s="2">
        <v>5</v>
      </c>
      <c r="K1579" s="3">
        <v>1823.3</v>
      </c>
      <c r="L1579" s="3">
        <v>1188.3599999999999</v>
      </c>
      <c r="M1579" s="4">
        <v>4.1000000000000003E-3</v>
      </c>
      <c r="N1579" s="3">
        <f t="shared" si="120"/>
        <v>9116.5</v>
      </c>
      <c r="O1579" s="3">
        <f t="shared" si="121"/>
        <v>9079.1200000000008</v>
      </c>
      <c r="P1579" s="3">
        <f t="shared" si="122"/>
        <v>5941.8</v>
      </c>
      <c r="Q1579" s="3">
        <f t="shared" si="123"/>
        <v>3137.32</v>
      </c>
      <c r="R1579" s="4">
        <f t="shared" si="124"/>
        <v>0.34560000000000002</v>
      </c>
      <c r="S1579" s="2">
        <v>4</v>
      </c>
      <c r="T1579" t="s">
        <v>46</v>
      </c>
      <c r="U1579">
        <v>5</v>
      </c>
    </row>
    <row r="1580" spans="1:22" x14ac:dyDescent="0.25">
      <c r="A1580" s="1">
        <v>46113</v>
      </c>
      <c r="B1580" t="s">
        <v>1773</v>
      </c>
      <c r="C1580" t="s">
        <v>560</v>
      </c>
      <c r="D1580" t="s">
        <v>24</v>
      </c>
      <c r="E1580" t="s">
        <v>25</v>
      </c>
      <c r="F1580" t="s">
        <v>64</v>
      </c>
      <c r="G1580" t="s">
        <v>44</v>
      </c>
      <c r="H1580" t="s">
        <v>124</v>
      </c>
      <c r="I1580" t="s">
        <v>29</v>
      </c>
      <c r="J1580" s="2">
        <v>3</v>
      </c>
      <c r="K1580" s="3">
        <v>5909.07</v>
      </c>
      <c r="L1580" s="3">
        <v>4371.88</v>
      </c>
      <c r="M1580" s="4">
        <v>8.5999999999999993E-2</v>
      </c>
      <c r="N1580" s="3">
        <f t="shared" si="120"/>
        <v>17727.21</v>
      </c>
      <c r="O1580" s="3">
        <f t="shared" si="121"/>
        <v>16202.67</v>
      </c>
      <c r="P1580" s="3">
        <f t="shared" si="122"/>
        <v>13115.64</v>
      </c>
      <c r="Q1580" s="3">
        <f t="shared" si="123"/>
        <v>3087.03</v>
      </c>
      <c r="R1580" s="4">
        <f t="shared" si="124"/>
        <v>0.1905</v>
      </c>
      <c r="S1580" s="2">
        <v>10</v>
      </c>
      <c r="T1580" t="s">
        <v>46</v>
      </c>
      <c r="U1580">
        <v>2</v>
      </c>
    </row>
    <row r="1581" spans="1:22" x14ac:dyDescent="0.25">
      <c r="A1581" s="1">
        <v>46119</v>
      </c>
      <c r="B1581" t="s">
        <v>1774</v>
      </c>
      <c r="C1581" t="s">
        <v>253</v>
      </c>
      <c r="D1581" t="s">
        <v>126</v>
      </c>
      <c r="E1581" t="s">
        <v>57</v>
      </c>
      <c r="F1581" t="s">
        <v>26</v>
      </c>
      <c r="G1581" t="s">
        <v>51</v>
      </c>
      <c r="H1581" t="s">
        <v>52</v>
      </c>
      <c r="I1581" t="s">
        <v>92</v>
      </c>
      <c r="J1581" s="2">
        <v>3</v>
      </c>
      <c r="K1581" s="3">
        <v>244.74</v>
      </c>
      <c r="L1581" s="3">
        <v>123.75</v>
      </c>
      <c r="M1581" s="4">
        <v>0</v>
      </c>
      <c r="N1581" s="3">
        <f t="shared" si="120"/>
        <v>734.22</v>
      </c>
      <c r="O1581" s="3">
        <f t="shared" si="121"/>
        <v>734.22</v>
      </c>
      <c r="P1581" s="3">
        <f t="shared" si="122"/>
        <v>371.25</v>
      </c>
      <c r="Q1581" s="3">
        <f t="shared" si="123"/>
        <v>362.97</v>
      </c>
      <c r="R1581" s="4">
        <f t="shared" si="124"/>
        <v>0.49440000000000001</v>
      </c>
      <c r="S1581" s="2">
        <v>14</v>
      </c>
      <c r="T1581" t="s">
        <v>30</v>
      </c>
      <c r="U1581">
        <v>5</v>
      </c>
    </row>
    <row r="1582" spans="1:22" x14ac:dyDescent="0.25">
      <c r="A1582" s="1">
        <v>46223</v>
      </c>
      <c r="B1582" t="s">
        <v>1775</v>
      </c>
      <c r="C1582" t="s">
        <v>271</v>
      </c>
      <c r="D1582" t="s">
        <v>126</v>
      </c>
      <c r="E1582" t="s">
        <v>57</v>
      </c>
      <c r="F1582" t="s">
        <v>36</v>
      </c>
      <c r="G1582" t="s">
        <v>51</v>
      </c>
      <c r="H1582" t="s">
        <v>116</v>
      </c>
      <c r="I1582" t="s">
        <v>39</v>
      </c>
      <c r="J1582" s="2">
        <v>7</v>
      </c>
      <c r="K1582" s="3">
        <v>2752.24</v>
      </c>
      <c r="L1582" s="3">
        <v>1897.8</v>
      </c>
      <c r="M1582" s="4">
        <v>0</v>
      </c>
      <c r="N1582" s="3">
        <f t="shared" si="120"/>
        <v>19265.68</v>
      </c>
      <c r="O1582" s="3">
        <f t="shared" si="121"/>
        <v>19265.68</v>
      </c>
      <c r="P1582" s="3">
        <f t="shared" si="122"/>
        <v>13284.6</v>
      </c>
      <c r="Q1582" s="3">
        <f t="shared" si="123"/>
        <v>5981.08</v>
      </c>
      <c r="R1582" s="4">
        <f t="shared" si="124"/>
        <v>0.3105</v>
      </c>
      <c r="S1582" s="2">
        <v>13</v>
      </c>
      <c r="T1582" t="s">
        <v>30</v>
      </c>
      <c r="U1582">
        <v>3</v>
      </c>
    </row>
    <row r="1583" spans="1:22" x14ac:dyDescent="0.25">
      <c r="A1583" s="1">
        <v>46090</v>
      </c>
      <c r="B1583" t="s">
        <v>1776</v>
      </c>
      <c r="C1583" t="s">
        <v>180</v>
      </c>
      <c r="D1583" t="s">
        <v>101</v>
      </c>
      <c r="E1583" t="s">
        <v>35</v>
      </c>
      <c r="F1583" t="s">
        <v>64</v>
      </c>
      <c r="G1583" t="s">
        <v>51</v>
      </c>
      <c r="H1583" t="s">
        <v>59</v>
      </c>
      <c r="I1583" t="s">
        <v>29</v>
      </c>
      <c r="J1583" s="2">
        <v>2</v>
      </c>
      <c r="K1583" s="3">
        <v>2319.35</v>
      </c>
      <c r="L1583" s="3">
        <v>1393.37</v>
      </c>
      <c r="M1583" s="4">
        <v>2.7099999999999999E-2</v>
      </c>
      <c r="N1583" s="3">
        <f t="shared" si="120"/>
        <v>4638.7</v>
      </c>
      <c r="O1583" s="3">
        <f t="shared" si="121"/>
        <v>4512.99</v>
      </c>
      <c r="P1583" s="3">
        <f t="shared" si="122"/>
        <v>2786.74</v>
      </c>
      <c r="Q1583" s="3">
        <f t="shared" si="123"/>
        <v>1726.25</v>
      </c>
      <c r="R1583" s="4">
        <f t="shared" si="124"/>
        <v>0.38250000000000001</v>
      </c>
      <c r="S1583" s="2">
        <v>4</v>
      </c>
      <c r="T1583" t="s">
        <v>46</v>
      </c>
      <c r="U1583">
        <v>2</v>
      </c>
    </row>
    <row r="1584" spans="1:22" x14ac:dyDescent="0.25">
      <c r="A1584" s="1">
        <v>46224</v>
      </c>
      <c r="B1584" t="s">
        <v>1777</v>
      </c>
      <c r="C1584" t="s">
        <v>523</v>
      </c>
      <c r="D1584" t="s">
        <v>34</v>
      </c>
      <c r="E1584" t="s">
        <v>35</v>
      </c>
      <c r="F1584" t="s">
        <v>26</v>
      </c>
      <c r="G1584" t="s">
        <v>51</v>
      </c>
      <c r="H1584" t="s">
        <v>52</v>
      </c>
      <c r="I1584" t="s">
        <v>65</v>
      </c>
      <c r="J1584" s="2">
        <v>6</v>
      </c>
      <c r="K1584" s="3">
        <v>257.05</v>
      </c>
      <c r="L1584" s="3">
        <v>117.6</v>
      </c>
      <c r="M1584" s="4">
        <v>0</v>
      </c>
      <c r="N1584" s="3">
        <f t="shared" si="120"/>
        <v>1542.3</v>
      </c>
      <c r="O1584" s="3">
        <f t="shared" si="121"/>
        <v>1542.3</v>
      </c>
      <c r="P1584" s="3">
        <f t="shared" si="122"/>
        <v>705.6</v>
      </c>
      <c r="Q1584" s="3">
        <f t="shared" si="123"/>
        <v>836.7</v>
      </c>
      <c r="R1584" s="4">
        <f t="shared" si="124"/>
        <v>0.54249999999999998</v>
      </c>
      <c r="S1584" s="2">
        <v>14</v>
      </c>
      <c r="T1584" t="s">
        <v>30</v>
      </c>
      <c r="U1584">
        <v>4</v>
      </c>
    </row>
    <row r="1585" spans="1:21" x14ac:dyDescent="0.25">
      <c r="A1585" s="1">
        <v>46078</v>
      </c>
      <c r="B1585" t="s">
        <v>1778</v>
      </c>
      <c r="C1585" t="s">
        <v>176</v>
      </c>
      <c r="D1585" t="s">
        <v>121</v>
      </c>
      <c r="E1585" t="s">
        <v>72</v>
      </c>
      <c r="F1585" t="s">
        <v>26</v>
      </c>
      <c r="G1585" t="s">
        <v>51</v>
      </c>
      <c r="H1585" t="s">
        <v>116</v>
      </c>
      <c r="I1585" t="s">
        <v>29</v>
      </c>
      <c r="J1585" s="2">
        <v>4</v>
      </c>
      <c r="K1585" s="3">
        <v>2949.55</v>
      </c>
      <c r="L1585" s="3">
        <v>1927.53</v>
      </c>
      <c r="M1585" s="4">
        <v>0</v>
      </c>
      <c r="N1585" s="3">
        <f t="shared" si="120"/>
        <v>11798.2</v>
      </c>
      <c r="O1585" s="3">
        <f t="shared" si="121"/>
        <v>11798.2</v>
      </c>
      <c r="P1585" s="3">
        <f t="shared" si="122"/>
        <v>7710.12</v>
      </c>
      <c r="Q1585" s="3">
        <f t="shared" si="123"/>
        <v>4088.08</v>
      </c>
      <c r="R1585" s="4">
        <f t="shared" si="124"/>
        <v>0.34649999999999997</v>
      </c>
      <c r="S1585" s="2">
        <v>8</v>
      </c>
      <c r="T1585" t="s">
        <v>46</v>
      </c>
      <c r="U1585">
        <v>3</v>
      </c>
    </row>
    <row r="1586" spans="1:21" x14ac:dyDescent="0.25">
      <c r="A1586" s="1">
        <v>46097</v>
      </c>
      <c r="B1586" t="s">
        <v>1779</v>
      </c>
      <c r="C1586" t="s">
        <v>331</v>
      </c>
      <c r="D1586" t="s">
        <v>97</v>
      </c>
      <c r="E1586" t="s">
        <v>57</v>
      </c>
      <c r="F1586" t="s">
        <v>36</v>
      </c>
      <c r="G1586" t="s">
        <v>27</v>
      </c>
      <c r="H1586" t="s">
        <v>28</v>
      </c>
      <c r="I1586" t="s">
        <v>92</v>
      </c>
      <c r="J1586" s="2">
        <v>6</v>
      </c>
      <c r="K1586" s="3">
        <v>777.64</v>
      </c>
      <c r="L1586" s="3">
        <v>457.01</v>
      </c>
      <c r="M1586" s="4">
        <v>0.1051</v>
      </c>
      <c r="N1586" s="3">
        <f t="shared" si="120"/>
        <v>4665.84</v>
      </c>
      <c r="O1586" s="3">
        <f t="shared" si="121"/>
        <v>4175.46</v>
      </c>
      <c r="P1586" s="3">
        <f t="shared" si="122"/>
        <v>2742.06</v>
      </c>
      <c r="Q1586" s="3">
        <f t="shared" si="123"/>
        <v>1433.4</v>
      </c>
      <c r="R1586" s="4">
        <f t="shared" si="124"/>
        <v>0.34329999999999999</v>
      </c>
      <c r="S1586" s="2">
        <v>12</v>
      </c>
      <c r="T1586" t="s">
        <v>30</v>
      </c>
      <c r="U1586">
        <v>3</v>
      </c>
    </row>
    <row r="1587" spans="1:21" x14ac:dyDescent="0.25">
      <c r="A1587" s="1">
        <v>46097</v>
      </c>
      <c r="B1587" t="s">
        <v>1780</v>
      </c>
      <c r="C1587" t="s">
        <v>138</v>
      </c>
      <c r="D1587" t="s">
        <v>56</v>
      </c>
      <c r="E1587" t="s">
        <v>57</v>
      </c>
      <c r="F1587" t="s">
        <v>26</v>
      </c>
      <c r="G1587" t="s">
        <v>37</v>
      </c>
      <c r="H1587" t="s">
        <v>178</v>
      </c>
      <c r="I1587" t="s">
        <v>29</v>
      </c>
      <c r="J1587" s="2">
        <v>7</v>
      </c>
      <c r="K1587" s="3">
        <v>506.58</v>
      </c>
      <c r="L1587" s="3">
        <v>242.7</v>
      </c>
      <c r="M1587" s="4">
        <v>6.9000000000000006E-2</v>
      </c>
      <c r="N1587" s="3">
        <f t="shared" si="120"/>
        <v>3546.06</v>
      </c>
      <c r="O1587" s="3">
        <f t="shared" si="121"/>
        <v>3301.38</v>
      </c>
      <c r="P1587" s="3">
        <f t="shared" si="122"/>
        <v>1698.9</v>
      </c>
      <c r="Q1587" s="3">
        <f t="shared" si="123"/>
        <v>1602.48</v>
      </c>
      <c r="R1587" s="4">
        <f t="shared" si="124"/>
        <v>0.4854</v>
      </c>
      <c r="S1587" s="2">
        <v>6</v>
      </c>
      <c r="T1587" t="s">
        <v>46</v>
      </c>
      <c r="U1587">
        <v>4</v>
      </c>
    </row>
    <row r="1588" spans="1:21" x14ac:dyDescent="0.25">
      <c r="A1588" s="1">
        <v>46200</v>
      </c>
      <c r="B1588" t="s">
        <v>1781</v>
      </c>
      <c r="C1588" t="s">
        <v>290</v>
      </c>
      <c r="D1588" t="s">
        <v>130</v>
      </c>
      <c r="E1588" t="s">
        <v>72</v>
      </c>
      <c r="F1588" t="s">
        <v>26</v>
      </c>
      <c r="G1588" t="s">
        <v>37</v>
      </c>
      <c r="H1588" t="s">
        <v>104</v>
      </c>
      <c r="I1588" t="s">
        <v>65</v>
      </c>
      <c r="J1588" s="2">
        <v>4</v>
      </c>
      <c r="K1588" s="3">
        <v>326.49</v>
      </c>
      <c r="L1588" s="3">
        <v>140.97</v>
      </c>
      <c r="M1588" s="4">
        <v>0</v>
      </c>
      <c r="N1588" s="3">
        <f t="shared" si="120"/>
        <v>1305.96</v>
      </c>
      <c r="O1588" s="3">
        <f t="shared" si="121"/>
        <v>1305.96</v>
      </c>
      <c r="P1588" s="3">
        <f t="shared" si="122"/>
        <v>563.88</v>
      </c>
      <c r="Q1588" s="3">
        <f t="shared" si="123"/>
        <v>742.08</v>
      </c>
      <c r="R1588" s="4">
        <f t="shared" si="124"/>
        <v>0.56820000000000004</v>
      </c>
      <c r="S1588" s="2">
        <v>13</v>
      </c>
      <c r="T1588" t="s">
        <v>30</v>
      </c>
      <c r="U1588">
        <v>3</v>
      </c>
    </row>
    <row r="1589" spans="1:21" x14ac:dyDescent="0.25">
      <c r="A1589" s="1">
        <v>46106</v>
      </c>
      <c r="B1589" t="s">
        <v>1782</v>
      </c>
      <c r="C1589" t="s">
        <v>308</v>
      </c>
      <c r="D1589" t="s">
        <v>34</v>
      </c>
      <c r="E1589" t="s">
        <v>35</v>
      </c>
      <c r="F1589" t="s">
        <v>26</v>
      </c>
      <c r="G1589" t="s">
        <v>27</v>
      </c>
      <c r="H1589" t="s">
        <v>28</v>
      </c>
      <c r="I1589" t="s">
        <v>29</v>
      </c>
      <c r="J1589" s="2">
        <v>7</v>
      </c>
      <c r="K1589" s="3">
        <v>786.38</v>
      </c>
      <c r="L1589" s="3">
        <v>457.43</v>
      </c>
      <c r="M1589" s="4">
        <v>6.9099999999999995E-2</v>
      </c>
      <c r="N1589" s="3">
        <f t="shared" si="120"/>
        <v>5504.66</v>
      </c>
      <c r="O1589" s="3">
        <f t="shared" si="121"/>
        <v>5124.29</v>
      </c>
      <c r="P1589" s="3">
        <f t="shared" si="122"/>
        <v>3202.01</v>
      </c>
      <c r="Q1589" s="3">
        <f t="shared" si="123"/>
        <v>1922.28</v>
      </c>
      <c r="R1589" s="4">
        <f t="shared" si="124"/>
        <v>0.37509999999999999</v>
      </c>
      <c r="S1589" s="2">
        <v>12</v>
      </c>
      <c r="T1589" t="s">
        <v>30</v>
      </c>
      <c r="U1589">
        <v>5</v>
      </c>
    </row>
    <row r="1590" spans="1:21" x14ac:dyDescent="0.25">
      <c r="A1590" s="1">
        <v>46026</v>
      </c>
      <c r="B1590" t="s">
        <v>1783</v>
      </c>
      <c r="C1590" t="s">
        <v>235</v>
      </c>
      <c r="D1590" t="s">
        <v>43</v>
      </c>
      <c r="E1590" t="s">
        <v>25</v>
      </c>
      <c r="F1590" t="s">
        <v>36</v>
      </c>
      <c r="G1590" t="s">
        <v>44</v>
      </c>
      <c r="H1590" t="s">
        <v>73</v>
      </c>
      <c r="I1590" t="s">
        <v>60</v>
      </c>
      <c r="J1590" s="2">
        <v>7</v>
      </c>
      <c r="K1590" s="3">
        <v>1683.44</v>
      </c>
      <c r="L1590" s="3">
        <v>1131.75</v>
      </c>
      <c r="M1590" s="4">
        <v>9.4399999999999998E-2</v>
      </c>
      <c r="N1590" s="3">
        <f t="shared" si="120"/>
        <v>11784.08</v>
      </c>
      <c r="O1590" s="3">
        <f t="shared" si="121"/>
        <v>10671.66</v>
      </c>
      <c r="P1590" s="3">
        <f t="shared" si="122"/>
        <v>7922.25</v>
      </c>
      <c r="Q1590" s="3">
        <f t="shared" si="123"/>
        <v>2749.41</v>
      </c>
      <c r="R1590" s="4">
        <f t="shared" si="124"/>
        <v>0.2576</v>
      </c>
      <c r="S1590" s="2">
        <v>4</v>
      </c>
      <c r="T1590" t="s">
        <v>46</v>
      </c>
      <c r="U1590">
        <v>4</v>
      </c>
    </row>
    <row r="1591" spans="1:21" x14ac:dyDescent="0.25">
      <c r="A1591" s="1">
        <v>46143</v>
      </c>
      <c r="B1591" t="s">
        <v>1784</v>
      </c>
      <c r="C1591" t="s">
        <v>164</v>
      </c>
      <c r="D1591" t="s">
        <v>126</v>
      </c>
      <c r="E1591" t="s">
        <v>57</v>
      </c>
      <c r="F1591" t="s">
        <v>36</v>
      </c>
      <c r="G1591" t="s">
        <v>37</v>
      </c>
      <c r="H1591" t="s">
        <v>38</v>
      </c>
      <c r="I1591" t="s">
        <v>65</v>
      </c>
      <c r="J1591" s="2">
        <v>2</v>
      </c>
      <c r="K1591" s="3">
        <v>430.16</v>
      </c>
      <c r="L1591" s="3">
        <v>193.58</v>
      </c>
      <c r="M1591" s="4">
        <v>0</v>
      </c>
      <c r="N1591" s="3">
        <f t="shared" si="120"/>
        <v>860.32</v>
      </c>
      <c r="O1591" s="3">
        <f t="shared" si="121"/>
        <v>860.32</v>
      </c>
      <c r="P1591" s="3">
        <f t="shared" si="122"/>
        <v>387.16</v>
      </c>
      <c r="Q1591" s="3">
        <f t="shared" si="123"/>
        <v>473.16</v>
      </c>
      <c r="R1591" s="4">
        <f t="shared" si="124"/>
        <v>0.55000000000000004</v>
      </c>
      <c r="S1591" s="2">
        <v>12</v>
      </c>
      <c r="T1591" t="s">
        <v>30</v>
      </c>
      <c r="U1591">
        <v>4</v>
      </c>
    </row>
    <row r="1592" spans="1:21" x14ac:dyDescent="0.25">
      <c r="A1592" s="1">
        <v>46151</v>
      </c>
      <c r="B1592" t="s">
        <v>1785</v>
      </c>
      <c r="C1592" t="s">
        <v>275</v>
      </c>
      <c r="D1592" t="s">
        <v>56</v>
      </c>
      <c r="E1592" t="s">
        <v>57</v>
      </c>
      <c r="F1592" t="s">
        <v>64</v>
      </c>
      <c r="G1592" t="s">
        <v>37</v>
      </c>
      <c r="H1592" t="s">
        <v>38</v>
      </c>
      <c r="I1592" t="s">
        <v>94</v>
      </c>
      <c r="J1592" s="2">
        <v>8</v>
      </c>
      <c r="K1592" s="3">
        <v>426.42</v>
      </c>
      <c r="L1592" s="3">
        <v>186.58</v>
      </c>
      <c r="M1592" s="4">
        <v>1.41E-2</v>
      </c>
      <c r="N1592" s="3">
        <f t="shared" si="120"/>
        <v>3411.36</v>
      </c>
      <c r="O1592" s="3">
        <f t="shared" si="121"/>
        <v>3363.26</v>
      </c>
      <c r="P1592" s="3">
        <f t="shared" si="122"/>
        <v>1492.64</v>
      </c>
      <c r="Q1592" s="3">
        <f t="shared" si="123"/>
        <v>1870.62</v>
      </c>
      <c r="R1592" s="4">
        <f t="shared" si="124"/>
        <v>0.55620000000000003</v>
      </c>
      <c r="S1592" s="2">
        <v>3</v>
      </c>
      <c r="T1592" t="s">
        <v>46</v>
      </c>
      <c r="U1592">
        <v>3</v>
      </c>
    </row>
    <row r="1593" spans="1:21" x14ac:dyDescent="0.25">
      <c r="A1593" s="1">
        <v>46087</v>
      </c>
      <c r="B1593" t="s">
        <v>1786</v>
      </c>
      <c r="C1593" t="s">
        <v>464</v>
      </c>
      <c r="D1593" t="s">
        <v>126</v>
      </c>
      <c r="E1593" t="s">
        <v>57</v>
      </c>
      <c r="F1593" t="s">
        <v>36</v>
      </c>
      <c r="G1593" t="s">
        <v>44</v>
      </c>
      <c r="H1593" t="s">
        <v>124</v>
      </c>
      <c r="I1593" t="s">
        <v>60</v>
      </c>
      <c r="J1593" s="2">
        <v>4</v>
      </c>
      <c r="K1593" s="3">
        <v>5583.09</v>
      </c>
      <c r="L1593" s="3">
        <v>4275.2700000000004</v>
      </c>
      <c r="M1593" s="4">
        <v>7.9299999999999995E-2</v>
      </c>
      <c r="N1593" s="3">
        <f t="shared" si="120"/>
        <v>22332.36</v>
      </c>
      <c r="O1593" s="3">
        <f t="shared" si="121"/>
        <v>20561.400000000001</v>
      </c>
      <c r="P1593" s="3">
        <f t="shared" si="122"/>
        <v>17101.080000000002</v>
      </c>
      <c r="Q1593" s="3">
        <f t="shared" si="123"/>
        <v>3460.32</v>
      </c>
      <c r="R1593" s="4">
        <f t="shared" si="124"/>
        <v>0.16830000000000001</v>
      </c>
      <c r="S1593" s="2">
        <v>3</v>
      </c>
      <c r="T1593" t="s">
        <v>46</v>
      </c>
      <c r="U1593">
        <v>5</v>
      </c>
    </row>
    <row r="1594" spans="1:21" x14ac:dyDescent="0.25">
      <c r="A1594" s="1">
        <v>46218</v>
      </c>
      <c r="B1594" t="s">
        <v>1787</v>
      </c>
      <c r="C1594" t="s">
        <v>79</v>
      </c>
      <c r="D1594" t="s">
        <v>101</v>
      </c>
      <c r="E1594" t="s">
        <v>35</v>
      </c>
      <c r="F1594" t="s">
        <v>58</v>
      </c>
      <c r="G1594" t="s">
        <v>37</v>
      </c>
      <c r="H1594" t="s">
        <v>178</v>
      </c>
      <c r="I1594" t="s">
        <v>77</v>
      </c>
      <c r="J1594" s="2">
        <v>2</v>
      </c>
      <c r="K1594" s="3">
        <v>531.04999999999995</v>
      </c>
      <c r="L1594" s="3">
        <v>249.15</v>
      </c>
      <c r="M1594" s="4">
        <v>4.8399999999999999E-2</v>
      </c>
      <c r="N1594" s="3">
        <f t="shared" si="120"/>
        <v>1062.0999999999999</v>
      </c>
      <c r="O1594" s="3">
        <f t="shared" si="121"/>
        <v>1010.69</v>
      </c>
      <c r="P1594" s="3">
        <f t="shared" si="122"/>
        <v>498.3</v>
      </c>
      <c r="Q1594" s="3">
        <f t="shared" si="123"/>
        <v>512.39</v>
      </c>
      <c r="R1594" s="4">
        <f t="shared" si="124"/>
        <v>0.50700000000000001</v>
      </c>
      <c r="S1594" s="2">
        <v>4</v>
      </c>
      <c r="T1594" t="s">
        <v>46</v>
      </c>
      <c r="U1594">
        <v>5</v>
      </c>
    </row>
    <row r="1595" spans="1:21" x14ac:dyDescent="0.25">
      <c r="A1595" s="1">
        <v>46188</v>
      </c>
      <c r="B1595" t="s">
        <v>1788</v>
      </c>
      <c r="C1595" t="s">
        <v>525</v>
      </c>
      <c r="D1595" t="s">
        <v>71</v>
      </c>
      <c r="E1595" t="s">
        <v>72</v>
      </c>
      <c r="F1595" t="s">
        <v>26</v>
      </c>
      <c r="G1595" t="s">
        <v>27</v>
      </c>
      <c r="H1595" t="s">
        <v>28</v>
      </c>
      <c r="I1595" t="s">
        <v>87</v>
      </c>
      <c r="J1595" s="2">
        <v>5</v>
      </c>
      <c r="K1595" s="3">
        <v>745.44</v>
      </c>
      <c r="L1595" s="3">
        <v>469.47</v>
      </c>
      <c r="M1595" s="4">
        <v>0</v>
      </c>
      <c r="N1595" s="3">
        <f t="shared" si="120"/>
        <v>3727.2</v>
      </c>
      <c r="O1595" s="3">
        <f t="shared" si="121"/>
        <v>3727.2</v>
      </c>
      <c r="P1595" s="3">
        <f t="shared" si="122"/>
        <v>2347.35</v>
      </c>
      <c r="Q1595" s="3">
        <f t="shared" si="123"/>
        <v>1379.85</v>
      </c>
      <c r="R1595" s="4">
        <f t="shared" si="124"/>
        <v>0.37019999999999997</v>
      </c>
      <c r="S1595" s="2">
        <v>2</v>
      </c>
      <c r="T1595" t="s">
        <v>46</v>
      </c>
      <c r="U1595">
        <v>5</v>
      </c>
    </row>
    <row r="1596" spans="1:21" x14ac:dyDescent="0.25">
      <c r="A1596" s="1">
        <v>46206</v>
      </c>
      <c r="B1596" t="s">
        <v>1789</v>
      </c>
      <c r="C1596" t="s">
        <v>290</v>
      </c>
      <c r="D1596" t="s">
        <v>71</v>
      </c>
      <c r="E1596" t="s">
        <v>72</v>
      </c>
      <c r="F1596" t="s">
        <v>36</v>
      </c>
      <c r="G1596" t="s">
        <v>44</v>
      </c>
      <c r="H1596" t="s">
        <v>45</v>
      </c>
      <c r="I1596" t="s">
        <v>87</v>
      </c>
      <c r="J1596" s="2">
        <v>8</v>
      </c>
      <c r="K1596" s="3">
        <v>366.85</v>
      </c>
      <c r="L1596" s="3">
        <v>217.66</v>
      </c>
      <c r="M1596" s="4">
        <v>0.1198</v>
      </c>
      <c r="N1596" s="3">
        <f t="shared" si="120"/>
        <v>2934.8</v>
      </c>
      <c r="O1596" s="3">
        <f t="shared" si="121"/>
        <v>2583.21</v>
      </c>
      <c r="P1596" s="3">
        <f t="shared" si="122"/>
        <v>1741.28</v>
      </c>
      <c r="Q1596" s="3">
        <f t="shared" si="123"/>
        <v>841.93</v>
      </c>
      <c r="R1596" s="4">
        <f t="shared" si="124"/>
        <v>0.32590000000000002</v>
      </c>
      <c r="S1596" s="2">
        <v>10</v>
      </c>
      <c r="T1596" t="s">
        <v>46</v>
      </c>
      <c r="U1596">
        <v>3</v>
      </c>
    </row>
    <row r="1597" spans="1:21" x14ac:dyDescent="0.25">
      <c r="A1597" s="1">
        <v>46025</v>
      </c>
      <c r="B1597" t="s">
        <v>1790</v>
      </c>
      <c r="C1597" t="s">
        <v>89</v>
      </c>
      <c r="D1597" t="s">
        <v>71</v>
      </c>
      <c r="E1597" t="s">
        <v>72</v>
      </c>
      <c r="F1597" t="s">
        <v>26</v>
      </c>
      <c r="G1597" t="s">
        <v>27</v>
      </c>
      <c r="H1597" t="s">
        <v>28</v>
      </c>
      <c r="I1597" t="s">
        <v>60</v>
      </c>
      <c r="J1597" s="2">
        <v>7</v>
      </c>
      <c r="K1597" s="3">
        <v>752.25</v>
      </c>
      <c r="L1597" s="3">
        <v>454.15</v>
      </c>
      <c r="M1597" s="4">
        <v>6.8400000000000002E-2</v>
      </c>
      <c r="N1597" s="3">
        <f t="shared" si="120"/>
        <v>5265.75</v>
      </c>
      <c r="O1597" s="3">
        <f t="shared" si="121"/>
        <v>4905.57</v>
      </c>
      <c r="P1597" s="3">
        <f t="shared" si="122"/>
        <v>3179.05</v>
      </c>
      <c r="Q1597" s="3">
        <f t="shared" si="123"/>
        <v>1726.52</v>
      </c>
      <c r="R1597" s="4">
        <f t="shared" si="124"/>
        <v>0.35199999999999998</v>
      </c>
      <c r="S1597" s="2">
        <v>9</v>
      </c>
      <c r="T1597" t="s">
        <v>46</v>
      </c>
      <c r="U1597">
        <v>4</v>
      </c>
    </row>
    <row r="1598" spans="1:21" x14ac:dyDescent="0.25">
      <c r="A1598" s="1">
        <v>46180</v>
      </c>
      <c r="B1598" t="s">
        <v>1791</v>
      </c>
      <c r="C1598" t="s">
        <v>174</v>
      </c>
      <c r="D1598" t="s">
        <v>49</v>
      </c>
      <c r="E1598" t="s">
        <v>50</v>
      </c>
      <c r="F1598" t="s">
        <v>58</v>
      </c>
      <c r="G1598" t="s">
        <v>51</v>
      </c>
      <c r="H1598" t="s">
        <v>52</v>
      </c>
      <c r="I1598" t="s">
        <v>87</v>
      </c>
      <c r="J1598" s="2">
        <v>7</v>
      </c>
      <c r="K1598" s="3">
        <v>268.92</v>
      </c>
      <c r="L1598" s="3">
        <v>115.03</v>
      </c>
      <c r="M1598" s="4">
        <v>3.5000000000000003E-2</v>
      </c>
      <c r="N1598" s="3">
        <f t="shared" si="120"/>
        <v>1882.44</v>
      </c>
      <c r="O1598" s="3">
        <f t="shared" si="121"/>
        <v>1816.55</v>
      </c>
      <c r="P1598" s="3">
        <f t="shared" si="122"/>
        <v>805.21</v>
      </c>
      <c r="Q1598" s="3">
        <f t="shared" si="123"/>
        <v>1011.34</v>
      </c>
      <c r="R1598" s="4">
        <f t="shared" si="124"/>
        <v>0.55669999999999997</v>
      </c>
      <c r="S1598" s="2">
        <v>11</v>
      </c>
      <c r="T1598" t="s">
        <v>30</v>
      </c>
      <c r="U1598">
        <v>4</v>
      </c>
    </row>
    <row r="1599" spans="1:21" x14ac:dyDescent="0.25">
      <c r="A1599" s="1">
        <v>46208</v>
      </c>
      <c r="B1599" t="s">
        <v>1792</v>
      </c>
      <c r="C1599" t="s">
        <v>115</v>
      </c>
      <c r="D1599" t="s">
        <v>207</v>
      </c>
      <c r="E1599" t="s">
        <v>35</v>
      </c>
      <c r="F1599" t="s">
        <v>36</v>
      </c>
      <c r="G1599" t="s">
        <v>44</v>
      </c>
      <c r="H1599" t="s">
        <v>73</v>
      </c>
      <c r="I1599" t="s">
        <v>39</v>
      </c>
      <c r="J1599" s="2">
        <v>2</v>
      </c>
      <c r="K1599" s="3">
        <v>1681.18</v>
      </c>
      <c r="L1599" s="3">
        <v>1097.95</v>
      </c>
      <c r="M1599" s="4">
        <v>0</v>
      </c>
      <c r="N1599" s="3">
        <f t="shared" si="120"/>
        <v>3362.36</v>
      </c>
      <c r="O1599" s="3">
        <f t="shared" si="121"/>
        <v>3362.36</v>
      </c>
      <c r="P1599" s="3">
        <f t="shared" si="122"/>
        <v>2195.9</v>
      </c>
      <c r="Q1599" s="3">
        <f t="shared" si="123"/>
        <v>1166.46</v>
      </c>
      <c r="R1599" s="4">
        <f t="shared" si="124"/>
        <v>0.34689999999999999</v>
      </c>
      <c r="S1599" s="2">
        <v>12</v>
      </c>
      <c r="T1599" t="s">
        <v>30</v>
      </c>
      <c r="U1599">
        <v>2</v>
      </c>
    </row>
    <row r="1600" spans="1:21" x14ac:dyDescent="0.25">
      <c r="A1600" s="1">
        <v>46211</v>
      </c>
      <c r="B1600" t="s">
        <v>1793</v>
      </c>
      <c r="C1600" t="s">
        <v>164</v>
      </c>
      <c r="D1600" t="s">
        <v>130</v>
      </c>
      <c r="E1600" t="s">
        <v>72</v>
      </c>
      <c r="F1600" t="s">
        <v>36</v>
      </c>
      <c r="G1600" t="s">
        <v>27</v>
      </c>
      <c r="H1600" t="s">
        <v>68</v>
      </c>
      <c r="I1600" t="s">
        <v>60</v>
      </c>
      <c r="J1600" s="2">
        <v>8</v>
      </c>
      <c r="K1600" s="3">
        <v>1223.52</v>
      </c>
      <c r="L1600" s="3">
        <v>829.43</v>
      </c>
      <c r="M1600" s="4">
        <v>1.09E-2</v>
      </c>
      <c r="N1600" s="3">
        <f t="shared" si="120"/>
        <v>9788.16</v>
      </c>
      <c r="O1600" s="3">
        <f t="shared" si="121"/>
        <v>9681.4699999999993</v>
      </c>
      <c r="P1600" s="3">
        <f t="shared" si="122"/>
        <v>6635.44</v>
      </c>
      <c r="Q1600" s="3">
        <f t="shared" si="123"/>
        <v>3046.03</v>
      </c>
      <c r="R1600" s="4">
        <f t="shared" si="124"/>
        <v>0.31459999999999999</v>
      </c>
      <c r="S1600" s="2">
        <v>3</v>
      </c>
      <c r="T1600" t="s">
        <v>46</v>
      </c>
      <c r="U1600">
        <v>4</v>
      </c>
    </row>
    <row r="1601" spans="1:22" x14ac:dyDescent="0.25">
      <c r="A1601" s="1">
        <v>46217</v>
      </c>
      <c r="B1601" t="s">
        <v>1794</v>
      </c>
      <c r="C1601" t="s">
        <v>231</v>
      </c>
      <c r="D1601" t="s">
        <v>43</v>
      </c>
      <c r="E1601" t="s">
        <v>25</v>
      </c>
      <c r="F1601" t="s">
        <v>58</v>
      </c>
      <c r="G1601" t="s">
        <v>51</v>
      </c>
      <c r="H1601" t="s">
        <v>52</v>
      </c>
      <c r="I1601" t="s">
        <v>87</v>
      </c>
      <c r="J1601" s="2">
        <v>3</v>
      </c>
      <c r="K1601" s="3">
        <v>263.19</v>
      </c>
      <c r="L1601" s="3">
        <v>127.28</v>
      </c>
      <c r="M1601" s="4">
        <v>3.5000000000000003E-2</v>
      </c>
      <c r="N1601" s="3">
        <f t="shared" si="120"/>
        <v>789.57</v>
      </c>
      <c r="O1601" s="3">
        <f t="shared" si="121"/>
        <v>761.94</v>
      </c>
      <c r="P1601" s="3">
        <f t="shared" si="122"/>
        <v>381.84</v>
      </c>
      <c r="Q1601" s="3">
        <f t="shared" si="123"/>
        <v>380.1</v>
      </c>
      <c r="R1601" s="4">
        <f t="shared" si="124"/>
        <v>0.49890000000000001</v>
      </c>
      <c r="S1601" s="2">
        <v>10</v>
      </c>
      <c r="T1601" t="s">
        <v>46</v>
      </c>
      <c r="U1601">
        <v>3</v>
      </c>
    </row>
    <row r="1602" spans="1:22" x14ac:dyDescent="0.25">
      <c r="A1602" s="1">
        <v>46157</v>
      </c>
      <c r="B1602" t="s">
        <v>1795</v>
      </c>
      <c r="C1602" t="s">
        <v>155</v>
      </c>
      <c r="D1602" t="s">
        <v>126</v>
      </c>
      <c r="E1602" t="s">
        <v>57</v>
      </c>
      <c r="F1602" t="s">
        <v>64</v>
      </c>
      <c r="G1602" t="s">
        <v>27</v>
      </c>
      <c r="H1602" t="s">
        <v>28</v>
      </c>
      <c r="I1602" t="s">
        <v>87</v>
      </c>
      <c r="J1602" s="2">
        <v>5</v>
      </c>
      <c r="K1602" s="3">
        <v>835.49</v>
      </c>
      <c r="L1602" s="3">
        <v>466.09</v>
      </c>
      <c r="M1602" s="4">
        <v>0</v>
      </c>
      <c r="N1602" s="3">
        <f t="shared" ref="N1602:N1665" si="125">ROUND(J1602*K1602,2)</f>
        <v>4177.45</v>
      </c>
      <c r="O1602" s="3">
        <f t="shared" ref="O1602:O1665" si="126">ROUND(N1602*(1-M1602),2)</f>
        <v>4177.45</v>
      </c>
      <c r="P1602" s="3">
        <f t="shared" ref="P1602:P1665" si="127">ROUND(J1602*L1602,2)</f>
        <v>2330.4499999999998</v>
      </c>
      <c r="Q1602" s="3">
        <f t="shared" ref="Q1602:Q1665" si="128">ROUND(O1602-P1602,2)</f>
        <v>1847</v>
      </c>
      <c r="R1602" s="4">
        <f t="shared" ref="R1602:R1665" si="129">IF(O1602=0,0,ROUND(Q1602/O1602,4))</f>
        <v>0.44209999999999999</v>
      </c>
      <c r="S1602" s="2">
        <v>5</v>
      </c>
      <c r="T1602" t="s">
        <v>46</v>
      </c>
      <c r="U1602">
        <v>2</v>
      </c>
    </row>
    <row r="1603" spans="1:22" x14ac:dyDescent="0.25">
      <c r="A1603" s="1">
        <v>46103</v>
      </c>
      <c r="B1603" t="s">
        <v>1796</v>
      </c>
      <c r="C1603" t="s">
        <v>148</v>
      </c>
      <c r="D1603" t="s">
        <v>126</v>
      </c>
      <c r="E1603" t="s">
        <v>57</v>
      </c>
      <c r="F1603" t="s">
        <v>36</v>
      </c>
      <c r="G1603" t="s">
        <v>44</v>
      </c>
      <c r="H1603" t="s">
        <v>124</v>
      </c>
      <c r="I1603" t="s">
        <v>92</v>
      </c>
      <c r="J1603" s="2">
        <v>2</v>
      </c>
      <c r="K1603" s="3">
        <v>6202.6</v>
      </c>
      <c r="L1603" s="3">
        <v>4339.12</v>
      </c>
      <c r="M1603" s="4">
        <v>0</v>
      </c>
      <c r="N1603" s="3">
        <f t="shared" si="125"/>
        <v>12405.2</v>
      </c>
      <c r="O1603" s="3">
        <f t="shared" si="126"/>
        <v>12405.2</v>
      </c>
      <c r="P1603" s="3">
        <f t="shared" si="127"/>
        <v>8678.24</v>
      </c>
      <c r="Q1603" s="3">
        <f t="shared" si="128"/>
        <v>3726.96</v>
      </c>
      <c r="R1603" s="4">
        <f t="shared" si="129"/>
        <v>0.3004</v>
      </c>
      <c r="S1603" s="2">
        <v>11</v>
      </c>
      <c r="T1603" t="s">
        <v>30</v>
      </c>
      <c r="U1603">
        <v>2</v>
      </c>
    </row>
    <row r="1604" spans="1:22" x14ac:dyDescent="0.25">
      <c r="A1604" s="1">
        <v>46092</v>
      </c>
      <c r="B1604" t="s">
        <v>1797</v>
      </c>
      <c r="C1604" t="s">
        <v>336</v>
      </c>
      <c r="D1604" t="s">
        <v>207</v>
      </c>
      <c r="E1604" t="s">
        <v>35</v>
      </c>
      <c r="F1604" t="s">
        <v>36</v>
      </c>
      <c r="G1604" t="s">
        <v>44</v>
      </c>
      <c r="H1604" t="s">
        <v>73</v>
      </c>
      <c r="I1604" t="s">
        <v>94</v>
      </c>
      <c r="J1604" s="2">
        <v>4</v>
      </c>
      <c r="K1604" s="3">
        <v>1642.74</v>
      </c>
      <c r="L1604" s="3">
        <v>1129.3599999999999</v>
      </c>
      <c r="M1604" s="4">
        <v>4.07E-2</v>
      </c>
      <c r="N1604" s="3">
        <f t="shared" si="125"/>
        <v>6570.96</v>
      </c>
      <c r="O1604" s="3">
        <f t="shared" si="126"/>
        <v>6303.52</v>
      </c>
      <c r="P1604" s="3">
        <f t="shared" si="127"/>
        <v>4517.4399999999996</v>
      </c>
      <c r="Q1604" s="3">
        <f t="shared" si="128"/>
        <v>1786.08</v>
      </c>
      <c r="R1604" s="4">
        <f t="shared" si="129"/>
        <v>0.2833</v>
      </c>
      <c r="S1604" s="2">
        <v>14</v>
      </c>
      <c r="T1604" t="s">
        <v>30</v>
      </c>
      <c r="U1604">
        <v>4</v>
      </c>
    </row>
    <row r="1605" spans="1:22" x14ac:dyDescent="0.25">
      <c r="A1605" s="1">
        <v>46133</v>
      </c>
      <c r="B1605" t="s">
        <v>1798</v>
      </c>
      <c r="C1605" t="s">
        <v>525</v>
      </c>
      <c r="D1605" t="s">
        <v>130</v>
      </c>
      <c r="E1605" t="s">
        <v>72</v>
      </c>
      <c r="F1605" t="s">
        <v>26</v>
      </c>
      <c r="G1605" t="s">
        <v>27</v>
      </c>
      <c r="H1605" t="s">
        <v>68</v>
      </c>
      <c r="I1605" t="s">
        <v>39</v>
      </c>
      <c r="J1605" s="2">
        <v>8</v>
      </c>
      <c r="K1605" s="3">
        <v>1317.19</v>
      </c>
      <c r="L1605" s="3">
        <v>774.76</v>
      </c>
      <c r="M1605" s="4">
        <v>2.07E-2</v>
      </c>
      <c r="N1605" s="3">
        <f t="shared" si="125"/>
        <v>10537.52</v>
      </c>
      <c r="O1605" s="3">
        <f t="shared" si="126"/>
        <v>10319.39</v>
      </c>
      <c r="P1605" s="3">
        <f t="shared" si="127"/>
        <v>6198.08</v>
      </c>
      <c r="Q1605" s="3">
        <f t="shared" si="128"/>
        <v>4121.3100000000004</v>
      </c>
      <c r="R1605" s="4">
        <f t="shared" si="129"/>
        <v>0.39939999999999998</v>
      </c>
      <c r="S1605" s="2">
        <v>8</v>
      </c>
      <c r="T1605" t="s">
        <v>46</v>
      </c>
      <c r="U1605">
        <v>5</v>
      </c>
    </row>
    <row r="1606" spans="1:22" x14ac:dyDescent="0.25">
      <c r="A1606" s="1">
        <v>46176</v>
      </c>
      <c r="B1606" t="s">
        <v>1799</v>
      </c>
      <c r="C1606" t="s">
        <v>155</v>
      </c>
      <c r="D1606" t="s">
        <v>207</v>
      </c>
      <c r="E1606" t="s">
        <v>35</v>
      </c>
      <c r="F1606" t="s">
        <v>58</v>
      </c>
      <c r="G1606" t="s">
        <v>44</v>
      </c>
      <c r="H1606" t="s">
        <v>45</v>
      </c>
      <c r="I1606" t="s">
        <v>65</v>
      </c>
      <c r="J1606" s="2">
        <v>6</v>
      </c>
      <c r="K1606" s="3">
        <v>382.4</v>
      </c>
      <c r="L1606" s="3">
        <v>219.49</v>
      </c>
      <c r="M1606" s="4">
        <v>9.8500000000000004E-2</v>
      </c>
      <c r="N1606" s="3">
        <f t="shared" si="125"/>
        <v>2294.4</v>
      </c>
      <c r="O1606" s="3">
        <f t="shared" si="126"/>
        <v>2068.4</v>
      </c>
      <c r="P1606" s="3">
        <f t="shared" si="127"/>
        <v>1316.94</v>
      </c>
      <c r="Q1606" s="3">
        <f t="shared" si="128"/>
        <v>751.46</v>
      </c>
      <c r="R1606" s="4">
        <f t="shared" si="129"/>
        <v>0.36330000000000001</v>
      </c>
      <c r="S1606" s="2">
        <v>7</v>
      </c>
      <c r="T1606" t="s">
        <v>46</v>
      </c>
      <c r="U1606">
        <v>4</v>
      </c>
    </row>
    <row r="1607" spans="1:22" x14ac:dyDescent="0.25">
      <c r="A1607" s="1">
        <v>46233</v>
      </c>
      <c r="B1607" t="s">
        <v>1800</v>
      </c>
      <c r="C1607" t="s">
        <v>447</v>
      </c>
      <c r="D1607" t="s">
        <v>139</v>
      </c>
      <c r="E1607" t="s">
        <v>72</v>
      </c>
      <c r="F1607" t="s">
        <v>36</v>
      </c>
      <c r="G1607" t="s">
        <v>27</v>
      </c>
      <c r="H1607" t="s">
        <v>86</v>
      </c>
      <c r="I1607" t="s">
        <v>94</v>
      </c>
      <c r="J1607" s="2">
        <v>7</v>
      </c>
      <c r="K1607" s="3">
        <v>1849.24</v>
      </c>
      <c r="L1607" s="3">
        <v>1287.75</v>
      </c>
      <c r="M1607" s="4">
        <v>6.3299999999999995E-2</v>
      </c>
      <c r="N1607" s="3">
        <f t="shared" si="125"/>
        <v>12944.68</v>
      </c>
      <c r="O1607" s="3">
        <f t="shared" si="126"/>
        <v>12125.28</v>
      </c>
      <c r="P1607" s="3">
        <f t="shared" si="127"/>
        <v>9014.25</v>
      </c>
      <c r="Q1607" s="3">
        <f t="shared" si="128"/>
        <v>3111.03</v>
      </c>
      <c r="R1607" s="4">
        <f t="shared" si="129"/>
        <v>0.25659999999999999</v>
      </c>
      <c r="S1607" s="2">
        <v>2</v>
      </c>
      <c r="T1607" t="s">
        <v>46</v>
      </c>
      <c r="U1607">
        <v>2</v>
      </c>
    </row>
    <row r="1608" spans="1:22" x14ac:dyDescent="0.25">
      <c r="A1608" s="1">
        <v>46096</v>
      </c>
      <c r="B1608" t="s">
        <v>1801</v>
      </c>
      <c r="C1608" t="s">
        <v>520</v>
      </c>
      <c r="D1608" t="s">
        <v>139</v>
      </c>
      <c r="E1608" t="s">
        <v>72</v>
      </c>
      <c r="F1608" t="s">
        <v>64</v>
      </c>
      <c r="G1608" t="s">
        <v>44</v>
      </c>
      <c r="H1608" t="s">
        <v>73</v>
      </c>
      <c r="I1608" t="s">
        <v>60</v>
      </c>
      <c r="J1608" s="2">
        <v>6</v>
      </c>
      <c r="K1608" s="3">
        <v>1700.09</v>
      </c>
      <c r="L1608" s="3">
        <v>1155.08</v>
      </c>
      <c r="M1608" s="4">
        <v>0</v>
      </c>
      <c r="N1608" s="3">
        <f t="shared" si="125"/>
        <v>10200.540000000001</v>
      </c>
      <c r="O1608" s="3">
        <f t="shared" si="126"/>
        <v>10200.540000000001</v>
      </c>
      <c r="P1608" s="3">
        <f t="shared" si="127"/>
        <v>6930.48</v>
      </c>
      <c r="Q1608" s="3">
        <f t="shared" si="128"/>
        <v>3270.06</v>
      </c>
      <c r="R1608" s="4">
        <f t="shared" si="129"/>
        <v>0.3206</v>
      </c>
      <c r="S1608" s="2">
        <v>30</v>
      </c>
      <c r="T1608" t="s">
        <v>30</v>
      </c>
      <c r="U1608">
        <v>1</v>
      </c>
      <c r="V1608" t="s">
        <v>208</v>
      </c>
    </row>
    <row r="1609" spans="1:22" x14ac:dyDescent="0.25">
      <c r="A1609" s="1">
        <v>46217</v>
      </c>
      <c r="B1609" t="s">
        <v>1802</v>
      </c>
      <c r="C1609" t="s">
        <v>132</v>
      </c>
      <c r="D1609" t="s">
        <v>63</v>
      </c>
      <c r="E1609" t="s">
        <v>35</v>
      </c>
      <c r="F1609" t="s">
        <v>26</v>
      </c>
      <c r="G1609" t="s">
        <v>51</v>
      </c>
      <c r="H1609" t="s">
        <v>116</v>
      </c>
      <c r="I1609" t="s">
        <v>94</v>
      </c>
      <c r="J1609" s="2">
        <v>2</v>
      </c>
      <c r="K1609" s="3">
        <v>2869.9</v>
      </c>
      <c r="L1609" s="3">
        <v>1867.85</v>
      </c>
      <c r="M1609" s="4">
        <v>0</v>
      </c>
      <c r="N1609" s="3">
        <f t="shared" si="125"/>
        <v>5739.8</v>
      </c>
      <c r="O1609" s="3">
        <f t="shared" si="126"/>
        <v>5739.8</v>
      </c>
      <c r="P1609" s="3">
        <f t="shared" si="127"/>
        <v>3735.7</v>
      </c>
      <c r="Q1609" s="3">
        <f t="shared" si="128"/>
        <v>2004.1</v>
      </c>
      <c r="R1609" s="4">
        <f t="shared" si="129"/>
        <v>0.34920000000000001</v>
      </c>
      <c r="S1609" s="2">
        <v>5</v>
      </c>
      <c r="T1609" t="s">
        <v>46</v>
      </c>
      <c r="U1609">
        <v>5</v>
      </c>
    </row>
    <row r="1610" spans="1:22" x14ac:dyDescent="0.25">
      <c r="A1610" s="1">
        <v>46052</v>
      </c>
      <c r="B1610" t="s">
        <v>1803</v>
      </c>
      <c r="C1610" t="s">
        <v>447</v>
      </c>
      <c r="D1610" t="s">
        <v>139</v>
      </c>
      <c r="E1610" t="s">
        <v>72</v>
      </c>
      <c r="F1610" t="s">
        <v>64</v>
      </c>
      <c r="G1610" t="s">
        <v>27</v>
      </c>
      <c r="H1610" t="s">
        <v>86</v>
      </c>
      <c r="I1610" t="s">
        <v>87</v>
      </c>
      <c r="J1610" s="2">
        <v>5</v>
      </c>
      <c r="K1610" s="3">
        <v>1933.66</v>
      </c>
      <c r="L1610" s="3">
        <v>1285.58</v>
      </c>
      <c r="M1610" s="4">
        <v>0</v>
      </c>
      <c r="N1610" s="3">
        <f t="shared" si="125"/>
        <v>9668.2999999999993</v>
      </c>
      <c r="O1610" s="3">
        <f t="shared" si="126"/>
        <v>9668.2999999999993</v>
      </c>
      <c r="P1610" s="3">
        <f t="shared" si="127"/>
        <v>6427.9</v>
      </c>
      <c r="Q1610" s="3">
        <f t="shared" si="128"/>
        <v>3240.4</v>
      </c>
      <c r="R1610" s="4">
        <f t="shared" si="129"/>
        <v>0.3352</v>
      </c>
      <c r="S1610" s="2">
        <v>9</v>
      </c>
      <c r="T1610" t="s">
        <v>46</v>
      </c>
      <c r="U1610">
        <v>2</v>
      </c>
    </row>
    <row r="1611" spans="1:22" x14ac:dyDescent="0.25">
      <c r="A1611" s="1">
        <v>46116</v>
      </c>
      <c r="B1611" t="s">
        <v>1804</v>
      </c>
      <c r="C1611" t="s">
        <v>428</v>
      </c>
      <c r="D1611" t="s">
        <v>139</v>
      </c>
      <c r="E1611" t="s">
        <v>72</v>
      </c>
      <c r="F1611" t="s">
        <v>58</v>
      </c>
      <c r="G1611" t="s">
        <v>37</v>
      </c>
      <c r="H1611" t="s">
        <v>38</v>
      </c>
      <c r="I1611" t="s">
        <v>53</v>
      </c>
      <c r="J1611" s="2">
        <v>7</v>
      </c>
      <c r="K1611" s="3">
        <v>430.78</v>
      </c>
      <c r="L1611" s="3">
        <v>201.42</v>
      </c>
      <c r="M1611" s="4">
        <v>3.5000000000000003E-2</v>
      </c>
      <c r="N1611" s="3">
        <f t="shared" si="125"/>
        <v>3015.46</v>
      </c>
      <c r="O1611" s="3">
        <f t="shared" si="126"/>
        <v>2909.92</v>
      </c>
      <c r="P1611" s="3">
        <f t="shared" si="127"/>
        <v>1409.94</v>
      </c>
      <c r="Q1611" s="3">
        <f t="shared" si="128"/>
        <v>1499.98</v>
      </c>
      <c r="R1611" s="4">
        <f t="shared" si="129"/>
        <v>0.51549999999999996</v>
      </c>
      <c r="S1611" s="2">
        <v>14</v>
      </c>
      <c r="T1611" t="s">
        <v>30</v>
      </c>
      <c r="U1611">
        <v>4</v>
      </c>
    </row>
    <row r="1612" spans="1:22" x14ac:dyDescent="0.25">
      <c r="A1612" s="1">
        <v>46201</v>
      </c>
      <c r="B1612" t="s">
        <v>1805</v>
      </c>
      <c r="C1612" t="s">
        <v>204</v>
      </c>
      <c r="D1612" t="s">
        <v>63</v>
      </c>
      <c r="E1612" t="s">
        <v>35</v>
      </c>
      <c r="F1612" t="s">
        <v>58</v>
      </c>
      <c r="G1612" t="s">
        <v>51</v>
      </c>
      <c r="H1612" t="s">
        <v>59</v>
      </c>
      <c r="I1612" t="s">
        <v>65</v>
      </c>
      <c r="J1612" s="2">
        <v>5</v>
      </c>
      <c r="K1612" s="3">
        <v>2064.9499999999998</v>
      </c>
      <c r="L1612" s="3">
        <v>1372.14</v>
      </c>
      <c r="M1612" s="4">
        <v>6.6699999999999995E-2</v>
      </c>
      <c r="N1612" s="3">
        <f t="shared" si="125"/>
        <v>10324.75</v>
      </c>
      <c r="O1612" s="3">
        <f t="shared" si="126"/>
        <v>9636.09</v>
      </c>
      <c r="P1612" s="3">
        <f t="shared" si="127"/>
        <v>6860.7</v>
      </c>
      <c r="Q1612" s="3">
        <f t="shared" si="128"/>
        <v>2775.39</v>
      </c>
      <c r="R1612" s="4">
        <f t="shared" si="129"/>
        <v>0.28799999999999998</v>
      </c>
      <c r="S1612" s="2">
        <v>14</v>
      </c>
      <c r="T1612" t="s">
        <v>30</v>
      </c>
      <c r="U1612">
        <v>2</v>
      </c>
    </row>
    <row r="1613" spans="1:22" x14ac:dyDescent="0.25">
      <c r="A1613" s="1">
        <v>46174</v>
      </c>
      <c r="B1613" t="s">
        <v>1806</v>
      </c>
      <c r="C1613" t="s">
        <v>195</v>
      </c>
      <c r="D1613" t="s">
        <v>130</v>
      </c>
      <c r="E1613" t="s">
        <v>72</v>
      </c>
      <c r="F1613" t="s">
        <v>36</v>
      </c>
      <c r="G1613" t="s">
        <v>27</v>
      </c>
      <c r="H1613" t="s">
        <v>68</v>
      </c>
      <c r="I1613" t="s">
        <v>92</v>
      </c>
      <c r="J1613" s="2">
        <v>6</v>
      </c>
      <c r="K1613" s="3">
        <v>1255.17</v>
      </c>
      <c r="L1613" s="3">
        <v>790.28</v>
      </c>
      <c r="M1613" s="4">
        <v>0.10249999999999999</v>
      </c>
      <c r="N1613" s="3">
        <f t="shared" si="125"/>
        <v>7531.02</v>
      </c>
      <c r="O1613" s="3">
        <f t="shared" si="126"/>
        <v>6759.09</v>
      </c>
      <c r="P1613" s="3">
        <f t="shared" si="127"/>
        <v>4741.68</v>
      </c>
      <c r="Q1613" s="3">
        <f t="shared" si="128"/>
        <v>2017.41</v>
      </c>
      <c r="R1613" s="4">
        <f t="shared" si="129"/>
        <v>0.29849999999999999</v>
      </c>
      <c r="S1613" s="2">
        <v>12</v>
      </c>
      <c r="T1613" t="s">
        <v>30</v>
      </c>
      <c r="U1613">
        <v>2</v>
      </c>
    </row>
    <row r="1614" spans="1:22" x14ac:dyDescent="0.25">
      <c r="A1614" s="1">
        <v>46087</v>
      </c>
      <c r="B1614" t="s">
        <v>1807</v>
      </c>
      <c r="C1614" t="s">
        <v>384</v>
      </c>
      <c r="D1614" t="s">
        <v>126</v>
      </c>
      <c r="E1614" t="s">
        <v>57</v>
      </c>
      <c r="F1614" t="s">
        <v>36</v>
      </c>
      <c r="G1614" t="s">
        <v>44</v>
      </c>
      <c r="H1614" t="s">
        <v>45</v>
      </c>
      <c r="I1614" t="s">
        <v>74</v>
      </c>
      <c r="J1614" s="2">
        <v>7</v>
      </c>
      <c r="K1614" s="3">
        <v>404.34</v>
      </c>
      <c r="L1614" s="3">
        <v>219.98</v>
      </c>
      <c r="M1614" s="4">
        <v>2.63E-2</v>
      </c>
      <c r="N1614" s="3">
        <f t="shared" si="125"/>
        <v>2830.38</v>
      </c>
      <c r="O1614" s="3">
        <f t="shared" si="126"/>
        <v>2755.94</v>
      </c>
      <c r="P1614" s="3">
        <f t="shared" si="127"/>
        <v>1539.86</v>
      </c>
      <c r="Q1614" s="3">
        <f t="shared" si="128"/>
        <v>1216.08</v>
      </c>
      <c r="R1614" s="4">
        <f t="shared" si="129"/>
        <v>0.44130000000000003</v>
      </c>
      <c r="S1614" s="2">
        <v>13</v>
      </c>
      <c r="T1614" t="s">
        <v>30</v>
      </c>
      <c r="U1614">
        <v>5</v>
      </c>
    </row>
    <row r="1615" spans="1:22" x14ac:dyDescent="0.25">
      <c r="A1615" s="1">
        <v>46045</v>
      </c>
      <c r="B1615" t="s">
        <v>1808</v>
      </c>
      <c r="C1615" t="s">
        <v>91</v>
      </c>
      <c r="D1615" t="s">
        <v>101</v>
      </c>
      <c r="E1615" t="s">
        <v>35</v>
      </c>
      <c r="F1615" t="s">
        <v>36</v>
      </c>
      <c r="G1615" t="s">
        <v>27</v>
      </c>
      <c r="H1615" t="s">
        <v>28</v>
      </c>
      <c r="I1615" t="s">
        <v>53</v>
      </c>
      <c r="J1615" s="2">
        <v>7</v>
      </c>
      <c r="K1615" s="3">
        <v>775.89</v>
      </c>
      <c r="L1615" s="3">
        <v>464</v>
      </c>
      <c r="M1615" s="4">
        <v>0</v>
      </c>
      <c r="N1615" s="3">
        <f t="shared" si="125"/>
        <v>5431.23</v>
      </c>
      <c r="O1615" s="3">
        <f t="shared" si="126"/>
        <v>5431.23</v>
      </c>
      <c r="P1615" s="3">
        <f t="shared" si="127"/>
        <v>3248</v>
      </c>
      <c r="Q1615" s="3">
        <f t="shared" si="128"/>
        <v>2183.23</v>
      </c>
      <c r="R1615" s="4">
        <f t="shared" si="129"/>
        <v>0.40200000000000002</v>
      </c>
      <c r="S1615" s="2">
        <v>12</v>
      </c>
      <c r="T1615" t="s">
        <v>30</v>
      </c>
      <c r="U1615">
        <v>4</v>
      </c>
    </row>
    <row r="1616" spans="1:22" x14ac:dyDescent="0.25">
      <c r="A1616" s="1">
        <v>46113</v>
      </c>
      <c r="B1616" t="s">
        <v>1809</v>
      </c>
      <c r="C1616" t="s">
        <v>392</v>
      </c>
      <c r="D1616" t="s">
        <v>24</v>
      </c>
      <c r="E1616" t="s">
        <v>25</v>
      </c>
      <c r="F1616" t="s">
        <v>64</v>
      </c>
      <c r="G1616" t="s">
        <v>44</v>
      </c>
      <c r="H1616" t="s">
        <v>124</v>
      </c>
      <c r="I1616" t="s">
        <v>29</v>
      </c>
      <c r="J1616" s="2">
        <v>1</v>
      </c>
      <c r="K1616" s="3">
        <v>5591.75</v>
      </c>
      <c r="L1616" s="3">
        <v>4457.57</v>
      </c>
      <c r="M1616" s="4">
        <v>0</v>
      </c>
      <c r="N1616" s="3">
        <f t="shared" si="125"/>
        <v>5591.75</v>
      </c>
      <c r="O1616" s="3">
        <f t="shared" si="126"/>
        <v>5591.75</v>
      </c>
      <c r="P1616" s="3">
        <f t="shared" si="127"/>
        <v>4457.57</v>
      </c>
      <c r="Q1616" s="3">
        <f t="shared" si="128"/>
        <v>1134.18</v>
      </c>
      <c r="R1616" s="4">
        <f t="shared" si="129"/>
        <v>0.20280000000000001</v>
      </c>
      <c r="S1616" s="2">
        <v>14</v>
      </c>
      <c r="T1616" t="s">
        <v>30</v>
      </c>
      <c r="U1616">
        <v>3</v>
      </c>
    </row>
    <row r="1617" spans="1:21" x14ac:dyDescent="0.25">
      <c r="A1617" s="1">
        <v>46226</v>
      </c>
      <c r="B1617" t="s">
        <v>1810</v>
      </c>
      <c r="C1617" t="s">
        <v>401</v>
      </c>
      <c r="D1617" t="s">
        <v>63</v>
      </c>
      <c r="E1617" t="s">
        <v>35</v>
      </c>
      <c r="F1617" t="s">
        <v>36</v>
      </c>
      <c r="G1617" t="s">
        <v>51</v>
      </c>
      <c r="H1617" t="s">
        <v>59</v>
      </c>
      <c r="I1617" t="s">
        <v>53</v>
      </c>
      <c r="J1617" s="2">
        <v>7</v>
      </c>
      <c r="K1617" s="3">
        <v>2070.2800000000002</v>
      </c>
      <c r="L1617" s="3">
        <v>1425.78</v>
      </c>
      <c r="M1617" s="4">
        <v>0.1094</v>
      </c>
      <c r="N1617" s="3">
        <f t="shared" si="125"/>
        <v>14491.96</v>
      </c>
      <c r="O1617" s="3">
        <f t="shared" si="126"/>
        <v>12906.54</v>
      </c>
      <c r="P1617" s="3">
        <f t="shared" si="127"/>
        <v>9980.4599999999991</v>
      </c>
      <c r="Q1617" s="3">
        <f t="shared" si="128"/>
        <v>2926.08</v>
      </c>
      <c r="R1617" s="4">
        <f t="shared" si="129"/>
        <v>0.22670000000000001</v>
      </c>
      <c r="S1617" s="2">
        <v>9</v>
      </c>
      <c r="T1617" t="s">
        <v>46</v>
      </c>
      <c r="U1617">
        <v>4</v>
      </c>
    </row>
    <row r="1618" spans="1:21" x14ac:dyDescent="0.25">
      <c r="A1618" s="1">
        <v>46161</v>
      </c>
      <c r="B1618" t="s">
        <v>1811</v>
      </c>
      <c r="C1618" t="s">
        <v>206</v>
      </c>
      <c r="D1618" t="s">
        <v>85</v>
      </c>
      <c r="E1618" t="s">
        <v>50</v>
      </c>
      <c r="F1618" t="s">
        <v>64</v>
      </c>
      <c r="G1618" t="s">
        <v>27</v>
      </c>
      <c r="H1618" t="s">
        <v>68</v>
      </c>
      <c r="I1618" t="s">
        <v>60</v>
      </c>
      <c r="J1618" s="2">
        <v>8</v>
      </c>
      <c r="K1618" s="3">
        <v>1298.78</v>
      </c>
      <c r="L1618" s="3">
        <v>767.53</v>
      </c>
      <c r="M1618" s="4">
        <v>0</v>
      </c>
      <c r="N1618" s="3">
        <f t="shared" si="125"/>
        <v>10390.24</v>
      </c>
      <c r="O1618" s="3">
        <f t="shared" si="126"/>
        <v>10390.24</v>
      </c>
      <c r="P1618" s="3">
        <f t="shared" si="127"/>
        <v>6140.24</v>
      </c>
      <c r="Q1618" s="3">
        <f t="shared" si="128"/>
        <v>4250</v>
      </c>
      <c r="R1618" s="4">
        <f t="shared" si="129"/>
        <v>0.40899999999999997</v>
      </c>
      <c r="S1618" s="2">
        <v>3</v>
      </c>
      <c r="T1618" t="s">
        <v>46</v>
      </c>
      <c r="U1618">
        <v>4</v>
      </c>
    </row>
    <row r="1619" spans="1:21" x14ac:dyDescent="0.25">
      <c r="A1619" s="1">
        <v>46048</v>
      </c>
      <c r="B1619" t="s">
        <v>1812</v>
      </c>
      <c r="C1619" t="s">
        <v>70</v>
      </c>
      <c r="D1619" t="s">
        <v>139</v>
      </c>
      <c r="E1619" t="s">
        <v>72</v>
      </c>
      <c r="F1619" t="s">
        <v>36</v>
      </c>
      <c r="G1619" t="s">
        <v>44</v>
      </c>
      <c r="H1619" t="s">
        <v>124</v>
      </c>
      <c r="I1619" t="s">
        <v>92</v>
      </c>
      <c r="J1619" s="2">
        <v>7</v>
      </c>
      <c r="K1619" s="3">
        <v>6167.86</v>
      </c>
      <c r="L1619" s="3">
        <v>4330.55</v>
      </c>
      <c r="M1619" s="4">
        <v>1.04E-2</v>
      </c>
      <c r="N1619" s="3">
        <f t="shared" si="125"/>
        <v>43175.02</v>
      </c>
      <c r="O1619" s="3">
        <f t="shared" si="126"/>
        <v>42726</v>
      </c>
      <c r="P1619" s="3">
        <f t="shared" si="127"/>
        <v>30313.85</v>
      </c>
      <c r="Q1619" s="3">
        <f t="shared" si="128"/>
        <v>12412.15</v>
      </c>
      <c r="R1619" s="4">
        <f t="shared" si="129"/>
        <v>0.29049999999999998</v>
      </c>
      <c r="S1619" s="2">
        <v>10</v>
      </c>
      <c r="T1619" t="s">
        <v>46</v>
      </c>
      <c r="U1619">
        <v>3</v>
      </c>
    </row>
    <row r="1620" spans="1:21" x14ac:dyDescent="0.25">
      <c r="A1620" s="1">
        <v>46190</v>
      </c>
      <c r="B1620" t="s">
        <v>1813</v>
      </c>
      <c r="C1620" t="s">
        <v>198</v>
      </c>
      <c r="D1620" t="s">
        <v>126</v>
      </c>
      <c r="E1620" t="s">
        <v>57</v>
      </c>
      <c r="F1620" t="s">
        <v>36</v>
      </c>
      <c r="G1620" t="s">
        <v>44</v>
      </c>
      <c r="H1620" t="s">
        <v>124</v>
      </c>
      <c r="I1620" t="s">
        <v>77</v>
      </c>
      <c r="J1620" s="2">
        <v>6</v>
      </c>
      <c r="K1620" s="3">
        <v>5739.75</v>
      </c>
      <c r="L1620" s="3">
        <v>4224.6099999999997</v>
      </c>
      <c r="M1620" s="4">
        <v>0.12230000000000001</v>
      </c>
      <c r="N1620" s="3">
        <f t="shared" si="125"/>
        <v>34438.5</v>
      </c>
      <c r="O1620" s="3">
        <f t="shared" si="126"/>
        <v>30226.67</v>
      </c>
      <c r="P1620" s="3">
        <f t="shared" si="127"/>
        <v>25347.66</v>
      </c>
      <c r="Q1620" s="3">
        <f t="shared" si="128"/>
        <v>4879.01</v>
      </c>
      <c r="R1620" s="4">
        <f t="shared" si="129"/>
        <v>0.16139999999999999</v>
      </c>
      <c r="S1620" s="2">
        <v>2</v>
      </c>
      <c r="T1620" t="s">
        <v>46</v>
      </c>
      <c r="U1620">
        <v>5</v>
      </c>
    </row>
    <row r="1621" spans="1:21" x14ac:dyDescent="0.25">
      <c r="A1621" s="1">
        <v>46145</v>
      </c>
      <c r="B1621" t="s">
        <v>1814</v>
      </c>
      <c r="C1621" t="s">
        <v>103</v>
      </c>
      <c r="D1621" t="s">
        <v>101</v>
      </c>
      <c r="E1621" t="s">
        <v>35</v>
      </c>
      <c r="F1621" t="s">
        <v>64</v>
      </c>
      <c r="G1621" t="s">
        <v>44</v>
      </c>
      <c r="H1621" t="s">
        <v>124</v>
      </c>
      <c r="I1621" t="s">
        <v>29</v>
      </c>
      <c r="J1621" s="2">
        <v>2</v>
      </c>
      <c r="K1621" s="3">
        <v>6080.01</v>
      </c>
      <c r="L1621" s="3">
        <v>4357.24</v>
      </c>
      <c r="M1621" s="4">
        <v>1.52E-2</v>
      </c>
      <c r="N1621" s="3">
        <f t="shared" si="125"/>
        <v>12160.02</v>
      </c>
      <c r="O1621" s="3">
        <f t="shared" si="126"/>
        <v>11975.19</v>
      </c>
      <c r="P1621" s="3">
        <f t="shared" si="127"/>
        <v>8714.48</v>
      </c>
      <c r="Q1621" s="3">
        <f t="shared" si="128"/>
        <v>3260.71</v>
      </c>
      <c r="R1621" s="4">
        <f t="shared" si="129"/>
        <v>0.27229999999999999</v>
      </c>
      <c r="S1621" s="2">
        <v>9</v>
      </c>
      <c r="T1621" t="s">
        <v>46</v>
      </c>
      <c r="U1621">
        <v>4</v>
      </c>
    </row>
    <row r="1622" spans="1:21" x14ac:dyDescent="0.25">
      <c r="A1622" s="1">
        <v>46124</v>
      </c>
      <c r="B1622" t="s">
        <v>1815</v>
      </c>
      <c r="C1622" t="s">
        <v>112</v>
      </c>
      <c r="D1622" t="s">
        <v>63</v>
      </c>
      <c r="E1622" t="s">
        <v>35</v>
      </c>
      <c r="F1622" t="s">
        <v>26</v>
      </c>
      <c r="G1622" t="s">
        <v>37</v>
      </c>
      <c r="H1622" t="s">
        <v>38</v>
      </c>
      <c r="I1622" t="s">
        <v>53</v>
      </c>
      <c r="J1622" s="2">
        <v>4</v>
      </c>
      <c r="K1622" s="3">
        <v>425.5</v>
      </c>
      <c r="L1622" s="3">
        <v>186.61</v>
      </c>
      <c r="M1622" s="4">
        <v>0</v>
      </c>
      <c r="N1622" s="3">
        <f t="shared" si="125"/>
        <v>1702</v>
      </c>
      <c r="O1622" s="3">
        <f t="shared" si="126"/>
        <v>1702</v>
      </c>
      <c r="P1622" s="3">
        <f t="shared" si="127"/>
        <v>746.44</v>
      </c>
      <c r="Q1622" s="3">
        <f t="shared" si="128"/>
        <v>955.56</v>
      </c>
      <c r="R1622" s="4">
        <f t="shared" si="129"/>
        <v>0.56140000000000001</v>
      </c>
      <c r="S1622" s="2">
        <v>5</v>
      </c>
      <c r="T1622" t="s">
        <v>46</v>
      </c>
      <c r="U1622">
        <v>3</v>
      </c>
    </row>
    <row r="1623" spans="1:21" x14ac:dyDescent="0.25">
      <c r="A1623" s="1">
        <v>46200</v>
      </c>
      <c r="B1623" t="s">
        <v>1816</v>
      </c>
      <c r="C1623" t="s">
        <v>136</v>
      </c>
      <c r="D1623" t="s">
        <v>43</v>
      </c>
      <c r="E1623" t="s">
        <v>25</v>
      </c>
      <c r="F1623" t="s">
        <v>26</v>
      </c>
      <c r="G1623" t="s">
        <v>27</v>
      </c>
      <c r="H1623" t="s">
        <v>68</v>
      </c>
      <c r="I1623" t="s">
        <v>53</v>
      </c>
      <c r="J1623" s="2">
        <v>7</v>
      </c>
      <c r="K1623" s="3">
        <v>1350.21</v>
      </c>
      <c r="L1623" s="3">
        <v>828.82</v>
      </c>
      <c r="M1623" s="4">
        <v>0.10920000000000001</v>
      </c>
      <c r="N1623" s="3">
        <f t="shared" si="125"/>
        <v>9451.4699999999993</v>
      </c>
      <c r="O1623" s="3">
        <f t="shared" si="126"/>
        <v>8419.3700000000008</v>
      </c>
      <c r="P1623" s="3">
        <f t="shared" si="127"/>
        <v>5801.74</v>
      </c>
      <c r="Q1623" s="3">
        <f t="shared" si="128"/>
        <v>2617.63</v>
      </c>
      <c r="R1623" s="4">
        <f t="shared" si="129"/>
        <v>0.31090000000000001</v>
      </c>
      <c r="S1623" s="2">
        <v>7</v>
      </c>
      <c r="T1623" t="s">
        <v>46</v>
      </c>
      <c r="U1623">
        <v>5</v>
      </c>
    </row>
    <row r="1624" spans="1:21" x14ac:dyDescent="0.25">
      <c r="A1624" s="1">
        <v>46193</v>
      </c>
      <c r="B1624" t="s">
        <v>1817</v>
      </c>
      <c r="C1624" t="s">
        <v>146</v>
      </c>
      <c r="D1624" t="s">
        <v>101</v>
      </c>
      <c r="E1624" t="s">
        <v>35</v>
      </c>
      <c r="F1624" t="s">
        <v>58</v>
      </c>
      <c r="G1624" t="s">
        <v>51</v>
      </c>
      <c r="H1624" t="s">
        <v>116</v>
      </c>
      <c r="I1624" t="s">
        <v>92</v>
      </c>
      <c r="J1624" s="2">
        <v>3</v>
      </c>
      <c r="K1624" s="3">
        <v>2732.84</v>
      </c>
      <c r="L1624" s="3">
        <v>1822.41</v>
      </c>
      <c r="M1624" s="4">
        <v>0.11609999999999999</v>
      </c>
      <c r="N1624" s="3">
        <f t="shared" si="125"/>
        <v>8198.52</v>
      </c>
      <c r="O1624" s="3">
        <f t="shared" si="126"/>
        <v>7246.67</v>
      </c>
      <c r="P1624" s="3">
        <f t="shared" si="127"/>
        <v>5467.23</v>
      </c>
      <c r="Q1624" s="3">
        <f t="shared" si="128"/>
        <v>1779.44</v>
      </c>
      <c r="R1624" s="4">
        <f t="shared" si="129"/>
        <v>0.24560000000000001</v>
      </c>
      <c r="S1624" s="2">
        <v>8</v>
      </c>
      <c r="T1624" t="s">
        <v>40</v>
      </c>
    </row>
    <row r="1625" spans="1:21" x14ac:dyDescent="0.25">
      <c r="A1625" s="1">
        <v>46135</v>
      </c>
      <c r="B1625" t="s">
        <v>1818</v>
      </c>
      <c r="C1625" t="s">
        <v>308</v>
      </c>
      <c r="D1625" t="s">
        <v>63</v>
      </c>
      <c r="E1625" t="s">
        <v>35</v>
      </c>
      <c r="F1625" t="s">
        <v>36</v>
      </c>
      <c r="G1625" t="s">
        <v>37</v>
      </c>
      <c r="H1625" t="s">
        <v>104</v>
      </c>
      <c r="I1625" t="s">
        <v>94</v>
      </c>
      <c r="J1625" s="2">
        <v>5</v>
      </c>
      <c r="K1625" s="3">
        <v>321.49</v>
      </c>
      <c r="L1625" s="3">
        <v>133.29</v>
      </c>
      <c r="M1625" s="4">
        <v>0</v>
      </c>
      <c r="N1625" s="3">
        <f t="shared" si="125"/>
        <v>1607.45</v>
      </c>
      <c r="O1625" s="3">
        <f t="shared" si="126"/>
        <v>1607.45</v>
      </c>
      <c r="P1625" s="3">
        <f t="shared" si="127"/>
        <v>666.45</v>
      </c>
      <c r="Q1625" s="3">
        <f t="shared" si="128"/>
        <v>941</v>
      </c>
      <c r="R1625" s="4">
        <f t="shared" si="129"/>
        <v>0.58540000000000003</v>
      </c>
      <c r="S1625" s="2">
        <v>8</v>
      </c>
      <c r="T1625" t="s">
        <v>46</v>
      </c>
      <c r="U1625">
        <v>3</v>
      </c>
    </row>
    <row r="1626" spans="1:21" x14ac:dyDescent="0.25">
      <c r="A1626" s="1">
        <v>46054</v>
      </c>
      <c r="B1626" t="s">
        <v>1819</v>
      </c>
      <c r="C1626" t="s">
        <v>138</v>
      </c>
      <c r="D1626" t="s">
        <v>56</v>
      </c>
      <c r="E1626" t="s">
        <v>57</v>
      </c>
      <c r="F1626" t="s">
        <v>64</v>
      </c>
      <c r="G1626" t="s">
        <v>27</v>
      </c>
      <c r="H1626" t="s">
        <v>28</v>
      </c>
      <c r="I1626" t="s">
        <v>74</v>
      </c>
      <c r="J1626" s="2">
        <v>5</v>
      </c>
      <c r="K1626" s="3">
        <v>797.29</v>
      </c>
      <c r="L1626" s="3">
        <v>473.23</v>
      </c>
      <c r="M1626" s="4">
        <v>0</v>
      </c>
      <c r="N1626" s="3">
        <f t="shared" si="125"/>
        <v>3986.45</v>
      </c>
      <c r="O1626" s="3">
        <f t="shared" si="126"/>
        <v>3986.45</v>
      </c>
      <c r="P1626" s="3">
        <f t="shared" si="127"/>
        <v>2366.15</v>
      </c>
      <c r="Q1626" s="3">
        <f t="shared" si="128"/>
        <v>1620.3</v>
      </c>
      <c r="R1626" s="4">
        <f t="shared" si="129"/>
        <v>0.40649999999999997</v>
      </c>
      <c r="S1626" s="2">
        <v>9</v>
      </c>
      <c r="T1626" t="s">
        <v>46</v>
      </c>
      <c r="U1626">
        <v>5</v>
      </c>
    </row>
    <row r="1627" spans="1:21" x14ac:dyDescent="0.25">
      <c r="A1627" s="1">
        <v>46127</v>
      </c>
      <c r="B1627" t="s">
        <v>1820</v>
      </c>
      <c r="C1627" t="s">
        <v>148</v>
      </c>
      <c r="D1627" t="s">
        <v>34</v>
      </c>
      <c r="E1627" t="s">
        <v>35</v>
      </c>
      <c r="F1627" t="s">
        <v>36</v>
      </c>
      <c r="G1627" t="s">
        <v>27</v>
      </c>
      <c r="H1627" t="s">
        <v>86</v>
      </c>
      <c r="I1627" t="s">
        <v>39</v>
      </c>
      <c r="J1627" s="2">
        <v>3</v>
      </c>
      <c r="K1627" s="3">
        <v>1796.41</v>
      </c>
      <c r="L1627" s="3">
        <v>1168.92</v>
      </c>
      <c r="M1627" s="4">
        <v>0</v>
      </c>
      <c r="N1627" s="3">
        <f t="shared" si="125"/>
        <v>5389.23</v>
      </c>
      <c r="O1627" s="3">
        <f t="shared" si="126"/>
        <v>5389.23</v>
      </c>
      <c r="P1627" s="3">
        <f t="shared" si="127"/>
        <v>3506.76</v>
      </c>
      <c r="Q1627" s="3">
        <f t="shared" si="128"/>
        <v>1882.47</v>
      </c>
      <c r="R1627" s="4">
        <f t="shared" si="129"/>
        <v>0.3493</v>
      </c>
      <c r="S1627" s="2">
        <v>11</v>
      </c>
      <c r="T1627" t="s">
        <v>30</v>
      </c>
      <c r="U1627">
        <v>5</v>
      </c>
    </row>
    <row r="1628" spans="1:21" x14ac:dyDescent="0.25">
      <c r="A1628" s="1">
        <v>46219</v>
      </c>
      <c r="B1628" t="s">
        <v>1821</v>
      </c>
      <c r="C1628" t="s">
        <v>138</v>
      </c>
      <c r="D1628" t="s">
        <v>34</v>
      </c>
      <c r="E1628" t="s">
        <v>35</v>
      </c>
      <c r="F1628" t="s">
        <v>64</v>
      </c>
      <c r="G1628" t="s">
        <v>27</v>
      </c>
      <c r="H1628" t="s">
        <v>86</v>
      </c>
      <c r="I1628" t="s">
        <v>60</v>
      </c>
      <c r="J1628" s="2">
        <v>5</v>
      </c>
      <c r="K1628" s="3">
        <v>1816.8</v>
      </c>
      <c r="L1628" s="3">
        <v>1190.3499999999999</v>
      </c>
      <c r="M1628" s="4">
        <v>0</v>
      </c>
      <c r="N1628" s="3">
        <f t="shared" si="125"/>
        <v>9084</v>
      </c>
      <c r="O1628" s="3">
        <f t="shared" si="126"/>
        <v>9084</v>
      </c>
      <c r="P1628" s="3">
        <f t="shared" si="127"/>
        <v>5951.75</v>
      </c>
      <c r="Q1628" s="3">
        <f t="shared" si="128"/>
        <v>3132.25</v>
      </c>
      <c r="R1628" s="4">
        <f t="shared" si="129"/>
        <v>0.3448</v>
      </c>
      <c r="S1628" s="2">
        <v>14</v>
      </c>
      <c r="T1628" t="s">
        <v>30</v>
      </c>
      <c r="U1628">
        <v>2</v>
      </c>
    </row>
    <row r="1629" spans="1:21" x14ac:dyDescent="0.25">
      <c r="A1629" s="1">
        <v>46074</v>
      </c>
      <c r="B1629" t="s">
        <v>1822</v>
      </c>
      <c r="C1629" t="s">
        <v>166</v>
      </c>
      <c r="D1629" t="s">
        <v>24</v>
      </c>
      <c r="E1629" t="s">
        <v>25</v>
      </c>
      <c r="F1629" t="s">
        <v>36</v>
      </c>
      <c r="G1629" t="s">
        <v>37</v>
      </c>
      <c r="H1629" t="s">
        <v>104</v>
      </c>
      <c r="I1629" t="s">
        <v>74</v>
      </c>
      <c r="J1629" s="2">
        <v>6</v>
      </c>
      <c r="K1629" s="3">
        <v>319.2</v>
      </c>
      <c r="L1629" s="3">
        <v>140.94999999999999</v>
      </c>
      <c r="M1629" s="4">
        <v>0</v>
      </c>
      <c r="N1629" s="3">
        <f t="shared" si="125"/>
        <v>1915.2</v>
      </c>
      <c r="O1629" s="3">
        <f t="shared" si="126"/>
        <v>1915.2</v>
      </c>
      <c r="P1629" s="3">
        <f t="shared" si="127"/>
        <v>845.7</v>
      </c>
      <c r="Q1629" s="3">
        <f t="shared" si="128"/>
        <v>1069.5</v>
      </c>
      <c r="R1629" s="4">
        <f t="shared" si="129"/>
        <v>0.55840000000000001</v>
      </c>
      <c r="S1629" s="2">
        <v>11</v>
      </c>
      <c r="T1629" t="s">
        <v>30</v>
      </c>
      <c r="U1629">
        <v>4</v>
      </c>
    </row>
    <row r="1630" spans="1:21" x14ac:dyDescent="0.25">
      <c r="A1630" s="1">
        <v>46079</v>
      </c>
      <c r="B1630" t="s">
        <v>1823</v>
      </c>
      <c r="C1630" t="s">
        <v>155</v>
      </c>
      <c r="D1630" t="s">
        <v>126</v>
      </c>
      <c r="E1630" t="s">
        <v>57</v>
      </c>
      <c r="F1630" t="s">
        <v>58</v>
      </c>
      <c r="G1630" t="s">
        <v>37</v>
      </c>
      <c r="H1630" t="s">
        <v>104</v>
      </c>
      <c r="I1630" t="s">
        <v>74</v>
      </c>
      <c r="J1630" s="2">
        <v>8</v>
      </c>
      <c r="K1630" s="3">
        <v>303.72000000000003</v>
      </c>
      <c r="L1630" s="3">
        <v>129.9</v>
      </c>
      <c r="M1630" s="4">
        <v>3.5000000000000003E-2</v>
      </c>
      <c r="N1630" s="3">
        <f t="shared" si="125"/>
        <v>2429.7600000000002</v>
      </c>
      <c r="O1630" s="3">
        <f t="shared" si="126"/>
        <v>2344.7199999999998</v>
      </c>
      <c r="P1630" s="3">
        <f t="shared" si="127"/>
        <v>1039.2</v>
      </c>
      <c r="Q1630" s="3">
        <f t="shared" si="128"/>
        <v>1305.52</v>
      </c>
      <c r="R1630" s="4">
        <f t="shared" si="129"/>
        <v>0.55679999999999996</v>
      </c>
      <c r="S1630" s="2">
        <v>9</v>
      </c>
      <c r="T1630" t="s">
        <v>46</v>
      </c>
      <c r="U1630">
        <v>4</v>
      </c>
    </row>
    <row r="1631" spans="1:21" x14ac:dyDescent="0.25">
      <c r="A1631" s="1">
        <v>46216</v>
      </c>
      <c r="B1631" t="s">
        <v>1824</v>
      </c>
      <c r="C1631" t="s">
        <v>201</v>
      </c>
      <c r="D1631" t="s">
        <v>43</v>
      </c>
      <c r="E1631" t="s">
        <v>25</v>
      </c>
      <c r="F1631" t="s">
        <v>64</v>
      </c>
      <c r="G1631" t="s">
        <v>27</v>
      </c>
      <c r="H1631" t="s">
        <v>68</v>
      </c>
      <c r="I1631" t="s">
        <v>53</v>
      </c>
      <c r="J1631" s="2">
        <v>2</v>
      </c>
      <c r="K1631" s="3">
        <v>1249.42</v>
      </c>
      <c r="L1631" s="3">
        <v>827.97</v>
      </c>
      <c r="M1631" s="4">
        <v>1.5299999999999999E-2</v>
      </c>
      <c r="N1631" s="3">
        <f t="shared" si="125"/>
        <v>2498.84</v>
      </c>
      <c r="O1631" s="3">
        <f t="shared" si="126"/>
        <v>2460.61</v>
      </c>
      <c r="P1631" s="3">
        <f t="shared" si="127"/>
        <v>1655.94</v>
      </c>
      <c r="Q1631" s="3">
        <f t="shared" si="128"/>
        <v>804.67</v>
      </c>
      <c r="R1631" s="4">
        <f t="shared" si="129"/>
        <v>0.32700000000000001</v>
      </c>
      <c r="S1631" s="2">
        <v>10</v>
      </c>
      <c r="T1631" t="s">
        <v>40</v>
      </c>
    </row>
    <row r="1632" spans="1:21" x14ac:dyDescent="0.25">
      <c r="A1632" s="1">
        <v>46213</v>
      </c>
      <c r="B1632" t="s">
        <v>1825</v>
      </c>
      <c r="C1632" t="s">
        <v>275</v>
      </c>
      <c r="D1632" t="s">
        <v>56</v>
      </c>
      <c r="E1632" t="s">
        <v>57</v>
      </c>
      <c r="F1632" t="s">
        <v>26</v>
      </c>
      <c r="G1632" t="s">
        <v>51</v>
      </c>
      <c r="H1632" t="s">
        <v>116</v>
      </c>
      <c r="I1632" t="s">
        <v>53</v>
      </c>
      <c r="J1632" s="2">
        <v>4</v>
      </c>
      <c r="K1632" s="3">
        <v>2822.83</v>
      </c>
      <c r="L1632" s="3">
        <v>1889.32</v>
      </c>
      <c r="M1632" s="4">
        <v>7.3599999999999999E-2</v>
      </c>
      <c r="N1632" s="3">
        <f t="shared" si="125"/>
        <v>11291.32</v>
      </c>
      <c r="O1632" s="3">
        <f t="shared" si="126"/>
        <v>10460.280000000001</v>
      </c>
      <c r="P1632" s="3">
        <f t="shared" si="127"/>
        <v>7557.28</v>
      </c>
      <c r="Q1632" s="3">
        <f t="shared" si="128"/>
        <v>2903</v>
      </c>
      <c r="R1632" s="4">
        <f t="shared" si="129"/>
        <v>0.27750000000000002</v>
      </c>
      <c r="S1632" s="2">
        <v>11</v>
      </c>
      <c r="T1632" t="s">
        <v>30</v>
      </c>
      <c r="U1632">
        <v>3</v>
      </c>
    </row>
    <row r="1633" spans="1:21" x14ac:dyDescent="0.25">
      <c r="A1633" s="1">
        <v>46162</v>
      </c>
      <c r="B1633" t="s">
        <v>1826</v>
      </c>
      <c r="C1633" t="s">
        <v>358</v>
      </c>
      <c r="D1633" t="s">
        <v>139</v>
      </c>
      <c r="E1633" t="s">
        <v>72</v>
      </c>
      <c r="F1633" t="s">
        <v>26</v>
      </c>
      <c r="G1633" t="s">
        <v>27</v>
      </c>
      <c r="H1633" t="s">
        <v>28</v>
      </c>
      <c r="I1633" t="s">
        <v>87</v>
      </c>
      <c r="J1633" s="2">
        <v>6</v>
      </c>
      <c r="K1633" s="3">
        <v>814.06</v>
      </c>
      <c r="L1633" s="3">
        <v>462.9</v>
      </c>
      <c r="M1633" s="4">
        <v>1.8E-3</v>
      </c>
      <c r="N1633" s="3">
        <f t="shared" si="125"/>
        <v>4884.3599999999997</v>
      </c>
      <c r="O1633" s="3">
        <f t="shared" si="126"/>
        <v>4875.57</v>
      </c>
      <c r="P1633" s="3">
        <f t="shared" si="127"/>
        <v>2777.4</v>
      </c>
      <c r="Q1633" s="3">
        <f t="shared" si="128"/>
        <v>2098.17</v>
      </c>
      <c r="R1633" s="4">
        <f t="shared" si="129"/>
        <v>0.43030000000000002</v>
      </c>
      <c r="S1633" s="2">
        <v>8</v>
      </c>
      <c r="T1633" t="s">
        <v>46</v>
      </c>
      <c r="U1633">
        <v>3</v>
      </c>
    </row>
    <row r="1634" spans="1:21" x14ac:dyDescent="0.25">
      <c r="A1634" s="1">
        <v>46077</v>
      </c>
      <c r="B1634" t="s">
        <v>1827</v>
      </c>
      <c r="C1634" t="s">
        <v>220</v>
      </c>
      <c r="D1634" t="s">
        <v>101</v>
      </c>
      <c r="E1634" t="s">
        <v>35</v>
      </c>
      <c r="F1634" t="s">
        <v>58</v>
      </c>
      <c r="G1634" t="s">
        <v>27</v>
      </c>
      <c r="H1634" t="s">
        <v>68</v>
      </c>
      <c r="I1634" t="s">
        <v>74</v>
      </c>
      <c r="J1634" s="2">
        <v>5</v>
      </c>
      <c r="K1634" s="3">
        <v>1261.23</v>
      </c>
      <c r="L1634" s="3">
        <v>798.8</v>
      </c>
      <c r="M1634" s="4">
        <v>6.7000000000000004E-2</v>
      </c>
      <c r="N1634" s="3">
        <f t="shared" si="125"/>
        <v>6306.15</v>
      </c>
      <c r="O1634" s="3">
        <f t="shared" si="126"/>
        <v>5883.64</v>
      </c>
      <c r="P1634" s="3">
        <f t="shared" si="127"/>
        <v>3994</v>
      </c>
      <c r="Q1634" s="3">
        <f t="shared" si="128"/>
        <v>1889.64</v>
      </c>
      <c r="R1634" s="4">
        <f t="shared" si="129"/>
        <v>0.32119999999999999</v>
      </c>
      <c r="S1634" s="2">
        <v>3</v>
      </c>
      <c r="T1634" t="s">
        <v>46</v>
      </c>
      <c r="U1634">
        <v>5</v>
      </c>
    </row>
    <row r="1635" spans="1:21" x14ac:dyDescent="0.25">
      <c r="A1635" s="1">
        <v>46125</v>
      </c>
      <c r="B1635" t="s">
        <v>1828</v>
      </c>
      <c r="C1635" t="s">
        <v>329</v>
      </c>
      <c r="D1635" t="s">
        <v>126</v>
      </c>
      <c r="E1635" t="s">
        <v>57</v>
      </c>
      <c r="F1635" t="s">
        <v>64</v>
      </c>
      <c r="G1635" t="s">
        <v>37</v>
      </c>
      <c r="H1635" t="s">
        <v>104</v>
      </c>
      <c r="I1635" t="s">
        <v>94</v>
      </c>
      <c r="J1635" s="2">
        <v>8</v>
      </c>
      <c r="K1635" s="3">
        <v>320.39999999999998</v>
      </c>
      <c r="L1635" s="3">
        <v>140.38</v>
      </c>
      <c r="M1635" s="4">
        <v>3.9E-2</v>
      </c>
      <c r="N1635" s="3">
        <f t="shared" si="125"/>
        <v>2563.1999999999998</v>
      </c>
      <c r="O1635" s="3">
        <f t="shared" si="126"/>
        <v>2463.2399999999998</v>
      </c>
      <c r="P1635" s="3">
        <f t="shared" si="127"/>
        <v>1123.04</v>
      </c>
      <c r="Q1635" s="3">
        <f t="shared" si="128"/>
        <v>1340.2</v>
      </c>
      <c r="R1635" s="4">
        <f t="shared" si="129"/>
        <v>0.54410000000000003</v>
      </c>
      <c r="S1635" s="2">
        <v>8</v>
      </c>
      <c r="T1635" t="s">
        <v>46</v>
      </c>
      <c r="U1635">
        <v>5</v>
      </c>
    </row>
    <row r="1636" spans="1:21" x14ac:dyDescent="0.25">
      <c r="A1636" s="1">
        <v>46233</v>
      </c>
      <c r="B1636" t="s">
        <v>1829</v>
      </c>
      <c r="C1636" t="s">
        <v>247</v>
      </c>
      <c r="D1636" t="s">
        <v>43</v>
      </c>
      <c r="E1636" t="s">
        <v>25</v>
      </c>
      <c r="F1636" t="s">
        <v>64</v>
      </c>
      <c r="G1636" t="s">
        <v>44</v>
      </c>
      <c r="H1636" t="s">
        <v>124</v>
      </c>
      <c r="I1636" t="s">
        <v>65</v>
      </c>
      <c r="J1636" s="2">
        <v>8</v>
      </c>
      <c r="K1636" s="3">
        <v>5822.7</v>
      </c>
      <c r="L1636" s="3">
        <v>4360.7700000000004</v>
      </c>
      <c r="M1636" s="4">
        <v>0.10589999999999999</v>
      </c>
      <c r="N1636" s="3">
        <f t="shared" si="125"/>
        <v>46581.599999999999</v>
      </c>
      <c r="O1636" s="3">
        <f t="shared" si="126"/>
        <v>41648.61</v>
      </c>
      <c r="P1636" s="3">
        <f t="shared" si="127"/>
        <v>34886.160000000003</v>
      </c>
      <c r="Q1636" s="3">
        <f t="shared" si="128"/>
        <v>6762.45</v>
      </c>
      <c r="R1636" s="4">
        <f t="shared" si="129"/>
        <v>0.16239999999999999</v>
      </c>
      <c r="S1636" s="2">
        <v>6</v>
      </c>
      <c r="T1636" t="s">
        <v>46</v>
      </c>
      <c r="U1636">
        <v>3</v>
      </c>
    </row>
    <row r="1637" spans="1:21" x14ac:dyDescent="0.25">
      <c r="A1637" s="1">
        <v>46049</v>
      </c>
      <c r="B1637" t="s">
        <v>1830</v>
      </c>
      <c r="C1637" t="s">
        <v>609</v>
      </c>
      <c r="D1637" t="s">
        <v>139</v>
      </c>
      <c r="E1637" t="s">
        <v>72</v>
      </c>
      <c r="F1637" t="s">
        <v>26</v>
      </c>
      <c r="G1637" t="s">
        <v>51</v>
      </c>
      <c r="H1637" t="s">
        <v>52</v>
      </c>
      <c r="I1637" t="s">
        <v>87</v>
      </c>
      <c r="J1637" s="2">
        <v>6</v>
      </c>
      <c r="K1637" s="3">
        <v>255.44</v>
      </c>
      <c r="L1637" s="3">
        <v>127.85</v>
      </c>
      <c r="M1637" s="4">
        <v>5.3999999999999999E-2</v>
      </c>
      <c r="N1637" s="3">
        <f t="shared" si="125"/>
        <v>1532.64</v>
      </c>
      <c r="O1637" s="3">
        <f t="shared" si="126"/>
        <v>1449.88</v>
      </c>
      <c r="P1637" s="3">
        <f t="shared" si="127"/>
        <v>767.1</v>
      </c>
      <c r="Q1637" s="3">
        <f t="shared" si="128"/>
        <v>682.78</v>
      </c>
      <c r="R1637" s="4">
        <f t="shared" si="129"/>
        <v>0.47089999999999999</v>
      </c>
      <c r="S1637" s="2">
        <v>14</v>
      </c>
      <c r="T1637" t="s">
        <v>30</v>
      </c>
      <c r="U1637">
        <v>2</v>
      </c>
    </row>
    <row r="1638" spans="1:21" x14ac:dyDescent="0.25">
      <c r="A1638" s="1">
        <v>46068</v>
      </c>
      <c r="B1638" t="s">
        <v>1831</v>
      </c>
      <c r="C1638" t="s">
        <v>466</v>
      </c>
      <c r="D1638" t="s">
        <v>126</v>
      </c>
      <c r="E1638" t="s">
        <v>57</v>
      </c>
      <c r="F1638" t="s">
        <v>58</v>
      </c>
      <c r="G1638" t="s">
        <v>44</v>
      </c>
      <c r="H1638" t="s">
        <v>73</v>
      </c>
      <c r="I1638" t="s">
        <v>53</v>
      </c>
      <c r="J1638" s="2">
        <v>4</v>
      </c>
      <c r="K1638" s="3">
        <v>1649.15</v>
      </c>
      <c r="L1638" s="3">
        <v>1080.29</v>
      </c>
      <c r="M1638" s="4">
        <v>3.9399999999999998E-2</v>
      </c>
      <c r="N1638" s="3">
        <f t="shared" si="125"/>
        <v>6596.6</v>
      </c>
      <c r="O1638" s="3">
        <f t="shared" si="126"/>
        <v>6336.69</v>
      </c>
      <c r="P1638" s="3">
        <f t="shared" si="127"/>
        <v>4321.16</v>
      </c>
      <c r="Q1638" s="3">
        <f t="shared" si="128"/>
        <v>2015.53</v>
      </c>
      <c r="R1638" s="4">
        <f t="shared" si="129"/>
        <v>0.31809999999999999</v>
      </c>
      <c r="S1638" s="2">
        <v>4</v>
      </c>
      <c r="T1638" t="s">
        <v>46</v>
      </c>
      <c r="U1638">
        <v>5</v>
      </c>
    </row>
    <row r="1639" spans="1:21" x14ac:dyDescent="0.25">
      <c r="A1639" s="1">
        <v>46222</v>
      </c>
      <c r="B1639" t="s">
        <v>1832</v>
      </c>
      <c r="C1639" t="s">
        <v>33</v>
      </c>
      <c r="D1639" t="s">
        <v>139</v>
      </c>
      <c r="E1639" t="s">
        <v>72</v>
      </c>
      <c r="F1639" t="s">
        <v>26</v>
      </c>
      <c r="G1639" t="s">
        <v>27</v>
      </c>
      <c r="H1639" t="s">
        <v>68</v>
      </c>
      <c r="I1639" t="s">
        <v>65</v>
      </c>
      <c r="J1639" s="2">
        <v>8</v>
      </c>
      <c r="K1639" s="3">
        <v>1327.35</v>
      </c>
      <c r="L1639" s="3">
        <v>774.59</v>
      </c>
      <c r="M1639" s="4">
        <v>0</v>
      </c>
      <c r="N1639" s="3">
        <f t="shared" si="125"/>
        <v>10618.8</v>
      </c>
      <c r="O1639" s="3">
        <f t="shared" si="126"/>
        <v>10618.8</v>
      </c>
      <c r="P1639" s="3">
        <f t="shared" si="127"/>
        <v>6196.72</v>
      </c>
      <c r="Q1639" s="3">
        <f t="shared" si="128"/>
        <v>4422.08</v>
      </c>
      <c r="R1639" s="4">
        <f t="shared" si="129"/>
        <v>0.41639999999999999</v>
      </c>
      <c r="S1639" s="2">
        <v>11</v>
      </c>
      <c r="T1639" t="s">
        <v>40</v>
      </c>
    </row>
    <row r="1640" spans="1:21" x14ac:dyDescent="0.25">
      <c r="A1640" s="1">
        <v>46229</v>
      </c>
      <c r="B1640" t="s">
        <v>1833</v>
      </c>
      <c r="C1640" t="s">
        <v>129</v>
      </c>
      <c r="D1640" t="s">
        <v>130</v>
      </c>
      <c r="E1640" t="s">
        <v>72</v>
      </c>
      <c r="F1640" t="s">
        <v>58</v>
      </c>
      <c r="G1640" t="s">
        <v>51</v>
      </c>
      <c r="H1640" t="s">
        <v>116</v>
      </c>
      <c r="I1640" t="s">
        <v>92</v>
      </c>
      <c r="J1640" s="2">
        <v>4</v>
      </c>
      <c r="K1640" s="3">
        <v>2856.2</v>
      </c>
      <c r="L1640" s="3">
        <v>1865.92</v>
      </c>
      <c r="M1640" s="4">
        <v>3.7600000000000001E-2</v>
      </c>
      <c r="N1640" s="3">
        <f t="shared" si="125"/>
        <v>11424.8</v>
      </c>
      <c r="O1640" s="3">
        <f t="shared" si="126"/>
        <v>10995.23</v>
      </c>
      <c r="P1640" s="3">
        <f t="shared" si="127"/>
        <v>7463.68</v>
      </c>
      <c r="Q1640" s="3">
        <f t="shared" si="128"/>
        <v>3531.55</v>
      </c>
      <c r="R1640" s="4">
        <f t="shared" si="129"/>
        <v>0.32119999999999999</v>
      </c>
      <c r="S1640" s="2">
        <v>10</v>
      </c>
      <c r="T1640" t="s">
        <v>46</v>
      </c>
      <c r="U1640">
        <v>4</v>
      </c>
    </row>
    <row r="1641" spans="1:21" x14ac:dyDescent="0.25">
      <c r="A1641" s="1">
        <v>46214</v>
      </c>
      <c r="B1641" t="s">
        <v>1834</v>
      </c>
      <c r="C1641" t="s">
        <v>79</v>
      </c>
      <c r="D1641" t="s">
        <v>139</v>
      </c>
      <c r="E1641" t="s">
        <v>72</v>
      </c>
      <c r="F1641" t="s">
        <v>26</v>
      </c>
      <c r="G1641" t="s">
        <v>44</v>
      </c>
      <c r="H1641" t="s">
        <v>73</v>
      </c>
      <c r="I1641" t="s">
        <v>65</v>
      </c>
      <c r="J1641" s="2">
        <v>3</v>
      </c>
      <c r="K1641" s="3">
        <v>1717.85</v>
      </c>
      <c r="L1641" s="3">
        <v>1140.0899999999999</v>
      </c>
      <c r="M1641" s="4">
        <v>8.2299999999999998E-2</v>
      </c>
      <c r="N1641" s="3">
        <f t="shared" si="125"/>
        <v>5153.55</v>
      </c>
      <c r="O1641" s="3">
        <f t="shared" si="126"/>
        <v>4729.41</v>
      </c>
      <c r="P1641" s="3">
        <f t="shared" si="127"/>
        <v>3420.27</v>
      </c>
      <c r="Q1641" s="3">
        <f t="shared" si="128"/>
        <v>1309.1400000000001</v>
      </c>
      <c r="R1641" s="4">
        <f t="shared" si="129"/>
        <v>0.27679999999999999</v>
      </c>
      <c r="S1641" s="2">
        <v>2</v>
      </c>
      <c r="T1641" t="s">
        <v>46</v>
      </c>
      <c r="U1641">
        <v>3</v>
      </c>
    </row>
    <row r="1642" spans="1:21" x14ac:dyDescent="0.25">
      <c r="A1642" s="1">
        <v>46218</v>
      </c>
      <c r="B1642" t="s">
        <v>1835</v>
      </c>
      <c r="C1642" t="s">
        <v>480</v>
      </c>
      <c r="D1642" t="s">
        <v>71</v>
      </c>
      <c r="E1642" t="s">
        <v>72</v>
      </c>
      <c r="F1642" t="s">
        <v>26</v>
      </c>
      <c r="G1642" t="s">
        <v>37</v>
      </c>
      <c r="H1642" t="s">
        <v>38</v>
      </c>
      <c r="I1642" t="s">
        <v>74</v>
      </c>
      <c r="J1642" s="2">
        <v>3</v>
      </c>
      <c r="K1642" s="3">
        <v>450.89</v>
      </c>
      <c r="L1642" s="3">
        <v>206.31</v>
      </c>
      <c r="M1642" s="4">
        <v>6.7900000000000002E-2</v>
      </c>
      <c r="N1642" s="3">
        <f t="shared" si="125"/>
        <v>1352.67</v>
      </c>
      <c r="O1642" s="3">
        <f t="shared" si="126"/>
        <v>1260.82</v>
      </c>
      <c r="P1642" s="3">
        <f t="shared" si="127"/>
        <v>618.92999999999995</v>
      </c>
      <c r="Q1642" s="3">
        <f t="shared" si="128"/>
        <v>641.89</v>
      </c>
      <c r="R1642" s="4">
        <f t="shared" si="129"/>
        <v>0.5091</v>
      </c>
      <c r="S1642" s="2">
        <v>3</v>
      </c>
      <c r="T1642" t="s">
        <v>46</v>
      </c>
      <c r="U1642">
        <v>2</v>
      </c>
    </row>
    <row r="1643" spans="1:21" x14ac:dyDescent="0.25">
      <c r="A1643" s="1">
        <v>46031</v>
      </c>
      <c r="B1643" t="s">
        <v>1836</v>
      </c>
      <c r="C1643" t="s">
        <v>168</v>
      </c>
      <c r="D1643" t="s">
        <v>56</v>
      </c>
      <c r="E1643" t="s">
        <v>57</v>
      </c>
      <c r="F1643" t="s">
        <v>58</v>
      </c>
      <c r="G1643" t="s">
        <v>37</v>
      </c>
      <c r="H1643" t="s">
        <v>104</v>
      </c>
      <c r="I1643" t="s">
        <v>92</v>
      </c>
      <c r="J1643" s="2">
        <v>6</v>
      </c>
      <c r="K1643" s="3">
        <v>306.52</v>
      </c>
      <c r="L1643" s="3">
        <v>131.19999999999999</v>
      </c>
      <c r="M1643" s="4">
        <v>8.2500000000000004E-2</v>
      </c>
      <c r="N1643" s="3">
        <f t="shared" si="125"/>
        <v>1839.12</v>
      </c>
      <c r="O1643" s="3">
        <f t="shared" si="126"/>
        <v>1687.39</v>
      </c>
      <c r="P1643" s="3">
        <f t="shared" si="127"/>
        <v>787.2</v>
      </c>
      <c r="Q1643" s="3">
        <f t="shared" si="128"/>
        <v>900.19</v>
      </c>
      <c r="R1643" s="4">
        <f t="shared" si="129"/>
        <v>0.53349999999999997</v>
      </c>
      <c r="S1643" s="2">
        <v>10</v>
      </c>
      <c r="T1643" t="s">
        <v>46</v>
      </c>
      <c r="U1643">
        <v>2</v>
      </c>
    </row>
    <row r="1644" spans="1:21" x14ac:dyDescent="0.25">
      <c r="A1644" s="1">
        <v>46071</v>
      </c>
      <c r="B1644" t="s">
        <v>1837</v>
      </c>
      <c r="C1644" t="s">
        <v>82</v>
      </c>
      <c r="D1644" t="s">
        <v>56</v>
      </c>
      <c r="E1644" t="s">
        <v>57</v>
      </c>
      <c r="F1644" t="s">
        <v>36</v>
      </c>
      <c r="G1644" t="s">
        <v>37</v>
      </c>
      <c r="H1644" t="s">
        <v>104</v>
      </c>
      <c r="I1644" t="s">
        <v>39</v>
      </c>
      <c r="J1644" s="2">
        <v>7</v>
      </c>
      <c r="K1644" s="3">
        <v>326.12</v>
      </c>
      <c r="L1644" s="3">
        <v>140.02000000000001</v>
      </c>
      <c r="M1644" s="4">
        <v>0.12189999999999999</v>
      </c>
      <c r="N1644" s="3">
        <f t="shared" si="125"/>
        <v>2282.84</v>
      </c>
      <c r="O1644" s="3">
        <f t="shared" si="126"/>
        <v>2004.56</v>
      </c>
      <c r="P1644" s="3">
        <f t="shared" si="127"/>
        <v>980.14</v>
      </c>
      <c r="Q1644" s="3">
        <f t="shared" si="128"/>
        <v>1024.42</v>
      </c>
      <c r="R1644" s="4">
        <f t="shared" si="129"/>
        <v>0.51100000000000001</v>
      </c>
      <c r="S1644" s="2">
        <v>11</v>
      </c>
      <c r="T1644" t="s">
        <v>30</v>
      </c>
      <c r="U1644">
        <v>3</v>
      </c>
    </row>
    <row r="1645" spans="1:21" x14ac:dyDescent="0.25">
      <c r="A1645" s="1">
        <v>46155</v>
      </c>
      <c r="B1645" t="s">
        <v>1838</v>
      </c>
      <c r="C1645" t="s">
        <v>525</v>
      </c>
      <c r="D1645" t="s">
        <v>49</v>
      </c>
      <c r="E1645" t="s">
        <v>50</v>
      </c>
      <c r="F1645" t="s">
        <v>58</v>
      </c>
      <c r="G1645" t="s">
        <v>27</v>
      </c>
      <c r="H1645" t="s">
        <v>86</v>
      </c>
      <c r="I1645" t="s">
        <v>87</v>
      </c>
      <c r="J1645" s="2">
        <v>3</v>
      </c>
      <c r="K1645" s="3">
        <v>1942.44</v>
      </c>
      <c r="L1645" s="3">
        <v>1200.8599999999999</v>
      </c>
      <c r="M1645" s="4">
        <v>3.5000000000000003E-2</v>
      </c>
      <c r="N1645" s="3">
        <f t="shared" si="125"/>
        <v>5827.32</v>
      </c>
      <c r="O1645" s="3">
        <f t="shared" si="126"/>
        <v>5623.36</v>
      </c>
      <c r="P1645" s="3">
        <f t="shared" si="127"/>
        <v>3602.58</v>
      </c>
      <c r="Q1645" s="3">
        <f t="shared" si="128"/>
        <v>2020.78</v>
      </c>
      <c r="R1645" s="4">
        <f t="shared" si="129"/>
        <v>0.3594</v>
      </c>
      <c r="S1645" s="2">
        <v>12</v>
      </c>
      <c r="T1645" t="s">
        <v>30</v>
      </c>
      <c r="U1645">
        <v>2</v>
      </c>
    </row>
    <row r="1646" spans="1:21" x14ac:dyDescent="0.25">
      <c r="A1646" s="1">
        <v>46050</v>
      </c>
      <c r="B1646" t="s">
        <v>1839</v>
      </c>
      <c r="C1646" t="s">
        <v>142</v>
      </c>
      <c r="D1646" t="s">
        <v>63</v>
      </c>
      <c r="E1646" t="s">
        <v>35</v>
      </c>
      <c r="F1646" t="s">
        <v>64</v>
      </c>
      <c r="G1646" t="s">
        <v>37</v>
      </c>
      <c r="H1646" t="s">
        <v>38</v>
      </c>
      <c r="I1646" t="s">
        <v>87</v>
      </c>
      <c r="J1646" s="2">
        <v>1</v>
      </c>
      <c r="K1646" s="3">
        <v>413.27</v>
      </c>
      <c r="L1646" s="3">
        <v>186.26</v>
      </c>
      <c r="M1646" s="4">
        <v>3.7000000000000002E-3</v>
      </c>
      <c r="N1646" s="3">
        <f t="shared" si="125"/>
        <v>413.27</v>
      </c>
      <c r="O1646" s="3">
        <f t="shared" si="126"/>
        <v>411.74</v>
      </c>
      <c r="P1646" s="3">
        <f t="shared" si="127"/>
        <v>186.26</v>
      </c>
      <c r="Q1646" s="3">
        <f t="shared" si="128"/>
        <v>225.48</v>
      </c>
      <c r="R1646" s="4">
        <f t="shared" si="129"/>
        <v>0.54759999999999998</v>
      </c>
      <c r="S1646" s="2">
        <v>14</v>
      </c>
      <c r="T1646" t="s">
        <v>30</v>
      </c>
      <c r="U1646">
        <v>2</v>
      </c>
    </row>
    <row r="1647" spans="1:21" x14ac:dyDescent="0.25">
      <c r="A1647" s="1">
        <v>46152</v>
      </c>
      <c r="B1647" t="s">
        <v>1840</v>
      </c>
      <c r="C1647" t="s">
        <v>288</v>
      </c>
      <c r="D1647" t="s">
        <v>101</v>
      </c>
      <c r="E1647" t="s">
        <v>35</v>
      </c>
      <c r="F1647" t="s">
        <v>26</v>
      </c>
      <c r="G1647" t="s">
        <v>51</v>
      </c>
      <c r="H1647" t="s">
        <v>59</v>
      </c>
      <c r="I1647" t="s">
        <v>39</v>
      </c>
      <c r="J1647" s="2">
        <v>1</v>
      </c>
      <c r="K1647" s="3">
        <v>2180.9299999999998</v>
      </c>
      <c r="L1647" s="3">
        <v>1461.76</v>
      </c>
      <c r="M1647" s="4">
        <v>1.2800000000000001E-2</v>
      </c>
      <c r="N1647" s="3">
        <f t="shared" si="125"/>
        <v>2180.9299999999998</v>
      </c>
      <c r="O1647" s="3">
        <f t="shared" si="126"/>
        <v>2153.0100000000002</v>
      </c>
      <c r="P1647" s="3">
        <f t="shared" si="127"/>
        <v>1461.76</v>
      </c>
      <c r="Q1647" s="3">
        <f t="shared" si="128"/>
        <v>691.25</v>
      </c>
      <c r="R1647" s="4">
        <f t="shared" si="129"/>
        <v>0.3211</v>
      </c>
      <c r="S1647" s="2">
        <v>8</v>
      </c>
      <c r="T1647" t="s">
        <v>46</v>
      </c>
      <c r="U1647">
        <v>2</v>
      </c>
    </row>
    <row r="1648" spans="1:21" x14ac:dyDescent="0.25">
      <c r="A1648" s="1">
        <v>46161</v>
      </c>
      <c r="B1648" t="s">
        <v>1841</v>
      </c>
      <c r="C1648" t="s">
        <v>89</v>
      </c>
      <c r="D1648" t="s">
        <v>130</v>
      </c>
      <c r="E1648" t="s">
        <v>72</v>
      </c>
      <c r="F1648" t="s">
        <v>36</v>
      </c>
      <c r="G1648" t="s">
        <v>51</v>
      </c>
      <c r="H1648" t="s">
        <v>59</v>
      </c>
      <c r="I1648" t="s">
        <v>77</v>
      </c>
      <c r="J1648" s="2">
        <v>3</v>
      </c>
      <c r="K1648" s="3">
        <v>2137.84</v>
      </c>
      <c r="L1648" s="3">
        <v>1478.23</v>
      </c>
      <c r="M1648" s="4">
        <v>0.12640000000000001</v>
      </c>
      <c r="N1648" s="3">
        <f t="shared" si="125"/>
        <v>6413.52</v>
      </c>
      <c r="O1648" s="3">
        <f t="shared" si="126"/>
        <v>5602.85</v>
      </c>
      <c r="P1648" s="3">
        <f t="shared" si="127"/>
        <v>4434.6899999999996</v>
      </c>
      <c r="Q1648" s="3">
        <f t="shared" si="128"/>
        <v>1168.1600000000001</v>
      </c>
      <c r="R1648" s="4">
        <f t="shared" si="129"/>
        <v>0.20849999999999999</v>
      </c>
      <c r="S1648" s="2">
        <v>6</v>
      </c>
      <c r="T1648" t="s">
        <v>46</v>
      </c>
      <c r="U1648">
        <v>3</v>
      </c>
    </row>
    <row r="1649" spans="1:21" x14ac:dyDescent="0.25">
      <c r="A1649" s="1">
        <v>46218</v>
      </c>
      <c r="B1649" t="s">
        <v>1842</v>
      </c>
      <c r="C1649" t="s">
        <v>136</v>
      </c>
      <c r="D1649" t="s">
        <v>71</v>
      </c>
      <c r="E1649" t="s">
        <v>72</v>
      </c>
      <c r="F1649" t="s">
        <v>58</v>
      </c>
      <c r="G1649" t="s">
        <v>44</v>
      </c>
      <c r="H1649" t="s">
        <v>45</v>
      </c>
      <c r="I1649" t="s">
        <v>74</v>
      </c>
      <c r="J1649" s="2">
        <v>6</v>
      </c>
      <c r="K1649" s="3">
        <v>407.89</v>
      </c>
      <c r="L1649" s="3">
        <v>223.01</v>
      </c>
      <c r="M1649" s="4">
        <v>3.5000000000000003E-2</v>
      </c>
      <c r="N1649" s="3">
        <f t="shared" si="125"/>
        <v>2447.34</v>
      </c>
      <c r="O1649" s="3">
        <f t="shared" si="126"/>
        <v>2361.6799999999998</v>
      </c>
      <c r="P1649" s="3">
        <f t="shared" si="127"/>
        <v>1338.06</v>
      </c>
      <c r="Q1649" s="3">
        <f t="shared" si="128"/>
        <v>1023.62</v>
      </c>
      <c r="R1649" s="4">
        <f t="shared" si="129"/>
        <v>0.43340000000000001</v>
      </c>
      <c r="S1649" s="2">
        <v>8</v>
      </c>
      <c r="T1649" t="s">
        <v>46</v>
      </c>
      <c r="U1649">
        <v>5</v>
      </c>
    </row>
    <row r="1650" spans="1:21" x14ac:dyDescent="0.25">
      <c r="A1650" s="1">
        <v>46164</v>
      </c>
      <c r="B1650" t="s">
        <v>1843</v>
      </c>
      <c r="C1650" t="s">
        <v>108</v>
      </c>
      <c r="D1650" t="s">
        <v>34</v>
      </c>
      <c r="E1650" t="s">
        <v>35</v>
      </c>
      <c r="F1650" t="s">
        <v>36</v>
      </c>
      <c r="G1650" t="s">
        <v>27</v>
      </c>
      <c r="H1650" t="s">
        <v>28</v>
      </c>
      <c r="I1650" t="s">
        <v>87</v>
      </c>
      <c r="J1650" s="2">
        <v>6</v>
      </c>
      <c r="K1650" s="3">
        <v>786.29</v>
      </c>
      <c r="L1650" s="3">
        <v>475.9</v>
      </c>
      <c r="M1650" s="4">
        <v>0</v>
      </c>
      <c r="N1650" s="3">
        <f t="shared" si="125"/>
        <v>4717.74</v>
      </c>
      <c r="O1650" s="3">
        <f t="shared" si="126"/>
        <v>4717.74</v>
      </c>
      <c r="P1650" s="3">
        <f t="shared" si="127"/>
        <v>2855.4</v>
      </c>
      <c r="Q1650" s="3">
        <f t="shared" si="128"/>
        <v>1862.34</v>
      </c>
      <c r="R1650" s="4">
        <f t="shared" si="129"/>
        <v>0.39479999999999998</v>
      </c>
      <c r="S1650" s="2">
        <v>6</v>
      </c>
      <c r="T1650" t="s">
        <v>46</v>
      </c>
      <c r="U1650">
        <v>4</v>
      </c>
    </row>
    <row r="1651" spans="1:21" x14ac:dyDescent="0.25">
      <c r="A1651" s="1">
        <v>46152</v>
      </c>
      <c r="B1651" t="s">
        <v>1844</v>
      </c>
      <c r="C1651" t="s">
        <v>447</v>
      </c>
      <c r="D1651" t="s">
        <v>49</v>
      </c>
      <c r="E1651" t="s">
        <v>50</v>
      </c>
      <c r="F1651" t="s">
        <v>36</v>
      </c>
      <c r="G1651" t="s">
        <v>37</v>
      </c>
      <c r="H1651" t="s">
        <v>104</v>
      </c>
      <c r="I1651" t="s">
        <v>29</v>
      </c>
      <c r="J1651" s="2">
        <v>5</v>
      </c>
      <c r="K1651" s="3">
        <v>304.10000000000002</v>
      </c>
      <c r="L1651" s="3">
        <v>135.53</v>
      </c>
      <c r="M1651" s="4">
        <v>8.8300000000000003E-2</v>
      </c>
      <c r="N1651" s="3">
        <f t="shared" si="125"/>
        <v>1520.5</v>
      </c>
      <c r="O1651" s="3">
        <f t="shared" si="126"/>
        <v>1386.24</v>
      </c>
      <c r="P1651" s="3">
        <f t="shared" si="127"/>
        <v>677.65</v>
      </c>
      <c r="Q1651" s="3">
        <f t="shared" si="128"/>
        <v>708.59</v>
      </c>
      <c r="R1651" s="4">
        <f t="shared" si="129"/>
        <v>0.51119999999999999</v>
      </c>
      <c r="S1651" s="2">
        <v>2</v>
      </c>
      <c r="T1651" t="s">
        <v>46</v>
      </c>
      <c r="U1651">
        <v>3</v>
      </c>
    </row>
    <row r="1652" spans="1:21" x14ac:dyDescent="0.25">
      <c r="A1652" s="1">
        <v>46091</v>
      </c>
      <c r="B1652" t="s">
        <v>1845</v>
      </c>
      <c r="C1652" t="s">
        <v>392</v>
      </c>
      <c r="D1652" t="s">
        <v>34</v>
      </c>
      <c r="E1652" t="s">
        <v>35</v>
      </c>
      <c r="F1652" t="s">
        <v>64</v>
      </c>
      <c r="G1652" t="s">
        <v>51</v>
      </c>
      <c r="H1652" t="s">
        <v>59</v>
      </c>
      <c r="I1652" t="s">
        <v>29</v>
      </c>
      <c r="J1652" s="2">
        <v>6</v>
      </c>
      <c r="K1652" s="3">
        <v>2102.44</v>
      </c>
      <c r="L1652" s="3">
        <v>1462.85</v>
      </c>
      <c r="M1652" s="4">
        <v>3.5799999999999998E-2</v>
      </c>
      <c r="N1652" s="3">
        <f t="shared" si="125"/>
        <v>12614.64</v>
      </c>
      <c r="O1652" s="3">
        <f t="shared" si="126"/>
        <v>12163.04</v>
      </c>
      <c r="P1652" s="3">
        <f t="shared" si="127"/>
        <v>8777.1</v>
      </c>
      <c r="Q1652" s="3">
        <f t="shared" si="128"/>
        <v>3385.94</v>
      </c>
      <c r="R1652" s="4">
        <f t="shared" si="129"/>
        <v>0.27839999999999998</v>
      </c>
      <c r="S1652" s="2">
        <v>7</v>
      </c>
      <c r="T1652" t="s">
        <v>46</v>
      </c>
      <c r="U1652">
        <v>2</v>
      </c>
    </row>
    <row r="1653" spans="1:21" x14ac:dyDescent="0.25">
      <c r="A1653" s="1">
        <v>46108</v>
      </c>
      <c r="B1653" t="s">
        <v>1846</v>
      </c>
      <c r="C1653" t="s">
        <v>134</v>
      </c>
      <c r="D1653" t="s">
        <v>130</v>
      </c>
      <c r="E1653" t="s">
        <v>72</v>
      </c>
      <c r="F1653" t="s">
        <v>26</v>
      </c>
      <c r="G1653" t="s">
        <v>37</v>
      </c>
      <c r="H1653" t="s">
        <v>104</v>
      </c>
      <c r="I1653" t="s">
        <v>74</v>
      </c>
      <c r="J1653" s="2">
        <v>1</v>
      </c>
      <c r="K1653" s="3">
        <v>313.08999999999997</v>
      </c>
      <c r="L1653" s="3">
        <v>134.68</v>
      </c>
      <c r="M1653" s="4">
        <v>1.04E-2</v>
      </c>
      <c r="N1653" s="3">
        <f t="shared" si="125"/>
        <v>313.08999999999997</v>
      </c>
      <c r="O1653" s="3">
        <f t="shared" si="126"/>
        <v>309.83</v>
      </c>
      <c r="P1653" s="3">
        <f t="shared" si="127"/>
        <v>134.68</v>
      </c>
      <c r="Q1653" s="3">
        <f t="shared" si="128"/>
        <v>175.15</v>
      </c>
      <c r="R1653" s="4">
        <f t="shared" si="129"/>
        <v>0.56530000000000002</v>
      </c>
      <c r="S1653" s="2">
        <v>5</v>
      </c>
      <c r="T1653" t="s">
        <v>46</v>
      </c>
      <c r="U1653">
        <v>3</v>
      </c>
    </row>
    <row r="1654" spans="1:21" x14ac:dyDescent="0.25">
      <c r="A1654" s="1">
        <v>46086</v>
      </c>
      <c r="B1654" t="s">
        <v>1847</v>
      </c>
      <c r="C1654" t="s">
        <v>144</v>
      </c>
      <c r="D1654" t="s">
        <v>97</v>
      </c>
      <c r="E1654" t="s">
        <v>57</v>
      </c>
      <c r="F1654" t="s">
        <v>26</v>
      </c>
      <c r="G1654" t="s">
        <v>27</v>
      </c>
      <c r="H1654" t="s">
        <v>28</v>
      </c>
      <c r="I1654" t="s">
        <v>60</v>
      </c>
      <c r="J1654" s="2">
        <v>8</v>
      </c>
      <c r="K1654" s="3">
        <v>744.31</v>
      </c>
      <c r="L1654" s="3">
        <v>474.29</v>
      </c>
      <c r="M1654" s="4">
        <v>0</v>
      </c>
      <c r="N1654" s="3">
        <f t="shared" si="125"/>
        <v>5954.48</v>
      </c>
      <c r="O1654" s="3">
        <f t="shared" si="126"/>
        <v>5954.48</v>
      </c>
      <c r="P1654" s="3">
        <f t="shared" si="127"/>
        <v>3794.32</v>
      </c>
      <c r="Q1654" s="3">
        <f t="shared" si="128"/>
        <v>2160.16</v>
      </c>
      <c r="R1654" s="4">
        <f t="shared" si="129"/>
        <v>0.36280000000000001</v>
      </c>
      <c r="S1654" s="2">
        <v>6</v>
      </c>
      <c r="T1654" t="s">
        <v>46</v>
      </c>
      <c r="U1654">
        <v>5</v>
      </c>
    </row>
    <row r="1655" spans="1:21" x14ac:dyDescent="0.25">
      <c r="A1655" s="1">
        <v>46046</v>
      </c>
      <c r="B1655" t="s">
        <v>1848</v>
      </c>
      <c r="C1655" t="s">
        <v>100</v>
      </c>
      <c r="D1655" t="s">
        <v>49</v>
      </c>
      <c r="E1655" t="s">
        <v>50</v>
      </c>
      <c r="F1655" t="s">
        <v>36</v>
      </c>
      <c r="G1655" t="s">
        <v>27</v>
      </c>
      <c r="H1655" t="s">
        <v>86</v>
      </c>
      <c r="I1655" t="s">
        <v>65</v>
      </c>
      <c r="J1655" s="2">
        <v>5</v>
      </c>
      <c r="K1655" s="3">
        <v>1882.52</v>
      </c>
      <c r="L1655" s="3">
        <v>1232.3499999999999</v>
      </c>
      <c r="M1655" s="4">
        <v>1.5900000000000001E-2</v>
      </c>
      <c r="N1655" s="3">
        <f t="shared" si="125"/>
        <v>9412.6</v>
      </c>
      <c r="O1655" s="3">
        <f t="shared" si="126"/>
        <v>9262.94</v>
      </c>
      <c r="P1655" s="3">
        <f t="shared" si="127"/>
        <v>6161.75</v>
      </c>
      <c r="Q1655" s="3">
        <f t="shared" si="128"/>
        <v>3101.19</v>
      </c>
      <c r="R1655" s="4">
        <f t="shared" si="129"/>
        <v>0.33479999999999999</v>
      </c>
      <c r="S1655" s="2">
        <v>4</v>
      </c>
      <c r="T1655" t="s">
        <v>46</v>
      </c>
      <c r="U1655">
        <v>3</v>
      </c>
    </row>
    <row r="1656" spans="1:21" x14ac:dyDescent="0.25">
      <c r="A1656" s="1">
        <v>46043</v>
      </c>
      <c r="B1656" t="s">
        <v>1849</v>
      </c>
      <c r="C1656" t="s">
        <v>447</v>
      </c>
      <c r="D1656" t="s">
        <v>97</v>
      </c>
      <c r="E1656" t="s">
        <v>57</v>
      </c>
      <c r="F1656" t="s">
        <v>26</v>
      </c>
      <c r="G1656" t="s">
        <v>44</v>
      </c>
      <c r="H1656" t="s">
        <v>45</v>
      </c>
      <c r="I1656" t="s">
        <v>92</v>
      </c>
      <c r="J1656" s="2">
        <v>5</v>
      </c>
      <c r="K1656" s="3">
        <v>397.49</v>
      </c>
      <c r="L1656" s="3">
        <v>203.31</v>
      </c>
      <c r="M1656" s="4">
        <v>0</v>
      </c>
      <c r="N1656" s="3">
        <f t="shared" si="125"/>
        <v>1987.45</v>
      </c>
      <c r="O1656" s="3">
        <f t="shared" si="126"/>
        <v>1987.45</v>
      </c>
      <c r="P1656" s="3">
        <f t="shared" si="127"/>
        <v>1016.55</v>
      </c>
      <c r="Q1656" s="3">
        <f t="shared" si="128"/>
        <v>970.9</v>
      </c>
      <c r="R1656" s="4">
        <f t="shared" si="129"/>
        <v>0.48849999999999999</v>
      </c>
      <c r="S1656" s="2">
        <v>11</v>
      </c>
      <c r="T1656" t="s">
        <v>30</v>
      </c>
      <c r="U1656">
        <v>3</v>
      </c>
    </row>
    <row r="1657" spans="1:21" x14ac:dyDescent="0.25">
      <c r="A1657" s="1">
        <v>46220</v>
      </c>
      <c r="B1657" t="s">
        <v>1850</v>
      </c>
      <c r="C1657" t="s">
        <v>112</v>
      </c>
      <c r="D1657" t="s">
        <v>56</v>
      </c>
      <c r="E1657" t="s">
        <v>57</v>
      </c>
      <c r="F1657" t="s">
        <v>64</v>
      </c>
      <c r="G1657" t="s">
        <v>37</v>
      </c>
      <c r="H1657" t="s">
        <v>38</v>
      </c>
      <c r="I1657" t="s">
        <v>65</v>
      </c>
      <c r="J1657" s="2">
        <v>2</v>
      </c>
      <c r="K1657" s="3">
        <v>418.49</v>
      </c>
      <c r="L1657" s="3">
        <v>184.15</v>
      </c>
      <c r="M1657" s="4">
        <v>0</v>
      </c>
      <c r="N1657" s="3">
        <f t="shared" si="125"/>
        <v>836.98</v>
      </c>
      <c r="O1657" s="3">
        <f t="shared" si="126"/>
        <v>836.98</v>
      </c>
      <c r="P1657" s="3">
        <f t="shared" si="127"/>
        <v>368.3</v>
      </c>
      <c r="Q1657" s="3">
        <f t="shared" si="128"/>
        <v>468.68</v>
      </c>
      <c r="R1657" s="4">
        <f t="shared" si="129"/>
        <v>0.56000000000000005</v>
      </c>
      <c r="S1657" s="2">
        <v>9</v>
      </c>
      <c r="T1657" t="s">
        <v>46</v>
      </c>
      <c r="U1657">
        <v>5</v>
      </c>
    </row>
    <row r="1658" spans="1:21" x14ac:dyDescent="0.25">
      <c r="A1658" s="1">
        <v>46173</v>
      </c>
      <c r="B1658" t="s">
        <v>1851</v>
      </c>
      <c r="C1658" t="s">
        <v>609</v>
      </c>
      <c r="D1658" t="s">
        <v>24</v>
      </c>
      <c r="E1658" t="s">
        <v>25</v>
      </c>
      <c r="F1658" t="s">
        <v>26</v>
      </c>
      <c r="G1658" t="s">
        <v>37</v>
      </c>
      <c r="H1658" t="s">
        <v>104</v>
      </c>
      <c r="I1658" t="s">
        <v>94</v>
      </c>
      <c r="J1658" s="2">
        <v>4</v>
      </c>
      <c r="K1658" s="3">
        <v>309.24</v>
      </c>
      <c r="L1658" s="3">
        <v>137.04</v>
      </c>
      <c r="M1658" s="4">
        <v>0</v>
      </c>
      <c r="N1658" s="3">
        <f t="shared" si="125"/>
        <v>1236.96</v>
      </c>
      <c r="O1658" s="3">
        <f t="shared" si="126"/>
        <v>1236.96</v>
      </c>
      <c r="P1658" s="3">
        <f t="shared" si="127"/>
        <v>548.16</v>
      </c>
      <c r="Q1658" s="3">
        <f t="shared" si="128"/>
        <v>688.8</v>
      </c>
      <c r="R1658" s="4">
        <f t="shared" si="129"/>
        <v>0.55679999999999996</v>
      </c>
      <c r="S1658" s="2">
        <v>12</v>
      </c>
      <c r="T1658" t="s">
        <v>30</v>
      </c>
      <c r="U1658">
        <v>5</v>
      </c>
    </row>
    <row r="1659" spans="1:21" x14ac:dyDescent="0.25">
      <c r="A1659" s="1">
        <v>46214</v>
      </c>
      <c r="B1659" t="s">
        <v>1852</v>
      </c>
      <c r="C1659" t="s">
        <v>123</v>
      </c>
      <c r="D1659" t="s">
        <v>207</v>
      </c>
      <c r="E1659" t="s">
        <v>35</v>
      </c>
      <c r="F1659" t="s">
        <v>58</v>
      </c>
      <c r="G1659" t="s">
        <v>51</v>
      </c>
      <c r="H1659" t="s">
        <v>52</v>
      </c>
      <c r="I1659" t="s">
        <v>87</v>
      </c>
      <c r="J1659" s="2">
        <v>8</v>
      </c>
      <c r="K1659" s="3">
        <v>264.01</v>
      </c>
      <c r="L1659" s="3">
        <v>116.31</v>
      </c>
      <c r="M1659" s="4">
        <v>3.5000000000000003E-2</v>
      </c>
      <c r="N1659" s="3">
        <f t="shared" si="125"/>
        <v>2112.08</v>
      </c>
      <c r="O1659" s="3">
        <f t="shared" si="126"/>
        <v>2038.16</v>
      </c>
      <c r="P1659" s="3">
        <f t="shared" si="127"/>
        <v>930.48</v>
      </c>
      <c r="Q1659" s="3">
        <f t="shared" si="128"/>
        <v>1107.68</v>
      </c>
      <c r="R1659" s="4">
        <f t="shared" si="129"/>
        <v>0.54349999999999998</v>
      </c>
      <c r="S1659" s="2">
        <v>3</v>
      </c>
      <c r="T1659" t="s">
        <v>46</v>
      </c>
      <c r="U1659">
        <v>3</v>
      </c>
    </row>
    <row r="1660" spans="1:21" x14ac:dyDescent="0.25">
      <c r="A1660" s="1">
        <v>46073</v>
      </c>
      <c r="B1660" t="s">
        <v>1853</v>
      </c>
      <c r="C1660" t="s">
        <v>55</v>
      </c>
      <c r="D1660" t="s">
        <v>126</v>
      </c>
      <c r="E1660" t="s">
        <v>57</v>
      </c>
      <c r="F1660" t="s">
        <v>64</v>
      </c>
      <c r="G1660" t="s">
        <v>37</v>
      </c>
      <c r="H1660" t="s">
        <v>178</v>
      </c>
      <c r="I1660" t="s">
        <v>29</v>
      </c>
      <c r="J1660" s="2">
        <v>8</v>
      </c>
      <c r="K1660" s="3">
        <v>510.8</v>
      </c>
      <c r="L1660" s="3">
        <v>250.35</v>
      </c>
      <c r="M1660" s="4">
        <v>1.9099999999999999E-2</v>
      </c>
      <c r="N1660" s="3">
        <f t="shared" si="125"/>
        <v>4086.4</v>
      </c>
      <c r="O1660" s="3">
        <f t="shared" si="126"/>
        <v>4008.35</v>
      </c>
      <c r="P1660" s="3">
        <f t="shared" si="127"/>
        <v>2002.8</v>
      </c>
      <c r="Q1660" s="3">
        <f t="shared" si="128"/>
        <v>2005.55</v>
      </c>
      <c r="R1660" s="4">
        <f t="shared" si="129"/>
        <v>0.50029999999999997</v>
      </c>
      <c r="S1660" s="2">
        <v>14</v>
      </c>
      <c r="T1660" t="s">
        <v>30</v>
      </c>
      <c r="U1660">
        <v>5</v>
      </c>
    </row>
    <row r="1661" spans="1:21" x14ac:dyDescent="0.25">
      <c r="A1661" s="1">
        <v>46136</v>
      </c>
      <c r="B1661" t="s">
        <v>1854</v>
      </c>
      <c r="C1661" t="s">
        <v>370</v>
      </c>
      <c r="D1661" t="s">
        <v>85</v>
      </c>
      <c r="E1661" t="s">
        <v>50</v>
      </c>
      <c r="F1661" t="s">
        <v>36</v>
      </c>
      <c r="G1661" t="s">
        <v>51</v>
      </c>
      <c r="H1661" t="s">
        <v>59</v>
      </c>
      <c r="I1661" t="s">
        <v>92</v>
      </c>
      <c r="J1661" s="2">
        <v>3</v>
      </c>
      <c r="K1661" s="3">
        <v>2090.0300000000002</v>
      </c>
      <c r="L1661" s="3">
        <v>1458.18</v>
      </c>
      <c r="M1661" s="4">
        <v>0</v>
      </c>
      <c r="N1661" s="3">
        <f t="shared" si="125"/>
        <v>6270.09</v>
      </c>
      <c r="O1661" s="3">
        <f t="shared" si="126"/>
        <v>6270.09</v>
      </c>
      <c r="P1661" s="3">
        <f t="shared" si="127"/>
        <v>4374.54</v>
      </c>
      <c r="Q1661" s="3">
        <f t="shared" si="128"/>
        <v>1895.55</v>
      </c>
      <c r="R1661" s="4">
        <f t="shared" si="129"/>
        <v>0.30230000000000001</v>
      </c>
      <c r="S1661" s="2">
        <v>7</v>
      </c>
      <c r="T1661" t="s">
        <v>46</v>
      </c>
      <c r="U1661">
        <v>4</v>
      </c>
    </row>
    <row r="1662" spans="1:21" x14ac:dyDescent="0.25">
      <c r="A1662" s="1">
        <v>46135</v>
      </c>
      <c r="B1662" t="s">
        <v>1855</v>
      </c>
      <c r="C1662" t="s">
        <v>433</v>
      </c>
      <c r="D1662" t="s">
        <v>126</v>
      </c>
      <c r="E1662" t="s">
        <v>57</v>
      </c>
      <c r="F1662" t="s">
        <v>36</v>
      </c>
      <c r="G1662" t="s">
        <v>44</v>
      </c>
      <c r="H1662" t="s">
        <v>73</v>
      </c>
      <c r="I1662" t="s">
        <v>77</v>
      </c>
      <c r="J1662" s="2">
        <v>1</v>
      </c>
      <c r="K1662" s="3">
        <v>1600.67</v>
      </c>
      <c r="L1662" s="3">
        <v>1122.24</v>
      </c>
      <c r="M1662" s="4">
        <v>4.8599999999999997E-2</v>
      </c>
      <c r="N1662" s="3">
        <f t="shared" si="125"/>
        <v>1600.67</v>
      </c>
      <c r="O1662" s="3">
        <f t="shared" si="126"/>
        <v>1522.88</v>
      </c>
      <c r="P1662" s="3">
        <f t="shared" si="127"/>
        <v>1122.24</v>
      </c>
      <c r="Q1662" s="3">
        <f t="shared" si="128"/>
        <v>400.64</v>
      </c>
      <c r="R1662" s="4">
        <f t="shared" si="129"/>
        <v>0.2631</v>
      </c>
      <c r="S1662" s="2">
        <v>11</v>
      </c>
      <c r="T1662" t="s">
        <v>40</v>
      </c>
    </row>
    <row r="1663" spans="1:21" x14ac:dyDescent="0.25">
      <c r="A1663" s="1">
        <v>46119</v>
      </c>
      <c r="B1663" t="s">
        <v>1856</v>
      </c>
      <c r="C1663" t="s">
        <v>356</v>
      </c>
      <c r="D1663" t="s">
        <v>56</v>
      </c>
      <c r="E1663" t="s">
        <v>57</v>
      </c>
      <c r="F1663" t="s">
        <v>36</v>
      </c>
      <c r="G1663" t="s">
        <v>37</v>
      </c>
      <c r="H1663" t="s">
        <v>178</v>
      </c>
      <c r="I1663" t="s">
        <v>65</v>
      </c>
      <c r="J1663" s="2">
        <v>8</v>
      </c>
      <c r="K1663" s="3">
        <v>517.27</v>
      </c>
      <c r="L1663" s="3">
        <v>235.39</v>
      </c>
      <c r="M1663" s="4">
        <v>0</v>
      </c>
      <c r="N1663" s="3">
        <f t="shared" si="125"/>
        <v>4138.16</v>
      </c>
      <c r="O1663" s="3">
        <f t="shared" si="126"/>
        <v>4138.16</v>
      </c>
      <c r="P1663" s="3">
        <f t="shared" si="127"/>
        <v>1883.12</v>
      </c>
      <c r="Q1663" s="3">
        <f t="shared" si="128"/>
        <v>2255.04</v>
      </c>
      <c r="R1663" s="4">
        <f t="shared" si="129"/>
        <v>0.54490000000000005</v>
      </c>
      <c r="S1663" s="2">
        <v>11</v>
      </c>
      <c r="T1663" t="s">
        <v>30</v>
      </c>
      <c r="U1663">
        <v>3</v>
      </c>
    </row>
    <row r="1664" spans="1:21" x14ac:dyDescent="0.25">
      <c r="A1664" s="1">
        <v>46067</v>
      </c>
      <c r="B1664" t="s">
        <v>1857</v>
      </c>
      <c r="C1664" t="s">
        <v>180</v>
      </c>
      <c r="D1664" t="s">
        <v>130</v>
      </c>
      <c r="E1664" t="s">
        <v>72</v>
      </c>
      <c r="F1664" t="s">
        <v>26</v>
      </c>
      <c r="G1664" t="s">
        <v>37</v>
      </c>
      <c r="H1664" t="s">
        <v>38</v>
      </c>
      <c r="I1664" t="s">
        <v>77</v>
      </c>
      <c r="J1664" s="2">
        <v>3</v>
      </c>
      <c r="K1664" s="3">
        <v>436.57</v>
      </c>
      <c r="L1664" s="3">
        <v>197.61</v>
      </c>
      <c r="M1664" s="4">
        <v>0</v>
      </c>
      <c r="N1664" s="3">
        <f t="shared" si="125"/>
        <v>1309.71</v>
      </c>
      <c r="O1664" s="3">
        <f t="shared" si="126"/>
        <v>1309.71</v>
      </c>
      <c r="P1664" s="3">
        <f t="shared" si="127"/>
        <v>592.83000000000004</v>
      </c>
      <c r="Q1664" s="3">
        <f t="shared" si="128"/>
        <v>716.88</v>
      </c>
      <c r="R1664" s="4">
        <f t="shared" si="129"/>
        <v>0.5474</v>
      </c>
      <c r="S1664" s="2">
        <v>9</v>
      </c>
      <c r="T1664" t="s">
        <v>46</v>
      </c>
      <c r="U1664">
        <v>3</v>
      </c>
    </row>
    <row r="1665" spans="1:21" x14ac:dyDescent="0.25">
      <c r="A1665" s="1">
        <v>46113</v>
      </c>
      <c r="B1665" t="s">
        <v>1858</v>
      </c>
      <c r="C1665" t="s">
        <v>288</v>
      </c>
      <c r="D1665" t="s">
        <v>101</v>
      </c>
      <c r="E1665" t="s">
        <v>35</v>
      </c>
      <c r="F1665" t="s">
        <v>26</v>
      </c>
      <c r="G1665" t="s">
        <v>51</v>
      </c>
      <c r="H1665" t="s">
        <v>116</v>
      </c>
      <c r="I1665" t="s">
        <v>53</v>
      </c>
      <c r="J1665" s="2">
        <v>8</v>
      </c>
      <c r="K1665" s="3">
        <v>2640.81</v>
      </c>
      <c r="L1665" s="3">
        <v>1865.74</v>
      </c>
      <c r="M1665" s="4">
        <v>7.3700000000000002E-2</v>
      </c>
      <c r="N1665" s="3">
        <f t="shared" si="125"/>
        <v>21126.48</v>
      </c>
      <c r="O1665" s="3">
        <f t="shared" si="126"/>
        <v>19569.46</v>
      </c>
      <c r="P1665" s="3">
        <f t="shared" si="127"/>
        <v>14925.92</v>
      </c>
      <c r="Q1665" s="3">
        <f t="shared" si="128"/>
        <v>4643.54</v>
      </c>
      <c r="R1665" s="4">
        <f t="shared" si="129"/>
        <v>0.23730000000000001</v>
      </c>
      <c r="S1665" s="2">
        <v>13</v>
      </c>
      <c r="T1665" t="s">
        <v>30</v>
      </c>
      <c r="U1665">
        <v>5</v>
      </c>
    </row>
    <row r="1666" spans="1:21" x14ac:dyDescent="0.25">
      <c r="A1666" s="1">
        <v>46181</v>
      </c>
      <c r="B1666" t="s">
        <v>1859</v>
      </c>
      <c r="C1666" t="s">
        <v>331</v>
      </c>
      <c r="D1666" t="s">
        <v>207</v>
      </c>
      <c r="E1666" t="s">
        <v>35</v>
      </c>
      <c r="F1666" t="s">
        <v>26</v>
      </c>
      <c r="G1666" t="s">
        <v>27</v>
      </c>
      <c r="H1666" t="s">
        <v>28</v>
      </c>
      <c r="I1666" t="s">
        <v>92</v>
      </c>
      <c r="J1666" s="2">
        <v>4</v>
      </c>
      <c r="K1666" s="3">
        <v>798.73</v>
      </c>
      <c r="L1666" s="3">
        <v>474.82</v>
      </c>
      <c r="M1666" s="4">
        <v>0</v>
      </c>
      <c r="N1666" s="3">
        <f t="shared" ref="N1666:N1729" si="130">ROUND(J1666*K1666,2)</f>
        <v>3194.92</v>
      </c>
      <c r="O1666" s="3">
        <f t="shared" ref="O1666:O1729" si="131">ROUND(N1666*(1-M1666),2)</f>
        <v>3194.92</v>
      </c>
      <c r="P1666" s="3">
        <f t="shared" ref="P1666:P1729" si="132">ROUND(J1666*L1666,2)</f>
        <v>1899.28</v>
      </c>
      <c r="Q1666" s="3">
        <f t="shared" ref="Q1666:Q1729" si="133">ROUND(O1666-P1666,2)</f>
        <v>1295.6400000000001</v>
      </c>
      <c r="R1666" s="4">
        <f t="shared" ref="R1666:R1729" si="134">IF(O1666=0,0,ROUND(Q1666/O1666,4))</f>
        <v>0.40550000000000003</v>
      </c>
      <c r="S1666" s="2">
        <v>6</v>
      </c>
      <c r="T1666" t="s">
        <v>46</v>
      </c>
      <c r="U1666">
        <v>4</v>
      </c>
    </row>
    <row r="1667" spans="1:21" x14ac:dyDescent="0.25">
      <c r="A1667" s="1">
        <v>46215</v>
      </c>
      <c r="B1667" t="s">
        <v>1860</v>
      </c>
      <c r="C1667" t="s">
        <v>275</v>
      </c>
      <c r="D1667" t="s">
        <v>126</v>
      </c>
      <c r="E1667" t="s">
        <v>57</v>
      </c>
      <c r="F1667" t="s">
        <v>64</v>
      </c>
      <c r="G1667" t="s">
        <v>27</v>
      </c>
      <c r="H1667" t="s">
        <v>86</v>
      </c>
      <c r="I1667" t="s">
        <v>87</v>
      </c>
      <c r="J1667" s="2">
        <v>5</v>
      </c>
      <c r="K1667" s="3">
        <v>1976.61</v>
      </c>
      <c r="L1667" s="3">
        <v>1173.46</v>
      </c>
      <c r="M1667" s="4">
        <v>8.3000000000000001E-3</v>
      </c>
      <c r="N1667" s="3">
        <f t="shared" si="130"/>
        <v>9883.0499999999993</v>
      </c>
      <c r="O1667" s="3">
        <f t="shared" si="131"/>
        <v>9801.02</v>
      </c>
      <c r="P1667" s="3">
        <f t="shared" si="132"/>
        <v>5867.3</v>
      </c>
      <c r="Q1667" s="3">
        <f t="shared" si="133"/>
        <v>3933.72</v>
      </c>
      <c r="R1667" s="4">
        <f t="shared" si="134"/>
        <v>0.40139999999999998</v>
      </c>
      <c r="S1667" s="2">
        <v>3</v>
      </c>
      <c r="T1667" t="s">
        <v>46</v>
      </c>
      <c r="U1667">
        <v>4</v>
      </c>
    </row>
    <row r="1668" spans="1:21" x14ac:dyDescent="0.25">
      <c r="A1668" s="1">
        <v>46104</v>
      </c>
      <c r="B1668" t="s">
        <v>1861</v>
      </c>
      <c r="C1668" t="s">
        <v>275</v>
      </c>
      <c r="D1668" t="s">
        <v>207</v>
      </c>
      <c r="E1668" t="s">
        <v>35</v>
      </c>
      <c r="F1668" t="s">
        <v>36</v>
      </c>
      <c r="G1668" t="s">
        <v>44</v>
      </c>
      <c r="H1668" t="s">
        <v>73</v>
      </c>
      <c r="I1668" t="s">
        <v>74</v>
      </c>
      <c r="J1668" s="2">
        <v>4</v>
      </c>
      <c r="K1668" s="3">
        <v>1634.79</v>
      </c>
      <c r="L1668" s="3">
        <v>1120.48</v>
      </c>
      <c r="M1668" s="4">
        <v>0.11849999999999999</v>
      </c>
      <c r="N1668" s="3">
        <f t="shared" si="130"/>
        <v>6539.16</v>
      </c>
      <c r="O1668" s="3">
        <f t="shared" si="131"/>
        <v>5764.27</v>
      </c>
      <c r="P1668" s="3">
        <f t="shared" si="132"/>
        <v>4481.92</v>
      </c>
      <c r="Q1668" s="3">
        <f t="shared" si="133"/>
        <v>1282.3499999999999</v>
      </c>
      <c r="R1668" s="4">
        <f t="shared" si="134"/>
        <v>0.2225</v>
      </c>
      <c r="S1668" s="2">
        <v>2</v>
      </c>
      <c r="T1668" t="s">
        <v>46</v>
      </c>
      <c r="U1668">
        <v>3</v>
      </c>
    </row>
    <row r="1669" spans="1:21" x14ac:dyDescent="0.25">
      <c r="A1669" s="1">
        <v>46156</v>
      </c>
      <c r="B1669" t="s">
        <v>1862</v>
      </c>
      <c r="C1669" t="s">
        <v>150</v>
      </c>
      <c r="D1669" t="s">
        <v>126</v>
      </c>
      <c r="E1669" t="s">
        <v>57</v>
      </c>
      <c r="F1669" t="s">
        <v>58</v>
      </c>
      <c r="G1669" t="s">
        <v>44</v>
      </c>
      <c r="H1669" t="s">
        <v>45</v>
      </c>
      <c r="I1669" t="s">
        <v>65</v>
      </c>
      <c r="J1669" s="2">
        <v>6</v>
      </c>
      <c r="K1669" s="3">
        <v>390.93</v>
      </c>
      <c r="L1669" s="3">
        <v>218.52</v>
      </c>
      <c r="M1669" s="4">
        <v>7.6499999999999999E-2</v>
      </c>
      <c r="N1669" s="3">
        <f t="shared" si="130"/>
        <v>2345.58</v>
      </c>
      <c r="O1669" s="3">
        <f t="shared" si="131"/>
        <v>2166.14</v>
      </c>
      <c r="P1669" s="3">
        <f t="shared" si="132"/>
        <v>1311.12</v>
      </c>
      <c r="Q1669" s="3">
        <f t="shared" si="133"/>
        <v>855.02</v>
      </c>
      <c r="R1669" s="4">
        <f t="shared" si="134"/>
        <v>0.3947</v>
      </c>
      <c r="S1669" s="2">
        <v>4</v>
      </c>
      <c r="T1669" t="s">
        <v>46</v>
      </c>
      <c r="U1669">
        <v>2</v>
      </c>
    </row>
    <row r="1670" spans="1:21" x14ac:dyDescent="0.25">
      <c r="A1670" s="1">
        <v>46193</v>
      </c>
      <c r="B1670" t="s">
        <v>1863</v>
      </c>
      <c r="C1670" t="s">
        <v>170</v>
      </c>
      <c r="D1670" t="s">
        <v>71</v>
      </c>
      <c r="E1670" t="s">
        <v>72</v>
      </c>
      <c r="F1670" t="s">
        <v>26</v>
      </c>
      <c r="G1670" t="s">
        <v>51</v>
      </c>
      <c r="H1670" t="s">
        <v>52</v>
      </c>
      <c r="I1670" t="s">
        <v>60</v>
      </c>
      <c r="J1670" s="2">
        <v>3</v>
      </c>
      <c r="K1670" s="3">
        <v>251.63</v>
      </c>
      <c r="L1670" s="3">
        <v>117.98</v>
      </c>
      <c r="M1670" s="4">
        <v>3.3300000000000003E-2</v>
      </c>
      <c r="N1670" s="3">
        <f t="shared" si="130"/>
        <v>754.89</v>
      </c>
      <c r="O1670" s="3">
        <f t="shared" si="131"/>
        <v>729.75</v>
      </c>
      <c r="P1670" s="3">
        <f t="shared" si="132"/>
        <v>353.94</v>
      </c>
      <c r="Q1670" s="3">
        <f t="shared" si="133"/>
        <v>375.81</v>
      </c>
      <c r="R1670" s="4">
        <f t="shared" si="134"/>
        <v>0.51500000000000001</v>
      </c>
      <c r="S1670" s="2">
        <v>7</v>
      </c>
      <c r="T1670" t="s">
        <v>46</v>
      </c>
      <c r="U1670">
        <v>4</v>
      </c>
    </row>
    <row r="1671" spans="1:21" x14ac:dyDescent="0.25">
      <c r="A1671" s="1">
        <v>46205</v>
      </c>
      <c r="B1671" t="s">
        <v>1864</v>
      </c>
      <c r="C1671" t="s">
        <v>428</v>
      </c>
      <c r="D1671" t="s">
        <v>24</v>
      </c>
      <c r="E1671" t="s">
        <v>25</v>
      </c>
      <c r="F1671" t="s">
        <v>36</v>
      </c>
      <c r="G1671" t="s">
        <v>44</v>
      </c>
      <c r="H1671" t="s">
        <v>124</v>
      </c>
      <c r="I1671" t="s">
        <v>53</v>
      </c>
      <c r="J1671" s="2">
        <v>3</v>
      </c>
      <c r="K1671" s="3">
        <v>5541.76</v>
      </c>
      <c r="L1671" s="3">
        <v>4412.49</v>
      </c>
      <c r="M1671" s="4">
        <v>9.1600000000000001E-2</v>
      </c>
      <c r="N1671" s="3">
        <f t="shared" si="130"/>
        <v>16625.28</v>
      </c>
      <c r="O1671" s="3">
        <f t="shared" si="131"/>
        <v>15102.4</v>
      </c>
      <c r="P1671" s="3">
        <f t="shared" si="132"/>
        <v>13237.47</v>
      </c>
      <c r="Q1671" s="3">
        <f t="shared" si="133"/>
        <v>1864.93</v>
      </c>
      <c r="R1671" s="4">
        <f t="shared" si="134"/>
        <v>0.1235</v>
      </c>
      <c r="S1671" s="2">
        <v>9</v>
      </c>
      <c r="T1671" t="s">
        <v>40</v>
      </c>
    </row>
    <row r="1672" spans="1:21" x14ac:dyDescent="0.25">
      <c r="A1672" s="1">
        <v>46053</v>
      </c>
      <c r="B1672" t="s">
        <v>1865</v>
      </c>
      <c r="C1672" t="s">
        <v>82</v>
      </c>
      <c r="D1672" t="s">
        <v>121</v>
      </c>
      <c r="E1672" t="s">
        <v>72</v>
      </c>
      <c r="F1672" t="s">
        <v>36</v>
      </c>
      <c r="G1672" t="s">
        <v>37</v>
      </c>
      <c r="H1672" t="s">
        <v>104</v>
      </c>
      <c r="I1672" t="s">
        <v>39</v>
      </c>
      <c r="J1672" s="2">
        <v>4</v>
      </c>
      <c r="K1672" s="3">
        <v>330.73</v>
      </c>
      <c r="L1672" s="3">
        <v>134.41</v>
      </c>
      <c r="M1672" s="4">
        <v>0</v>
      </c>
      <c r="N1672" s="3">
        <f t="shared" si="130"/>
        <v>1322.92</v>
      </c>
      <c r="O1672" s="3">
        <f t="shared" si="131"/>
        <v>1322.92</v>
      </c>
      <c r="P1672" s="3">
        <f t="shared" si="132"/>
        <v>537.64</v>
      </c>
      <c r="Q1672" s="3">
        <f t="shared" si="133"/>
        <v>785.28</v>
      </c>
      <c r="R1672" s="4">
        <f t="shared" si="134"/>
        <v>0.59360000000000002</v>
      </c>
      <c r="S1672" s="2">
        <v>13</v>
      </c>
      <c r="T1672" t="s">
        <v>30</v>
      </c>
      <c r="U1672">
        <v>3</v>
      </c>
    </row>
    <row r="1673" spans="1:21" x14ac:dyDescent="0.25">
      <c r="A1673" s="1">
        <v>46037</v>
      </c>
      <c r="B1673" t="s">
        <v>1866</v>
      </c>
      <c r="C1673" t="s">
        <v>162</v>
      </c>
      <c r="D1673" t="s">
        <v>43</v>
      </c>
      <c r="E1673" t="s">
        <v>25</v>
      </c>
      <c r="F1673" t="s">
        <v>64</v>
      </c>
      <c r="G1673" t="s">
        <v>44</v>
      </c>
      <c r="H1673" t="s">
        <v>124</v>
      </c>
      <c r="I1673" t="s">
        <v>94</v>
      </c>
      <c r="J1673" s="2">
        <v>4</v>
      </c>
      <c r="K1673" s="3">
        <v>6095.16</v>
      </c>
      <c r="L1673" s="3">
        <v>4547.8</v>
      </c>
      <c r="M1673" s="4">
        <v>0.1133</v>
      </c>
      <c r="N1673" s="3">
        <f t="shared" si="130"/>
        <v>24380.639999999999</v>
      </c>
      <c r="O1673" s="3">
        <f t="shared" si="131"/>
        <v>21618.31</v>
      </c>
      <c r="P1673" s="3">
        <f t="shared" si="132"/>
        <v>18191.2</v>
      </c>
      <c r="Q1673" s="3">
        <f t="shared" si="133"/>
        <v>3427.11</v>
      </c>
      <c r="R1673" s="4">
        <f t="shared" si="134"/>
        <v>0.1585</v>
      </c>
      <c r="S1673" s="2">
        <v>8</v>
      </c>
      <c r="T1673" t="s">
        <v>46</v>
      </c>
      <c r="U1673">
        <v>4</v>
      </c>
    </row>
    <row r="1674" spans="1:21" x14ac:dyDescent="0.25">
      <c r="A1674" s="1">
        <v>46067</v>
      </c>
      <c r="B1674" t="s">
        <v>1867</v>
      </c>
      <c r="C1674" t="s">
        <v>358</v>
      </c>
      <c r="D1674" t="s">
        <v>97</v>
      </c>
      <c r="E1674" t="s">
        <v>57</v>
      </c>
      <c r="F1674" t="s">
        <v>58</v>
      </c>
      <c r="G1674" t="s">
        <v>51</v>
      </c>
      <c r="H1674" t="s">
        <v>116</v>
      </c>
      <c r="I1674" t="s">
        <v>74</v>
      </c>
      <c r="J1674" s="2">
        <v>4</v>
      </c>
      <c r="K1674" s="3">
        <v>2703.8</v>
      </c>
      <c r="L1674" s="3">
        <v>1802.76</v>
      </c>
      <c r="M1674" s="4">
        <v>3.5000000000000003E-2</v>
      </c>
      <c r="N1674" s="3">
        <f t="shared" si="130"/>
        <v>10815.2</v>
      </c>
      <c r="O1674" s="3">
        <f t="shared" si="131"/>
        <v>10436.67</v>
      </c>
      <c r="P1674" s="3">
        <f t="shared" si="132"/>
        <v>7211.04</v>
      </c>
      <c r="Q1674" s="3">
        <f t="shared" si="133"/>
        <v>3225.63</v>
      </c>
      <c r="R1674" s="4">
        <f t="shared" si="134"/>
        <v>0.30909999999999999</v>
      </c>
      <c r="S1674" s="2">
        <v>6</v>
      </c>
      <c r="T1674" t="s">
        <v>46</v>
      </c>
      <c r="U1674">
        <v>3</v>
      </c>
    </row>
    <row r="1675" spans="1:21" x14ac:dyDescent="0.25">
      <c r="A1675" s="1">
        <v>46202</v>
      </c>
      <c r="B1675" t="s">
        <v>1868</v>
      </c>
      <c r="C1675" t="s">
        <v>100</v>
      </c>
      <c r="D1675" t="s">
        <v>113</v>
      </c>
      <c r="E1675" t="s">
        <v>50</v>
      </c>
      <c r="F1675" t="s">
        <v>64</v>
      </c>
      <c r="G1675" t="s">
        <v>51</v>
      </c>
      <c r="H1675" t="s">
        <v>52</v>
      </c>
      <c r="I1675" t="s">
        <v>87</v>
      </c>
      <c r="J1675" s="2">
        <v>4</v>
      </c>
      <c r="K1675" s="3">
        <v>253.1</v>
      </c>
      <c r="L1675" s="3">
        <v>121.38</v>
      </c>
      <c r="M1675" s="4">
        <v>2.6599999999999999E-2</v>
      </c>
      <c r="N1675" s="3">
        <f t="shared" si="130"/>
        <v>1012.4</v>
      </c>
      <c r="O1675" s="3">
        <f t="shared" si="131"/>
        <v>985.47</v>
      </c>
      <c r="P1675" s="3">
        <f t="shared" si="132"/>
        <v>485.52</v>
      </c>
      <c r="Q1675" s="3">
        <f t="shared" si="133"/>
        <v>499.95</v>
      </c>
      <c r="R1675" s="4">
        <f t="shared" si="134"/>
        <v>0.50729999999999997</v>
      </c>
      <c r="S1675" s="2">
        <v>11</v>
      </c>
      <c r="T1675" t="s">
        <v>30</v>
      </c>
      <c r="U1675">
        <v>5</v>
      </c>
    </row>
    <row r="1676" spans="1:21" x14ac:dyDescent="0.25">
      <c r="A1676" s="1">
        <v>46179</v>
      </c>
      <c r="B1676" t="s">
        <v>1869</v>
      </c>
      <c r="C1676" t="s">
        <v>514</v>
      </c>
      <c r="D1676" t="s">
        <v>24</v>
      </c>
      <c r="E1676" t="s">
        <v>25</v>
      </c>
      <c r="F1676" t="s">
        <v>64</v>
      </c>
      <c r="G1676" t="s">
        <v>51</v>
      </c>
      <c r="H1676" t="s">
        <v>116</v>
      </c>
      <c r="I1676" t="s">
        <v>94</v>
      </c>
      <c r="J1676" s="2">
        <v>2</v>
      </c>
      <c r="K1676" s="3">
        <v>2874.51</v>
      </c>
      <c r="L1676" s="3">
        <v>1884.05</v>
      </c>
      <c r="M1676" s="4">
        <v>0</v>
      </c>
      <c r="N1676" s="3">
        <f t="shared" si="130"/>
        <v>5749.02</v>
      </c>
      <c r="O1676" s="3">
        <f t="shared" si="131"/>
        <v>5749.02</v>
      </c>
      <c r="P1676" s="3">
        <f t="shared" si="132"/>
        <v>3768.1</v>
      </c>
      <c r="Q1676" s="3">
        <f t="shared" si="133"/>
        <v>1980.92</v>
      </c>
      <c r="R1676" s="4">
        <f t="shared" si="134"/>
        <v>0.34460000000000002</v>
      </c>
      <c r="S1676" s="2">
        <v>7</v>
      </c>
      <c r="T1676" t="s">
        <v>46</v>
      </c>
      <c r="U1676">
        <v>3</v>
      </c>
    </row>
    <row r="1677" spans="1:21" x14ac:dyDescent="0.25">
      <c r="A1677" s="1">
        <v>46198</v>
      </c>
      <c r="B1677" t="s">
        <v>1870</v>
      </c>
      <c r="C1677" t="s">
        <v>136</v>
      </c>
      <c r="D1677" t="s">
        <v>56</v>
      </c>
      <c r="E1677" t="s">
        <v>57</v>
      </c>
      <c r="F1677" t="s">
        <v>58</v>
      </c>
      <c r="G1677" t="s">
        <v>37</v>
      </c>
      <c r="H1677" t="s">
        <v>38</v>
      </c>
      <c r="I1677" t="s">
        <v>39</v>
      </c>
      <c r="J1677" s="2">
        <v>1</v>
      </c>
      <c r="K1677" s="3">
        <v>446.69</v>
      </c>
      <c r="L1677" s="3">
        <v>195.66</v>
      </c>
      <c r="M1677" s="4">
        <v>0.1285</v>
      </c>
      <c r="N1677" s="3">
        <f t="shared" si="130"/>
        <v>446.69</v>
      </c>
      <c r="O1677" s="3">
        <f t="shared" si="131"/>
        <v>389.29</v>
      </c>
      <c r="P1677" s="3">
        <f t="shared" si="132"/>
        <v>195.66</v>
      </c>
      <c r="Q1677" s="3">
        <f t="shared" si="133"/>
        <v>193.63</v>
      </c>
      <c r="R1677" s="4">
        <f t="shared" si="134"/>
        <v>0.49740000000000001</v>
      </c>
      <c r="S1677" s="2">
        <v>10</v>
      </c>
      <c r="T1677" t="s">
        <v>46</v>
      </c>
      <c r="U1677">
        <v>2</v>
      </c>
    </row>
    <row r="1678" spans="1:21" x14ac:dyDescent="0.25">
      <c r="A1678" s="1">
        <v>46085</v>
      </c>
      <c r="B1678" t="s">
        <v>1871</v>
      </c>
      <c r="C1678" t="s">
        <v>146</v>
      </c>
      <c r="D1678" t="s">
        <v>130</v>
      </c>
      <c r="E1678" t="s">
        <v>72</v>
      </c>
      <c r="F1678" t="s">
        <v>64</v>
      </c>
      <c r="G1678" t="s">
        <v>37</v>
      </c>
      <c r="H1678" t="s">
        <v>104</v>
      </c>
      <c r="I1678" t="s">
        <v>92</v>
      </c>
      <c r="J1678" s="2">
        <v>4</v>
      </c>
      <c r="K1678" s="3">
        <v>323.77999999999997</v>
      </c>
      <c r="L1678" s="3">
        <v>134.66999999999999</v>
      </c>
      <c r="M1678" s="4">
        <v>0</v>
      </c>
      <c r="N1678" s="3">
        <f t="shared" si="130"/>
        <v>1295.1199999999999</v>
      </c>
      <c r="O1678" s="3">
        <f t="shared" si="131"/>
        <v>1295.1199999999999</v>
      </c>
      <c r="P1678" s="3">
        <f t="shared" si="132"/>
        <v>538.67999999999995</v>
      </c>
      <c r="Q1678" s="3">
        <f t="shared" si="133"/>
        <v>756.44</v>
      </c>
      <c r="R1678" s="4">
        <f t="shared" si="134"/>
        <v>0.58409999999999995</v>
      </c>
      <c r="S1678" s="2">
        <v>12</v>
      </c>
      <c r="T1678" t="s">
        <v>30</v>
      </c>
      <c r="U1678">
        <v>4</v>
      </c>
    </row>
    <row r="1679" spans="1:21" x14ac:dyDescent="0.25">
      <c r="A1679" s="1">
        <v>46146</v>
      </c>
      <c r="B1679" t="s">
        <v>1872</v>
      </c>
      <c r="C1679" t="s">
        <v>144</v>
      </c>
      <c r="D1679" t="s">
        <v>24</v>
      </c>
      <c r="E1679" t="s">
        <v>25</v>
      </c>
      <c r="F1679" t="s">
        <v>64</v>
      </c>
      <c r="G1679" t="s">
        <v>51</v>
      </c>
      <c r="H1679" t="s">
        <v>52</v>
      </c>
      <c r="I1679" t="s">
        <v>39</v>
      </c>
      <c r="J1679" s="2">
        <v>5</v>
      </c>
      <c r="K1679" s="3">
        <v>272.8</v>
      </c>
      <c r="L1679" s="3">
        <v>127.96</v>
      </c>
      <c r="M1679" s="4">
        <v>1.52E-2</v>
      </c>
      <c r="N1679" s="3">
        <f t="shared" si="130"/>
        <v>1364</v>
      </c>
      <c r="O1679" s="3">
        <f t="shared" si="131"/>
        <v>1343.27</v>
      </c>
      <c r="P1679" s="3">
        <f t="shared" si="132"/>
        <v>639.79999999999995</v>
      </c>
      <c r="Q1679" s="3">
        <f t="shared" si="133"/>
        <v>703.47</v>
      </c>
      <c r="R1679" s="4">
        <f t="shared" si="134"/>
        <v>0.52370000000000005</v>
      </c>
      <c r="S1679" s="2">
        <v>10</v>
      </c>
      <c r="T1679" t="s">
        <v>46</v>
      </c>
      <c r="U1679">
        <v>5</v>
      </c>
    </row>
    <row r="1680" spans="1:21" x14ac:dyDescent="0.25">
      <c r="A1680" s="1">
        <v>46024</v>
      </c>
      <c r="B1680" t="s">
        <v>1873</v>
      </c>
      <c r="C1680" t="s">
        <v>220</v>
      </c>
      <c r="D1680" t="s">
        <v>43</v>
      </c>
      <c r="E1680" t="s">
        <v>25</v>
      </c>
      <c r="F1680" t="s">
        <v>58</v>
      </c>
      <c r="G1680" t="s">
        <v>44</v>
      </c>
      <c r="H1680" t="s">
        <v>124</v>
      </c>
      <c r="I1680" t="s">
        <v>65</v>
      </c>
      <c r="J1680" s="2">
        <v>6</v>
      </c>
      <c r="K1680" s="3">
        <v>5838.04</v>
      </c>
      <c r="L1680" s="3">
        <v>4552.57</v>
      </c>
      <c r="M1680" s="4">
        <v>0.15140000000000001</v>
      </c>
      <c r="N1680" s="3">
        <f t="shared" si="130"/>
        <v>35028.239999999998</v>
      </c>
      <c r="O1680" s="3">
        <f t="shared" si="131"/>
        <v>29724.959999999999</v>
      </c>
      <c r="P1680" s="3">
        <f t="shared" si="132"/>
        <v>27315.42</v>
      </c>
      <c r="Q1680" s="3">
        <f t="shared" si="133"/>
        <v>2409.54</v>
      </c>
      <c r="R1680" s="4">
        <f t="shared" si="134"/>
        <v>8.1100000000000005E-2</v>
      </c>
      <c r="S1680" s="2">
        <v>4</v>
      </c>
      <c r="T1680" t="s">
        <v>40</v>
      </c>
    </row>
    <row r="1681" spans="1:22" x14ac:dyDescent="0.25">
      <c r="A1681" s="1">
        <v>46213</v>
      </c>
      <c r="B1681" t="s">
        <v>1874</v>
      </c>
      <c r="C1681" t="s">
        <v>214</v>
      </c>
      <c r="D1681" t="s">
        <v>24</v>
      </c>
      <c r="E1681" t="s">
        <v>25</v>
      </c>
      <c r="F1681" t="s">
        <v>26</v>
      </c>
      <c r="G1681" t="s">
        <v>27</v>
      </c>
      <c r="H1681" t="s">
        <v>28</v>
      </c>
      <c r="I1681" t="s">
        <v>77</v>
      </c>
      <c r="J1681" s="2">
        <v>2</v>
      </c>
      <c r="K1681" s="3">
        <v>818.52</v>
      </c>
      <c r="L1681" s="3">
        <v>460.13</v>
      </c>
      <c r="M1681" s="4">
        <v>0</v>
      </c>
      <c r="N1681" s="3">
        <f t="shared" si="130"/>
        <v>1637.04</v>
      </c>
      <c r="O1681" s="3">
        <f t="shared" si="131"/>
        <v>1637.04</v>
      </c>
      <c r="P1681" s="3">
        <f t="shared" si="132"/>
        <v>920.26</v>
      </c>
      <c r="Q1681" s="3">
        <f t="shared" si="133"/>
        <v>716.78</v>
      </c>
      <c r="R1681" s="4">
        <f t="shared" si="134"/>
        <v>0.43790000000000001</v>
      </c>
      <c r="S1681" s="2">
        <v>24</v>
      </c>
      <c r="T1681" t="s">
        <v>30</v>
      </c>
      <c r="U1681">
        <v>2</v>
      </c>
      <c r="V1681" t="s">
        <v>208</v>
      </c>
    </row>
    <row r="1682" spans="1:22" x14ac:dyDescent="0.25">
      <c r="A1682" s="1">
        <v>46110</v>
      </c>
      <c r="B1682" t="s">
        <v>1875</v>
      </c>
      <c r="C1682" t="s">
        <v>266</v>
      </c>
      <c r="D1682" t="s">
        <v>34</v>
      </c>
      <c r="E1682" t="s">
        <v>35</v>
      </c>
      <c r="F1682" t="s">
        <v>58</v>
      </c>
      <c r="G1682" t="s">
        <v>27</v>
      </c>
      <c r="H1682" t="s">
        <v>28</v>
      </c>
      <c r="I1682" t="s">
        <v>94</v>
      </c>
      <c r="J1682" s="2">
        <v>2</v>
      </c>
      <c r="K1682" s="3">
        <v>800.82</v>
      </c>
      <c r="L1682" s="3">
        <v>472.8</v>
      </c>
      <c r="M1682" s="4">
        <v>3.61E-2</v>
      </c>
      <c r="N1682" s="3">
        <f t="shared" si="130"/>
        <v>1601.64</v>
      </c>
      <c r="O1682" s="3">
        <f t="shared" si="131"/>
        <v>1543.82</v>
      </c>
      <c r="P1682" s="3">
        <f t="shared" si="132"/>
        <v>945.6</v>
      </c>
      <c r="Q1682" s="3">
        <f t="shared" si="133"/>
        <v>598.22</v>
      </c>
      <c r="R1682" s="4">
        <f t="shared" si="134"/>
        <v>0.38750000000000001</v>
      </c>
      <c r="S1682" s="2">
        <v>6</v>
      </c>
      <c r="T1682" t="s">
        <v>46</v>
      </c>
      <c r="U1682">
        <v>3</v>
      </c>
    </row>
    <row r="1683" spans="1:22" x14ac:dyDescent="0.25">
      <c r="A1683" s="1">
        <v>46211</v>
      </c>
      <c r="B1683" t="s">
        <v>1876</v>
      </c>
      <c r="C1683" t="s">
        <v>401</v>
      </c>
      <c r="D1683" t="s">
        <v>126</v>
      </c>
      <c r="E1683" t="s">
        <v>57</v>
      </c>
      <c r="F1683" t="s">
        <v>58</v>
      </c>
      <c r="G1683" t="s">
        <v>27</v>
      </c>
      <c r="H1683" t="s">
        <v>28</v>
      </c>
      <c r="I1683" t="s">
        <v>77</v>
      </c>
      <c r="J1683" s="2">
        <v>5</v>
      </c>
      <c r="K1683" s="3">
        <v>767.14</v>
      </c>
      <c r="L1683" s="3">
        <v>468.16</v>
      </c>
      <c r="M1683" s="4">
        <v>4.7800000000000002E-2</v>
      </c>
      <c r="N1683" s="3">
        <f t="shared" si="130"/>
        <v>3835.7</v>
      </c>
      <c r="O1683" s="3">
        <f t="shared" si="131"/>
        <v>3652.35</v>
      </c>
      <c r="P1683" s="3">
        <f t="shared" si="132"/>
        <v>2340.8000000000002</v>
      </c>
      <c r="Q1683" s="3">
        <f t="shared" si="133"/>
        <v>1311.55</v>
      </c>
      <c r="R1683" s="4">
        <f t="shared" si="134"/>
        <v>0.35909999999999997</v>
      </c>
      <c r="S1683" s="2">
        <v>12</v>
      </c>
      <c r="T1683" t="s">
        <v>30</v>
      </c>
      <c r="U1683">
        <v>5</v>
      </c>
    </row>
    <row r="1684" spans="1:22" x14ac:dyDescent="0.25">
      <c r="A1684" s="1">
        <v>46133</v>
      </c>
      <c r="B1684" t="s">
        <v>1877</v>
      </c>
      <c r="C1684" t="s">
        <v>224</v>
      </c>
      <c r="D1684" t="s">
        <v>97</v>
      </c>
      <c r="E1684" t="s">
        <v>57</v>
      </c>
      <c r="F1684" t="s">
        <v>64</v>
      </c>
      <c r="G1684" t="s">
        <v>51</v>
      </c>
      <c r="H1684" t="s">
        <v>52</v>
      </c>
      <c r="I1684" t="s">
        <v>77</v>
      </c>
      <c r="J1684" s="2">
        <v>7</v>
      </c>
      <c r="K1684" s="3">
        <v>272.89</v>
      </c>
      <c r="L1684" s="3">
        <v>114.32</v>
      </c>
      <c r="M1684" s="4">
        <v>0.1152</v>
      </c>
      <c r="N1684" s="3">
        <f t="shared" si="130"/>
        <v>1910.23</v>
      </c>
      <c r="O1684" s="3">
        <f t="shared" si="131"/>
        <v>1690.17</v>
      </c>
      <c r="P1684" s="3">
        <f t="shared" si="132"/>
        <v>800.24</v>
      </c>
      <c r="Q1684" s="3">
        <f t="shared" si="133"/>
        <v>889.93</v>
      </c>
      <c r="R1684" s="4">
        <f t="shared" si="134"/>
        <v>0.52649999999999997</v>
      </c>
      <c r="S1684" s="2">
        <v>4</v>
      </c>
      <c r="T1684" t="s">
        <v>46</v>
      </c>
      <c r="U1684">
        <v>4</v>
      </c>
    </row>
    <row r="1685" spans="1:22" x14ac:dyDescent="0.25">
      <c r="A1685" s="1">
        <v>46180</v>
      </c>
      <c r="B1685" t="s">
        <v>1878</v>
      </c>
      <c r="C1685" t="s">
        <v>89</v>
      </c>
      <c r="D1685" t="s">
        <v>49</v>
      </c>
      <c r="E1685" t="s">
        <v>50</v>
      </c>
      <c r="F1685" t="s">
        <v>26</v>
      </c>
      <c r="G1685" t="s">
        <v>51</v>
      </c>
      <c r="H1685" t="s">
        <v>59</v>
      </c>
      <c r="I1685" t="s">
        <v>74</v>
      </c>
      <c r="J1685" s="2">
        <v>1</v>
      </c>
      <c r="K1685" s="3">
        <v>2289.9299999999998</v>
      </c>
      <c r="L1685" s="3">
        <v>1395.11</v>
      </c>
      <c r="M1685" s="4">
        <v>0</v>
      </c>
      <c r="N1685" s="3">
        <f t="shared" si="130"/>
        <v>2289.9299999999998</v>
      </c>
      <c r="O1685" s="3">
        <f t="shared" si="131"/>
        <v>2289.9299999999998</v>
      </c>
      <c r="P1685" s="3">
        <f t="shared" si="132"/>
        <v>1395.11</v>
      </c>
      <c r="Q1685" s="3">
        <f t="shared" si="133"/>
        <v>894.82</v>
      </c>
      <c r="R1685" s="4">
        <f t="shared" si="134"/>
        <v>0.39079999999999998</v>
      </c>
      <c r="S1685" s="2">
        <v>4</v>
      </c>
      <c r="T1685" t="s">
        <v>46</v>
      </c>
      <c r="U1685">
        <v>5</v>
      </c>
    </row>
    <row r="1686" spans="1:22" x14ac:dyDescent="0.25">
      <c r="A1686" s="1">
        <v>46046</v>
      </c>
      <c r="B1686" t="s">
        <v>1879</v>
      </c>
      <c r="C1686" t="s">
        <v>138</v>
      </c>
      <c r="D1686" t="s">
        <v>101</v>
      </c>
      <c r="E1686" t="s">
        <v>35</v>
      </c>
      <c r="F1686" t="s">
        <v>58</v>
      </c>
      <c r="G1686" t="s">
        <v>37</v>
      </c>
      <c r="H1686" t="s">
        <v>178</v>
      </c>
      <c r="I1686" t="s">
        <v>94</v>
      </c>
      <c r="J1686" s="2">
        <v>4</v>
      </c>
      <c r="K1686" s="3">
        <v>535.46</v>
      </c>
      <c r="L1686" s="3">
        <v>248.76</v>
      </c>
      <c r="M1686" s="4">
        <v>9.7500000000000003E-2</v>
      </c>
      <c r="N1686" s="3">
        <f t="shared" si="130"/>
        <v>2141.84</v>
      </c>
      <c r="O1686" s="3">
        <f t="shared" si="131"/>
        <v>1933.01</v>
      </c>
      <c r="P1686" s="3">
        <f t="shared" si="132"/>
        <v>995.04</v>
      </c>
      <c r="Q1686" s="3">
        <f t="shared" si="133"/>
        <v>937.97</v>
      </c>
      <c r="R1686" s="4">
        <f t="shared" si="134"/>
        <v>0.48520000000000002</v>
      </c>
      <c r="S1686" s="2">
        <v>2</v>
      </c>
      <c r="T1686" t="s">
        <v>46</v>
      </c>
      <c r="U1686">
        <v>2</v>
      </c>
    </row>
    <row r="1687" spans="1:22" x14ac:dyDescent="0.25">
      <c r="A1687" s="1">
        <v>46233</v>
      </c>
      <c r="B1687" t="s">
        <v>1880</v>
      </c>
      <c r="C1687" t="s">
        <v>159</v>
      </c>
      <c r="D1687" t="s">
        <v>71</v>
      </c>
      <c r="E1687" t="s">
        <v>72</v>
      </c>
      <c r="F1687" t="s">
        <v>64</v>
      </c>
      <c r="G1687" t="s">
        <v>51</v>
      </c>
      <c r="H1687" t="s">
        <v>116</v>
      </c>
      <c r="I1687" t="s">
        <v>92</v>
      </c>
      <c r="J1687" s="2">
        <v>8</v>
      </c>
      <c r="K1687" s="3">
        <v>2744.08</v>
      </c>
      <c r="L1687" s="3">
        <v>1858.51</v>
      </c>
      <c r="M1687" s="4">
        <v>0.11559999999999999</v>
      </c>
      <c r="N1687" s="3">
        <f t="shared" si="130"/>
        <v>21952.639999999999</v>
      </c>
      <c r="O1687" s="3">
        <f t="shared" si="131"/>
        <v>19414.91</v>
      </c>
      <c r="P1687" s="3">
        <f t="shared" si="132"/>
        <v>14868.08</v>
      </c>
      <c r="Q1687" s="3">
        <f t="shared" si="133"/>
        <v>4546.83</v>
      </c>
      <c r="R1687" s="4">
        <f t="shared" si="134"/>
        <v>0.23419999999999999</v>
      </c>
      <c r="S1687" s="2">
        <v>13</v>
      </c>
      <c r="T1687" t="s">
        <v>30</v>
      </c>
      <c r="U1687">
        <v>2</v>
      </c>
    </row>
    <row r="1688" spans="1:22" x14ac:dyDescent="0.25">
      <c r="A1688" s="1">
        <v>46029</v>
      </c>
      <c r="B1688" t="s">
        <v>1881</v>
      </c>
      <c r="C1688" t="s">
        <v>284</v>
      </c>
      <c r="D1688" t="s">
        <v>49</v>
      </c>
      <c r="E1688" t="s">
        <v>50</v>
      </c>
      <c r="F1688" t="s">
        <v>26</v>
      </c>
      <c r="G1688" t="s">
        <v>27</v>
      </c>
      <c r="H1688" t="s">
        <v>28</v>
      </c>
      <c r="I1688" t="s">
        <v>53</v>
      </c>
      <c r="J1688" s="2">
        <v>1</v>
      </c>
      <c r="K1688" s="3">
        <v>797.04</v>
      </c>
      <c r="L1688" s="3">
        <v>441.79</v>
      </c>
      <c r="M1688" s="4">
        <v>4.9500000000000002E-2</v>
      </c>
      <c r="N1688" s="3">
        <f t="shared" si="130"/>
        <v>797.04</v>
      </c>
      <c r="O1688" s="3">
        <f t="shared" si="131"/>
        <v>757.59</v>
      </c>
      <c r="P1688" s="3">
        <f t="shared" si="132"/>
        <v>441.79</v>
      </c>
      <c r="Q1688" s="3">
        <f t="shared" si="133"/>
        <v>315.8</v>
      </c>
      <c r="R1688" s="4">
        <f t="shared" si="134"/>
        <v>0.4168</v>
      </c>
      <c r="S1688" s="2">
        <v>12</v>
      </c>
      <c r="T1688" t="s">
        <v>30</v>
      </c>
      <c r="U1688">
        <v>5</v>
      </c>
    </row>
    <row r="1689" spans="1:22" x14ac:dyDescent="0.25">
      <c r="A1689" s="1">
        <v>46127</v>
      </c>
      <c r="B1689" t="s">
        <v>1882</v>
      </c>
      <c r="C1689" t="s">
        <v>358</v>
      </c>
      <c r="D1689" t="s">
        <v>113</v>
      </c>
      <c r="E1689" t="s">
        <v>50</v>
      </c>
      <c r="F1689" t="s">
        <v>36</v>
      </c>
      <c r="G1689" t="s">
        <v>27</v>
      </c>
      <c r="H1689" t="s">
        <v>86</v>
      </c>
      <c r="I1689" t="s">
        <v>92</v>
      </c>
      <c r="J1689" s="2">
        <v>2</v>
      </c>
      <c r="K1689" s="3">
        <v>1814.98</v>
      </c>
      <c r="L1689" s="3">
        <v>1211.17</v>
      </c>
      <c r="M1689" s="4">
        <v>8.7400000000000005E-2</v>
      </c>
      <c r="N1689" s="3">
        <f t="shared" si="130"/>
        <v>3629.96</v>
      </c>
      <c r="O1689" s="3">
        <f t="shared" si="131"/>
        <v>3312.7</v>
      </c>
      <c r="P1689" s="3">
        <f t="shared" si="132"/>
        <v>2422.34</v>
      </c>
      <c r="Q1689" s="3">
        <f t="shared" si="133"/>
        <v>890.36</v>
      </c>
      <c r="R1689" s="4">
        <f t="shared" si="134"/>
        <v>0.26879999999999998</v>
      </c>
      <c r="S1689" s="2">
        <v>7</v>
      </c>
      <c r="T1689" t="s">
        <v>46</v>
      </c>
      <c r="U1689">
        <v>4</v>
      </c>
    </row>
    <row r="1690" spans="1:22" x14ac:dyDescent="0.25">
      <c r="A1690" s="1">
        <v>46110</v>
      </c>
      <c r="B1690" t="s">
        <v>1883</v>
      </c>
      <c r="C1690" t="s">
        <v>153</v>
      </c>
      <c r="D1690" t="s">
        <v>34</v>
      </c>
      <c r="E1690" t="s">
        <v>35</v>
      </c>
      <c r="F1690" t="s">
        <v>64</v>
      </c>
      <c r="G1690" t="s">
        <v>51</v>
      </c>
      <c r="H1690" t="s">
        <v>52</v>
      </c>
      <c r="I1690" t="s">
        <v>60</v>
      </c>
      <c r="J1690" s="2">
        <v>1</v>
      </c>
      <c r="K1690" s="3">
        <v>259.98</v>
      </c>
      <c r="L1690" s="3">
        <v>303.81</v>
      </c>
      <c r="M1690" s="4">
        <v>4.6600000000000003E-2</v>
      </c>
      <c r="N1690" s="3">
        <f t="shared" si="130"/>
        <v>259.98</v>
      </c>
      <c r="O1690" s="3">
        <f t="shared" si="131"/>
        <v>247.86</v>
      </c>
      <c r="P1690" s="3">
        <f t="shared" si="132"/>
        <v>303.81</v>
      </c>
      <c r="Q1690" s="3">
        <f t="shared" si="133"/>
        <v>-55.95</v>
      </c>
      <c r="R1690" s="4">
        <f t="shared" si="134"/>
        <v>-0.22570000000000001</v>
      </c>
      <c r="S1690" s="2">
        <v>12</v>
      </c>
      <c r="T1690" t="s">
        <v>30</v>
      </c>
      <c r="U1690">
        <v>4</v>
      </c>
      <c r="V1690" t="s">
        <v>388</v>
      </c>
    </row>
    <row r="1691" spans="1:22" x14ac:dyDescent="0.25">
      <c r="A1691" s="1">
        <v>46206</v>
      </c>
      <c r="B1691" t="s">
        <v>1884</v>
      </c>
      <c r="C1691" t="s">
        <v>159</v>
      </c>
      <c r="D1691" t="s">
        <v>85</v>
      </c>
      <c r="E1691" t="s">
        <v>50</v>
      </c>
      <c r="F1691" t="s">
        <v>26</v>
      </c>
      <c r="G1691" t="s">
        <v>27</v>
      </c>
      <c r="H1691" t="s">
        <v>28</v>
      </c>
      <c r="I1691" t="s">
        <v>74</v>
      </c>
      <c r="J1691" s="2">
        <v>7</v>
      </c>
      <c r="K1691" s="3">
        <v>803.69</v>
      </c>
      <c r="L1691" s="3">
        <v>458.74</v>
      </c>
      <c r="M1691" s="4">
        <v>7.3599999999999999E-2</v>
      </c>
      <c r="N1691" s="3">
        <f t="shared" si="130"/>
        <v>5625.83</v>
      </c>
      <c r="O1691" s="3">
        <f t="shared" si="131"/>
        <v>5211.7700000000004</v>
      </c>
      <c r="P1691" s="3">
        <f t="shared" si="132"/>
        <v>3211.18</v>
      </c>
      <c r="Q1691" s="3">
        <f t="shared" si="133"/>
        <v>2000.59</v>
      </c>
      <c r="R1691" s="4">
        <f t="shared" si="134"/>
        <v>0.38390000000000002</v>
      </c>
      <c r="S1691" s="2">
        <v>13</v>
      </c>
      <c r="T1691" t="s">
        <v>30</v>
      </c>
      <c r="U1691">
        <v>2</v>
      </c>
    </row>
    <row r="1692" spans="1:22" x14ac:dyDescent="0.25">
      <c r="A1692" s="1">
        <v>46046</v>
      </c>
      <c r="B1692" t="s">
        <v>1885</v>
      </c>
      <c r="C1692" t="s">
        <v>231</v>
      </c>
      <c r="D1692" t="s">
        <v>126</v>
      </c>
      <c r="E1692" t="s">
        <v>57</v>
      </c>
      <c r="F1692" t="s">
        <v>26</v>
      </c>
      <c r="G1692" t="s">
        <v>37</v>
      </c>
      <c r="H1692" t="s">
        <v>178</v>
      </c>
      <c r="I1692" t="s">
        <v>65</v>
      </c>
      <c r="J1692" s="2">
        <v>2</v>
      </c>
      <c r="K1692" s="3">
        <v>519.6</v>
      </c>
      <c r="L1692" s="3">
        <v>235.79</v>
      </c>
      <c r="M1692" s="4">
        <v>0</v>
      </c>
      <c r="N1692" s="3">
        <f t="shared" si="130"/>
        <v>1039.2</v>
      </c>
      <c r="O1692" s="3">
        <f t="shared" si="131"/>
        <v>1039.2</v>
      </c>
      <c r="P1692" s="3">
        <f t="shared" si="132"/>
        <v>471.58</v>
      </c>
      <c r="Q1692" s="3">
        <f t="shared" si="133"/>
        <v>567.62</v>
      </c>
      <c r="R1692" s="4">
        <f t="shared" si="134"/>
        <v>0.54620000000000002</v>
      </c>
      <c r="S1692" s="2">
        <v>4</v>
      </c>
      <c r="T1692" t="s">
        <v>46</v>
      </c>
      <c r="U1692">
        <v>3</v>
      </c>
    </row>
    <row r="1693" spans="1:22" x14ac:dyDescent="0.25">
      <c r="A1693" s="1">
        <v>46092</v>
      </c>
      <c r="B1693" t="s">
        <v>1886</v>
      </c>
      <c r="C1693" t="s">
        <v>447</v>
      </c>
      <c r="D1693" t="s">
        <v>24</v>
      </c>
      <c r="E1693" t="s">
        <v>25</v>
      </c>
      <c r="F1693" t="s">
        <v>64</v>
      </c>
      <c r="G1693" t="s">
        <v>51</v>
      </c>
      <c r="H1693" t="s">
        <v>52</v>
      </c>
      <c r="I1693" t="s">
        <v>77</v>
      </c>
      <c r="J1693" s="2">
        <v>4</v>
      </c>
      <c r="K1693" s="3">
        <v>244.97</v>
      </c>
      <c r="L1693" s="3">
        <v>117.45</v>
      </c>
      <c r="M1693" s="4">
        <v>0</v>
      </c>
      <c r="N1693" s="3">
        <f t="shared" si="130"/>
        <v>979.88</v>
      </c>
      <c r="O1693" s="3">
        <f t="shared" si="131"/>
        <v>979.88</v>
      </c>
      <c r="P1693" s="3">
        <f t="shared" si="132"/>
        <v>469.8</v>
      </c>
      <c r="Q1693" s="3">
        <f t="shared" si="133"/>
        <v>510.08</v>
      </c>
      <c r="R1693" s="4">
        <f t="shared" si="134"/>
        <v>0.52059999999999995</v>
      </c>
      <c r="S1693" s="2">
        <v>3</v>
      </c>
      <c r="T1693" t="s">
        <v>46</v>
      </c>
      <c r="U1693">
        <v>2</v>
      </c>
    </row>
    <row r="1694" spans="1:22" x14ac:dyDescent="0.25">
      <c r="A1694" s="1">
        <v>46138</v>
      </c>
      <c r="B1694" t="s">
        <v>1887</v>
      </c>
      <c r="C1694" t="s">
        <v>275</v>
      </c>
      <c r="D1694" t="s">
        <v>126</v>
      </c>
      <c r="E1694" t="s">
        <v>57</v>
      </c>
      <c r="F1694" t="s">
        <v>26</v>
      </c>
      <c r="G1694" t="s">
        <v>37</v>
      </c>
      <c r="H1694" t="s">
        <v>178</v>
      </c>
      <c r="I1694" t="s">
        <v>53</v>
      </c>
      <c r="J1694" s="2">
        <v>6</v>
      </c>
      <c r="K1694" s="3">
        <v>490.6</v>
      </c>
      <c r="L1694" s="3">
        <v>231.42</v>
      </c>
      <c r="M1694" s="4">
        <v>7.0699999999999999E-2</v>
      </c>
      <c r="N1694" s="3">
        <f t="shared" si="130"/>
        <v>2943.6</v>
      </c>
      <c r="O1694" s="3">
        <f t="shared" si="131"/>
        <v>2735.49</v>
      </c>
      <c r="P1694" s="3">
        <f t="shared" si="132"/>
        <v>1388.52</v>
      </c>
      <c r="Q1694" s="3">
        <f t="shared" si="133"/>
        <v>1346.97</v>
      </c>
      <c r="R1694" s="4">
        <f t="shared" si="134"/>
        <v>0.4924</v>
      </c>
      <c r="S1694" s="2">
        <v>14</v>
      </c>
      <c r="T1694" t="s">
        <v>30</v>
      </c>
      <c r="U1694">
        <v>4</v>
      </c>
    </row>
    <row r="1695" spans="1:22" x14ac:dyDescent="0.25">
      <c r="A1695" s="1">
        <v>46117</v>
      </c>
      <c r="B1695" t="s">
        <v>1888</v>
      </c>
      <c r="C1695" t="s">
        <v>150</v>
      </c>
      <c r="D1695" t="s">
        <v>71</v>
      </c>
      <c r="E1695" t="s">
        <v>72</v>
      </c>
      <c r="F1695" t="s">
        <v>26</v>
      </c>
      <c r="G1695" t="s">
        <v>27</v>
      </c>
      <c r="H1695" t="s">
        <v>86</v>
      </c>
      <c r="I1695" t="s">
        <v>65</v>
      </c>
      <c r="J1695" s="2">
        <v>7</v>
      </c>
      <c r="K1695" s="3">
        <v>1984.93</v>
      </c>
      <c r="L1695" s="3">
        <v>1249.6500000000001</v>
      </c>
      <c r="M1695" s="4">
        <v>0</v>
      </c>
      <c r="N1695" s="3">
        <f t="shared" si="130"/>
        <v>13894.51</v>
      </c>
      <c r="O1695" s="3">
        <f t="shared" si="131"/>
        <v>13894.51</v>
      </c>
      <c r="P1695" s="3">
        <f t="shared" si="132"/>
        <v>8747.5499999999993</v>
      </c>
      <c r="Q1695" s="3">
        <f t="shared" si="133"/>
        <v>5146.96</v>
      </c>
      <c r="R1695" s="4">
        <f t="shared" si="134"/>
        <v>0.37040000000000001</v>
      </c>
      <c r="S1695" s="2">
        <v>13</v>
      </c>
      <c r="T1695" t="s">
        <v>30</v>
      </c>
      <c r="U1695">
        <v>4</v>
      </c>
    </row>
    <row r="1696" spans="1:22" x14ac:dyDescent="0.25">
      <c r="A1696" s="1">
        <v>46093</v>
      </c>
      <c r="B1696" t="s">
        <v>1889</v>
      </c>
      <c r="C1696" t="s">
        <v>144</v>
      </c>
      <c r="D1696" t="s">
        <v>97</v>
      </c>
      <c r="E1696" t="s">
        <v>57</v>
      </c>
      <c r="F1696" t="s">
        <v>36</v>
      </c>
      <c r="G1696" t="s">
        <v>37</v>
      </c>
      <c r="H1696" t="s">
        <v>104</v>
      </c>
      <c r="I1696" t="s">
        <v>60</v>
      </c>
      <c r="J1696" s="2">
        <v>2</v>
      </c>
      <c r="K1696" s="3">
        <v>334.73</v>
      </c>
      <c r="L1696" s="3">
        <v>139.04</v>
      </c>
      <c r="M1696" s="4">
        <v>0</v>
      </c>
      <c r="N1696" s="3">
        <f t="shared" si="130"/>
        <v>669.46</v>
      </c>
      <c r="O1696" s="3">
        <f t="shared" si="131"/>
        <v>669.46</v>
      </c>
      <c r="P1696" s="3">
        <f t="shared" si="132"/>
        <v>278.08</v>
      </c>
      <c r="Q1696" s="3">
        <f t="shared" si="133"/>
        <v>391.38</v>
      </c>
      <c r="R1696" s="4">
        <f t="shared" si="134"/>
        <v>0.58460000000000001</v>
      </c>
      <c r="S1696" s="2">
        <v>9</v>
      </c>
      <c r="T1696" t="s">
        <v>46</v>
      </c>
      <c r="U1696">
        <v>4</v>
      </c>
    </row>
    <row r="1697" spans="1:21" x14ac:dyDescent="0.25">
      <c r="A1697" s="1">
        <v>46061</v>
      </c>
      <c r="B1697" t="s">
        <v>1890</v>
      </c>
      <c r="C1697" t="s">
        <v>182</v>
      </c>
      <c r="D1697" t="s">
        <v>139</v>
      </c>
      <c r="E1697" t="s">
        <v>72</v>
      </c>
      <c r="F1697" t="s">
        <v>58</v>
      </c>
      <c r="G1697" t="s">
        <v>27</v>
      </c>
      <c r="H1697" t="s">
        <v>86</v>
      </c>
      <c r="I1697" t="s">
        <v>29</v>
      </c>
      <c r="J1697" s="2">
        <v>1</v>
      </c>
      <c r="K1697" s="3">
        <v>1816.23</v>
      </c>
      <c r="L1697" s="3">
        <v>1210.58</v>
      </c>
      <c r="M1697" s="4">
        <v>3.5000000000000003E-2</v>
      </c>
      <c r="N1697" s="3">
        <f t="shared" si="130"/>
        <v>1816.23</v>
      </c>
      <c r="O1697" s="3">
        <f t="shared" si="131"/>
        <v>1752.66</v>
      </c>
      <c r="P1697" s="3">
        <f t="shared" si="132"/>
        <v>1210.58</v>
      </c>
      <c r="Q1697" s="3">
        <f t="shared" si="133"/>
        <v>542.08000000000004</v>
      </c>
      <c r="R1697" s="4">
        <f t="shared" si="134"/>
        <v>0.30930000000000002</v>
      </c>
      <c r="S1697" s="2">
        <v>10</v>
      </c>
      <c r="T1697" t="s">
        <v>46</v>
      </c>
      <c r="U1697">
        <v>2</v>
      </c>
    </row>
    <row r="1698" spans="1:21" x14ac:dyDescent="0.25">
      <c r="A1698" s="1">
        <v>46073</v>
      </c>
      <c r="B1698" t="s">
        <v>1891</v>
      </c>
      <c r="C1698" t="s">
        <v>464</v>
      </c>
      <c r="D1698" t="s">
        <v>130</v>
      </c>
      <c r="E1698" t="s">
        <v>72</v>
      </c>
      <c r="F1698" t="s">
        <v>36</v>
      </c>
      <c r="G1698" t="s">
        <v>44</v>
      </c>
      <c r="H1698" t="s">
        <v>73</v>
      </c>
      <c r="I1698" t="s">
        <v>60</v>
      </c>
      <c r="J1698" s="2">
        <v>7</v>
      </c>
      <c r="K1698" s="3">
        <v>1643.94</v>
      </c>
      <c r="L1698" s="3">
        <v>1102.31</v>
      </c>
      <c r="M1698" s="4">
        <v>0.11219999999999999</v>
      </c>
      <c r="N1698" s="3">
        <f t="shared" si="130"/>
        <v>11507.58</v>
      </c>
      <c r="O1698" s="3">
        <f t="shared" si="131"/>
        <v>10216.43</v>
      </c>
      <c r="P1698" s="3">
        <f t="shared" si="132"/>
        <v>7716.17</v>
      </c>
      <c r="Q1698" s="3">
        <f t="shared" si="133"/>
        <v>2500.2600000000002</v>
      </c>
      <c r="R1698" s="4">
        <f t="shared" si="134"/>
        <v>0.2447</v>
      </c>
      <c r="S1698" s="2">
        <v>11</v>
      </c>
      <c r="T1698" t="s">
        <v>30</v>
      </c>
      <c r="U1698">
        <v>3</v>
      </c>
    </row>
    <row r="1699" spans="1:21" x14ac:dyDescent="0.25">
      <c r="A1699" s="1">
        <v>46038</v>
      </c>
      <c r="B1699" t="s">
        <v>1892</v>
      </c>
      <c r="C1699" t="s">
        <v>560</v>
      </c>
      <c r="D1699" t="s">
        <v>34</v>
      </c>
      <c r="E1699" t="s">
        <v>35</v>
      </c>
      <c r="F1699" t="s">
        <v>36</v>
      </c>
      <c r="G1699" t="s">
        <v>44</v>
      </c>
      <c r="H1699" t="s">
        <v>45</v>
      </c>
      <c r="I1699" t="s">
        <v>92</v>
      </c>
      <c r="J1699" s="2">
        <v>8</v>
      </c>
      <c r="K1699" s="3">
        <v>402.75</v>
      </c>
      <c r="L1699" s="3">
        <v>212.44</v>
      </c>
      <c r="M1699" s="4">
        <v>0.1206</v>
      </c>
      <c r="N1699" s="3">
        <f t="shared" si="130"/>
        <v>3222</v>
      </c>
      <c r="O1699" s="3">
        <f t="shared" si="131"/>
        <v>2833.43</v>
      </c>
      <c r="P1699" s="3">
        <f t="shared" si="132"/>
        <v>1699.52</v>
      </c>
      <c r="Q1699" s="3">
        <f t="shared" si="133"/>
        <v>1133.9100000000001</v>
      </c>
      <c r="R1699" s="4">
        <f t="shared" si="134"/>
        <v>0.4002</v>
      </c>
      <c r="S1699" s="2">
        <v>9</v>
      </c>
      <c r="T1699" t="s">
        <v>40</v>
      </c>
    </row>
    <row r="1700" spans="1:21" x14ac:dyDescent="0.25">
      <c r="A1700" s="1">
        <v>46150</v>
      </c>
      <c r="B1700" t="s">
        <v>1893</v>
      </c>
      <c r="C1700" t="s">
        <v>42</v>
      </c>
      <c r="D1700" t="s">
        <v>49</v>
      </c>
      <c r="E1700" t="s">
        <v>50</v>
      </c>
      <c r="F1700" t="s">
        <v>58</v>
      </c>
      <c r="G1700" t="s">
        <v>37</v>
      </c>
      <c r="H1700" t="s">
        <v>38</v>
      </c>
      <c r="I1700" t="s">
        <v>39</v>
      </c>
      <c r="J1700" s="2">
        <v>8</v>
      </c>
      <c r="K1700" s="3">
        <v>430.68</v>
      </c>
      <c r="L1700" s="3">
        <v>186.19</v>
      </c>
      <c r="M1700" s="4">
        <v>0.11899999999999999</v>
      </c>
      <c r="N1700" s="3">
        <f t="shared" si="130"/>
        <v>3445.44</v>
      </c>
      <c r="O1700" s="3">
        <f t="shared" si="131"/>
        <v>3035.43</v>
      </c>
      <c r="P1700" s="3">
        <f t="shared" si="132"/>
        <v>1489.52</v>
      </c>
      <c r="Q1700" s="3">
        <f t="shared" si="133"/>
        <v>1545.91</v>
      </c>
      <c r="R1700" s="4">
        <f t="shared" si="134"/>
        <v>0.50929999999999997</v>
      </c>
      <c r="S1700" s="2">
        <v>14</v>
      </c>
      <c r="T1700" t="s">
        <v>30</v>
      </c>
      <c r="U1700">
        <v>2</v>
      </c>
    </row>
    <row r="1701" spans="1:21" x14ac:dyDescent="0.25">
      <c r="A1701" s="1">
        <v>46210</v>
      </c>
      <c r="B1701" t="s">
        <v>1894</v>
      </c>
      <c r="C1701" t="s">
        <v>211</v>
      </c>
      <c r="D1701" t="s">
        <v>71</v>
      </c>
      <c r="E1701" t="s">
        <v>72</v>
      </c>
      <c r="F1701" t="s">
        <v>26</v>
      </c>
      <c r="G1701" t="s">
        <v>27</v>
      </c>
      <c r="H1701" t="s">
        <v>68</v>
      </c>
      <c r="I1701" t="s">
        <v>53</v>
      </c>
      <c r="J1701" s="2">
        <v>2</v>
      </c>
      <c r="K1701" s="3">
        <v>1358.29</v>
      </c>
      <c r="L1701" s="3">
        <v>824.48</v>
      </c>
      <c r="M1701" s="4">
        <v>7.7200000000000005E-2</v>
      </c>
      <c r="N1701" s="3">
        <f t="shared" si="130"/>
        <v>2716.58</v>
      </c>
      <c r="O1701" s="3">
        <f t="shared" si="131"/>
        <v>2506.86</v>
      </c>
      <c r="P1701" s="3">
        <f t="shared" si="132"/>
        <v>1648.96</v>
      </c>
      <c r="Q1701" s="3">
        <f t="shared" si="133"/>
        <v>857.9</v>
      </c>
      <c r="R1701" s="4">
        <f t="shared" si="134"/>
        <v>0.3422</v>
      </c>
      <c r="S1701" s="2">
        <v>10</v>
      </c>
      <c r="T1701" t="s">
        <v>46</v>
      </c>
      <c r="U1701">
        <v>2</v>
      </c>
    </row>
    <row r="1702" spans="1:21" x14ac:dyDescent="0.25">
      <c r="A1702" s="1">
        <v>46100</v>
      </c>
      <c r="B1702" t="s">
        <v>1895</v>
      </c>
      <c r="C1702" t="s">
        <v>55</v>
      </c>
      <c r="D1702" t="s">
        <v>113</v>
      </c>
      <c r="E1702" t="s">
        <v>50</v>
      </c>
      <c r="F1702" t="s">
        <v>36</v>
      </c>
      <c r="G1702" t="s">
        <v>51</v>
      </c>
      <c r="H1702" t="s">
        <v>116</v>
      </c>
      <c r="I1702" t="s">
        <v>77</v>
      </c>
      <c r="J1702" s="2">
        <v>2</v>
      </c>
      <c r="K1702" s="3">
        <v>2931.58</v>
      </c>
      <c r="L1702" s="3">
        <v>1802.63</v>
      </c>
      <c r="M1702" s="4">
        <v>0</v>
      </c>
      <c r="N1702" s="3">
        <f t="shared" si="130"/>
        <v>5863.16</v>
      </c>
      <c r="O1702" s="3">
        <f t="shared" si="131"/>
        <v>5863.16</v>
      </c>
      <c r="P1702" s="3">
        <f t="shared" si="132"/>
        <v>3605.26</v>
      </c>
      <c r="Q1702" s="3">
        <f t="shared" si="133"/>
        <v>2257.9</v>
      </c>
      <c r="R1702" s="4">
        <f t="shared" si="134"/>
        <v>0.3851</v>
      </c>
      <c r="S1702" s="2">
        <v>7</v>
      </c>
      <c r="T1702" t="s">
        <v>46</v>
      </c>
      <c r="U1702">
        <v>5</v>
      </c>
    </row>
    <row r="1703" spans="1:21" x14ac:dyDescent="0.25">
      <c r="A1703" s="1">
        <v>46205</v>
      </c>
      <c r="B1703" t="s">
        <v>1896</v>
      </c>
      <c r="C1703" t="s">
        <v>176</v>
      </c>
      <c r="D1703" t="s">
        <v>71</v>
      </c>
      <c r="E1703" t="s">
        <v>72</v>
      </c>
      <c r="F1703" t="s">
        <v>26</v>
      </c>
      <c r="G1703" t="s">
        <v>51</v>
      </c>
      <c r="H1703" t="s">
        <v>59</v>
      </c>
      <c r="I1703" t="s">
        <v>94</v>
      </c>
      <c r="J1703" s="2">
        <v>7</v>
      </c>
      <c r="K1703" s="3">
        <v>2091.4499999999998</v>
      </c>
      <c r="L1703" s="3">
        <v>1466.09</v>
      </c>
      <c r="M1703" s="4">
        <v>0</v>
      </c>
      <c r="N1703" s="3">
        <f t="shared" si="130"/>
        <v>14640.15</v>
      </c>
      <c r="O1703" s="3">
        <f t="shared" si="131"/>
        <v>14640.15</v>
      </c>
      <c r="P1703" s="3">
        <f t="shared" si="132"/>
        <v>10262.629999999999</v>
      </c>
      <c r="Q1703" s="3">
        <f t="shared" si="133"/>
        <v>4377.5200000000004</v>
      </c>
      <c r="R1703" s="4">
        <f t="shared" si="134"/>
        <v>0.29899999999999999</v>
      </c>
      <c r="S1703" s="2">
        <v>13</v>
      </c>
      <c r="T1703" t="s">
        <v>30</v>
      </c>
      <c r="U1703">
        <v>2</v>
      </c>
    </row>
    <row r="1704" spans="1:21" x14ac:dyDescent="0.25">
      <c r="A1704" s="1">
        <v>46215</v>
      </c>
      <c r="B1704" t="s">
        <v>1897</v>
      </c>
      <c r="C1704" t="s">
        <v>153</v>
      </c>
      <c r="D1704" t="s">
        <v>113</v>
      </c>
      <c r="E1704" t="s">
        <v>50</v>
      </c>
      <c r="F1704" t="s">
        <v>58</v>
      </c>
      <c r="G1704" t="s">
        <v>51</v>
      </c>
      <c r="H1704" t="s">
        <v>52</v>
      </c>
      <c r="I1704" t="s">
        <v>92</v>
      </c>
      <c r="J1704" s="2">
        <v>6</v>
      </c>
      <c r="K1704" s="3">
        <v>275.16000000000003</v>
      </c>
      <c r="L1704" s="3">
        <v>116.22</v>
      </c>
      <c r="M1704" s="4">
        <v>3.5000000000000003E-2</v>
      </c>
      <c r="N1704" s="3">
        <f t="shared" si="130"/>
        <v>1650.96</v>
      </c>
      <c r="O1704" s="3">
        <f t="shared" si="131"/>
        <v>1593.18</v>
      </c>
      <c r="P1704" s="3">
        <f t="shared" si="132"/>
        <v>697.32</v>
      </c>
      <c r="Q1704" s="3">
        <f t="shared" si="133"/>
        <v>895.86</v>
      </c>
      <c r="R1704" s="4">
        <f t="shared" si="134"/>
        <v>0.56230000000000002</v>
      </c>
      <c r="S1704" s="2">
        <v>14</v>
      </c>
      <c r="T1704" t="s">
        <v>30</v>
      </c>
      <c r="U1704">
        <v>3</v>
      </c>
    </row>
    <row r="1705" spans="1:21" x14ac:dyDescent="0.25">
      <c r="A1705" s="1">
        <v>46197</v>
      </c>
      <c r="B1705" t="s">
        <v>1898</v>
      </c>
      <c r="C1705" t="s">
        <v>214</v>
      </c>
      <c r="D1705" t="s">
        <v>43</v>
      </c>
      <c r="E1705" t="s">
        <v>25</v>
      </c>
      <c r="F1705" t="s">
        <v>64</v>
      </c>
      <c r="G1705" t="s">
        <v>51</v>
      </c>
      <c r="H1705" t="s">
        <v>59</v>
      </c>
      <c r="I1705" t="s">
        <v>53</v>
      </c>
      <c r="J1705" s="2">
        <v>8</v>
      </c>
      <c r="K1705" s="3">
        <v>2277.4899999999998</v>
      </c>
      <c r="L1705" s="3">
        <v>1485.89</v>
      </c>
      <c r="M1705" s="4">
        <v>9.4299999999999995E-2</v>
      </c>
      <c r="N1705" s="3">
        <f t="shared" si="130"/>
        <v>18219.919999999998</v>
      </c>
      <c r="O1705" s="3">
        <f t="shared" si="131"/>
        <v>16501.78</v>
      </c>
      <c r="P1705" s="3">
        <f t="shared" si="132"/>
        <v>11887.12</v>
      </c>
      <c r="Q1705" s="3">
        <f t="shared" si="133"/>
        <v>4614.66</v>
      </c>
      <c r="R1705" s="4">
        <f t="shared" si="134"/>
        <v>0.27960000000000002</v>
      </c>
      <c r="S1705" s="2">
        <v>9</v>
      </c>
      <c r="T1705" t="s">
        <v>46</v>
      </c>
      <c r="U1705">
        <v>3</v>
      </c>
    </row>
    <row r="1706" spans="1:21" x14ac:dyDescent="0.25">
      <c r="A1706" s="1">
        <v>46103</v>
      </c>
      <c r="B1706" t="s">
        <v>1899</v>
      </c>
      <c r="C1706" t="s">
        <v>182</v>
      </c>
      <c r="D1706" t="s">
        <v>207</v>
      </c>
      <c r="E1706" t="s">
        <v>35</v>
      </c>
      <c r="F1706" t="s">
        <v>58</v>
      </c>
      <c r="G1706" t="s">
        <v>44</v>
      </c>
      <c r="H1706" t="s">
        <v>45</v>
      </c>
      <c r="I1706" t="s">
        <v>92</v>
      </c>
      <c r="J1706" s="2">
        <v>1</v>
      </c>
      <c r="K1706" s="3">
        <v>369.87</v>
      </c>
      <c r="L1706" s="3">
        <v>214.86</v>
      </c>
      <c r="M1706" s="4">
        <v>3.5000000000000003E-2</v>
      </c>
      <c r="N1706" s="3">
        <f t="shared" si="130"/>
        <v>369.87</v>
      </c>
      <c r="O1706" s="3">
        <f t="shared" si="131"/>
        <v>356.92</v>
      </c>
      <c r="P1706" s="3">
        <f t="shared" si="132"/>
        <v>214.86</v>
      </c>
      <c r="Q1706" s="3">
        <f t="shared" si="133"/>
        <v>142.06</v>
      </c>
      <c r="R1706" s="4">
        <f t="shared" si="134"/>
        <v>0.39800000000000002</v>
      </c>
      <c r="S1706" s="2">
        <v>8</v>
      </c>
      <c r="T1706" t="s">
        <v>46</v>
      </c>
      <c r="U1706">
        <v>3</v>
      </c>
    </row>
    <row r="1707" spans="1:21" x14ac:dyDescent="0.25">
      <c r="A1707" s="1">
        <v>46140</v>
      </c>
      <c r="B1707" t="s">
        <v>1900</v>
      </c>
      <c r="C1707" t="s">
        <v>381</v>
      </c>
      <c r="D1707" t="s">
        <v>101</v>
      </c>
      <c r="E1707" t="s">
        <v>35</v>
      </c>
      <c r="F1707" t="s">
        <v>64</v>
      </c>
      <c r="G1707" t="s">
        <v>44</v>
      </c>
      <c r="H1707" t="s">
        <v>124</v>
      </c>
      <c r="I1707" t="s">
        <v>87</v>
      </c>
      <c r="J1707" s="2">
        <v>5</v>
      </c>
      <c r="K1707" s="3">
        <v>6192.95</v>
      </c>
      <c r="L1707" s="3">
        <v>4324.7299999999996</v>
      </c>
      <c r="M1707" s="4">
        <v>0</v>
      </c>
      <c r="N1707" s="3">
        <f t="shared" si="130"/>
        <v>30964.75</v>
      </c>
      <c r="O1707" s="3">
        <f t="shared" si="131"/>
        <v>30964.75</v>
      </c>
      <c r="P1707" s="3">
        <f t="shared" si="132"/>
        <v>21623.65</v>
      </c>
      <c r="Q1707" s="3">
        <f t="shared" si="133"/>
        <v>9341.1</v>
      </c>
      <c r="R1707" s="4">
        <f t="shared" si="134"/>
        <v>0.30170000000000002</v>
      </c>
      <c r="S1707" s="2">
        <v>11</v>
      </c>
      <c r="T1707" t="s">
        <v>30</v>
      </c>
      <c r="U1707">
        <v>2</v>
      </c>
    </row>
    <row r="1708" spans="1:21" x14ac:dyDescent="0.25">
      <c r="A1708" s="1">
        <v>46189</v>
      </c>
      <c r="B1708" t="s">
        <v>1901</v>
      </c>
      <c r="C1708" t="s">
        <v>170</v>
      </c>
      <c r="D1708" t="s">
        <v>97</v>
      </c>
      <c r="E1708" t="s">
        <v>57</v>
      </c>
      <c r="F1708" t="s">
        <v>58</v>
      </c>
      <c r="G1708" t="s">
        <v>27</v>
      </c>
      <c r="H1708" t="s">
        <v>28</v>
      </c>
      <c r="I1708" t="s">
        <v>77</v>
      </c>
      <c r="J1708" s="2">
        <v>6</v>
      </c>
      <c r="K1708" s="3">
        <v>784.91</v>
      </c>
      <c r="L1708" s="3">
        <v>440.43</v>
      </c>
      <c r="M1708" s="4">
        <v>3.5000000000000003E-2</v>
      </c>
      <c r="N1708" s="3">
        <f t="shared" si="130"/>
        <v>4709.46</v>
      </c>
      <c r="O1708" s="3">
        <f t="shared" si="131"/>
        <v>4544.63</v>
      </c>
      <c r="P1708" s="3">
        <f t="shared" si="132"/>
        <v>2642.58</v>
      </c>
      <c r="Q1708" s="3">
        <f t="shared" si="133"/>
        <v>1902.05</v>
      </c>
      <c r="R1708" s="4">
        <f t="shared" si="134"/>
        <v>0.41849999999999998</v>
      </c>
      <c r="S1708" s="2">
        <v>8</v>
      </c>
      <c r="T1708" t="s">
        <v>46</v>
      </c>
      <c r="U1708">
        <v>5</v>
      </c>
    </row>
    <row r="1709" spans="1:21" x14ac:dyDescent="0.25">
      <c r="A1709" s="1">
        <v>46057</v>
      </c>
      <c r="B1709" t="s">
        <v>1902</v>
      </c>
      <c r="C1709" t="s">
        <v>150</v>
      </c>
      <c r="D1709" t="s">
        <v>139</v>
      </c>
      <c r="E1709" t="s">
        <v>72</v>
      </c>
      <c r="F1709" t="s">
        <v>58</v>
      </c>
      <c r="G1709" t="s">
        <v>51</v>
      </c>
      <c r="H1709" t="s">
        <v>59</v>
      </c>
      <c r="I1709" t="s">
        <v>94</v>
      </c>
      <c r="J1709" s="2">
        <v>7</v>
      </c>
      <c r="K1709" s="3">
        <v>2313.4899999999998</v>
      </c>
      <c r="L1709" s="3">
        <v>1493.55</v>
      </c>
      <c r="M1709" s="4">
        <v>9.6100000000000005E-2</v>
      </c>
      <c r="N1709" s="3">
        <f t="shared" si="130"/>
        <v>16194.43</v>
      </c>
      <c r="O1709" s="3">
        <f t="shared" si="131"/>
        <v>14638.15</v>
      </c>
      <c r="P1709" s="3">
        <f t="shared" si="132"/>
        <v>10454.85</v>
      </c>
      <c r="Q1709" s="3">
        <f t="shared" si="133"/>
        <v>4183.3</v>
      </c>
      <c r="R1709" s="4">
        <f t="shared" si="134"/>
        <v>0.2858</v>
      </c>
      <c r="S1709" s="2">
        <v>4</v>
      </c>
      <c r="T1709" t="s">
        <v>46</v>
      </c>
      <c r="U1709">
        <v>4</v>
      </c>
    </row>
    <row r="1710" spans="1:21" x14ac:dyDescent="0.25">
      <c r="A1710" s="1">
        <v>46177</v>
      </c>
      <c r="B1710" t="s">
        <v>1903</v>
      </c>
      <c r="C1710" t="s">
        <v>247</v>
      </c>
      <c r="D1710" t="s">
        <v>130</v>
      </c>
      <c r="E1710" t="s">
        <v>72</v>
      </c>
      <c r="F1710" t="s">
        <v>58</v>
      </c>
      <c r="G1710" t="s">
        <v>51</v>
      </c>
      <c r="H1710" t="s">
        <v>59</v>
      </c>
      <c r="I1710" t="s">
        <v>77</v>
      </c>
      <c r="J1710" s="2">
        <v>8</v>
      </c>
      <c r="K1710" s="3">
        <v>2307.77</v>
      </c>
      <c r="L1710" s="3">
        <v>1414.53</v>
      </c>
      <c r="M1710" s="4">
        <v>8.8700000000000001E-2</v>
      </c>
      <c r="N1710" s="3">
        <f t="shared" si="130"/>
        <v>18462.16</v>
      </c>
      <c r="O1710" s="3">
        <f t="shared" si="131"/>
        <v>16824.57</v>
      </c>
      <c r="P1710" s="3">
        <f t="shared" si="132"/>
        <v>11316.24</v>
      </c>
      <c r="Q1710" s="3">
        <f t="shared" si="133"/>
        <v>5508.33</v>
      </c>
      <c r="R1710" s="4">
        <f t="shared" si="134"/>
        <v>0.32740000000000002</v>
      </c>
      <c r="S1710" s="2">
        <v>5</v>
      </c>
      <c r="T1710" t="s">
        <v>46</v>
      </c>
      <c r="U1710">
        <v>3</v>
      </c>
    </row>
    <row r="1711" spans="1:21" x14ac:dyDescent="0.25">
      <c r="A1711" s="1">
        <v>46214</v>
      </c>
      <c r="B1711" t="s">
        <v>1904</v>
      </c>
      <c r="C1711" t="s">
        <v>218</v>
      </c>
      <c r="D1711" t="s">
        <v>101</v>
      </c>
      <c r="E1711" t="s">
        <v>35</v>
      </c>
      <c r="F1711" t="s">
        <v>58</v>
      </c>
      <c r="G1711" t="s">
        <v>44</v>
      </c>
      <c r="H1711" t="s">
        <v>73</v>
      </c>
      <c r="I1711" t="s">
        <v>74</v>
      </c>
      <c r="J1711" s="2">
        <v>1</v>
      </c>
      <c r="K1711" s="3">
        <v>1720.56</v>
      </c>
      <c r="L1711" s="3">
        <v>1110.2</v>
      </c>
      <c r="M1711" s="4">
        <v>3.5000000000000003E-2</v>
      </c>
      <c r="N1711" s="3">
        <f t="shared" si="130"/>
        <v>1720.56</v>
      </c>
      <c r="O1711" s="3">
        <f t="shared" si="131"/>
        <v>1660.34</v>
      </c>
      <c r="P1711" s="3">
        <f t="shared" si="132"/>
        <v>1110.2</v>
      </c>
      <c r="Q1711" s="3">
        <f t="shared" si="133"/>
        <v>550.14</v>
      </c>
      <c r="R1711" s="4">
        <f t="shared" si="134"/>
        <v>0.33129999999999998</v>
      </c>
      <c r="S1711" s="2">
        <v>14</v>
      </c>
      <c r="T1711" t="s">
        <v>30</v>
      </c>
      <c r="U1711">
        <v>5</v>
      </c>
    </row>
    <row r="1712" spans="1:21" x14ac:dyDescent="0.25">
      <c r="A1712" s="1">
        <v>46187</v>
      </c>
      <c r="B1712" t="s">
        <v>1905</v>
      </c>
      <c r="C1712" t="s">
        <v>112</v>
      </c>
      <c r="D1712" t="s">
        <v>71</v>
      </c>
      <c r="E1712" t="s">
        <v>72</v>
      </c>
      <c r="F1712" t="s">
        <v>58</v>
      </c>
      <c r="G1712" t="s">
        <v>44</v>
      </c>
      <c r="H1712" t="s">
        <v>45</v>
      </c>
      <c r="I1712" t="s">
        <v>39</v>
      </c>
      <c r="J1712" s="2">
        <v>3</v>
      </c>
      <c r="K1712" s="3">
        <v>382.93</v>
      </c>
      <c r="L1712" s="3">
        <v>216.38</v>
      </c>
      <c r="M1712" s="4">
        <v>4.3999999999999997E-2</v>
      </c>
      <c r="N1712" s="3">
        <f t="shared" si="130"/>
        <v>1148.79</v>
      </c>
      <c r="O1712" s="3">
        <f t="shared" si="131"/>
        <v>1098.24</v>
      </c>
      <c r="P1712" s="3">
        <f t="shared" si="132"/>
        <v>649.14</v>
      </c>
      <c r="Q1712" s="3">
        <f t="shared" si="133"/>
        <v>449.1</v>
      </c>
      <c r="R1712" s="4">
        <f t="shared" si="134"/>
        <v>0.40889999999999999</v>
      </c>
      <c r="S1712" s="2">
        <v>13</v>
      </c>
      <c r="T1712" t="s">
        <v>30</v>
      </c>
      <c r="U1712">
        <v>4</v>
      </c>
    </row>
    <row r="1713" spans="1:21" x14ac:dyDescent="0.25">
      <c r="A1713" s="1">
        <v>46140</v>
      </c>
      <c r="B1713" t="s">
        <v>1906</v>
      </c>
      <c r="C1713" t="s">
        <v>378</v>
      </c>
      <c r="D1713" t="s">
        <v>24</v>
      </c>
      <c r="E1713" t="s">
        <v>25</v>
      </c>
      <c r="F1713" t="s">
        <v>26</v>
      </c>
      <c r="G1713" t="s">
        <v>44</v>
      </c>
      <c r="H1713" t="s">
        <v>73</v>
      </c>
      <c r="I1713" t="s">
        <v>77</v>
      </c>
      <c r="J1713" s="2">
        <v>5</v>
      </c>
      <c r="K1713" s="3">
        <v>1603.16</v>
      </c>
      <c r="L1713" s="3">
        <v>1170.3800000000001</v>
      </c>
      <c r="M1713" s="4">
        <v>0</v>
      </c>
      <c r="N1713" s="3">
        <f t="shared" si="130"/>
        <v>8015.8</v>
      </c>
      <c r="O1713" s="3">
        <f t="shared" si="131"/>
        <v>8015.8</v>
      </c>
      <c r="P1713" s="3">
        <f t="shared" si="132"/>
        <v>5851.9</v>
      </c>
      <c r="Q1713" s="3">
        <f t="shared" si="133"/>
        <v>2163.9</v>
      </c>
      <c r="R1713" s="4">
        <f t="shared" si="134"/>
        <v>0.27</v>
      </c>
      <c r="S1713" s="2">
        <v>2</v>
      </c>
      <c r="T1713" t="s">
        <v>46</v>
      </c>
      <c r="U1713">
        <v>2</v>
      </c>
    </row>
    <row r="1714" spans="1:21" x14ac:dyDescent="0.25">
      <c r="A1714" s="1">
        <v>46214</v>
      </c>
      <c r="B1714" t="s">
        <v>1907</v>
      </c>
      <c r="C1714" t="s">
        <v>62</v>
      </c>
      <c r="D1714" t="s">
        <v>126</v>
      </c>
      <c r="E1714" t="s">
        <v>57</v>
      </c>
      <c r="F1714" t="s">
        <v>26</v>
      </c>
      <c r="G1714" t="s">
        <v>51</v>
      </c>
      <c r="H1714" t="s">
        <v>59</v>
      </c>
      <c r="I1714" t="s">
        <v>94</v>
      </c>
      <c r="J1714" s="2">
        <v>1</v>
      </c>
      <c r="K1714" s="3">
        <v>2317.86</v>
      </c>
      <c r="L1714" s="3">
        <v>1375.23</v>
      </c>
      <c r="M1714" s="4">
        <v>0</v>
      </c>
      <c r="N1714" s="3">
        <f t="shared" si="130"/>
        <v>2317.86</v>
      </c>
      <c r="O1714" s="3">
        <f t="shared" si="131"/>
        <v>2317.86</v>
      </c>
      <c r="P1714" s="3">
        <f t="shared" si="132"/>
        <v>1375.23</v>
      </c>
      <c r="Q1714" s="3">
        <f t="shared" si="133"/>
        <v>942.63</v>
      </c>
      <c r="R1714" s="4">
        <f t="shared" si="134"/>
        <v>0.40670000000000001</v>
      </c>
      <c r="S1714" s="2">
        <v>9</v>
      </c>
      <c r="T1714" t="s">
        <v>40</v>
      </c>
    </row>
    <row r="1715" spans="1:21" x14ac:dyDescent="0.25">
      <c r="A1715" s="1">
        <v>46043</v>
      </c>
      <c r="B1715" t="s">
        <v>1908</v>
      </c>
      <c r="C1715" t="s">
        <v>70</v>
      </c>
      <c r="D1715" t="s">
        <v>101</v>
      </c>
      <c r="E1715" t="s">
        <v>35</v>
      </c>
      <c r="F1715" t="s">
        <v>58</v>
      </c>
      <c r="G1715" t="s">
        <v>37</v>
      </c>
      <c r="H1715" t="s">
        <v>178</v>
      </c>
      <c r="I1715" t="s">
        <v>87</v>
      </c>
      <c r="J1715" s="2">
        <v>1</v>
      </c>
      <c r="K1715" s="3">
        <v>480.54</v>
      </c>
      <c r="L1715" s="3">
        <v>240.3</v>
      </c>
      <c r="M1715" s="4">
        <v>3.5000000000000003E-2</v>
      </c>
      <c r="N1715" s="3">
        <f t="shared" si="130"/>
        <v>480.54</v>
      </c>
      <c r="O1715" s="3">
        <f t="shared" si="131"/>
        <v>463.72</v>
      </c>
      <c r="P1715" s="3">
        <f t="shared" si="132"/>
        <v>240.3</v>
      </c>
      <c r="Q1715" s="3">
        <f t="shared" si="133"/>
        <v>223.42</v>
      </c>
      <c r="R1715" s="4">
        <f t="shared" si="134"/>
        <v>0.48180000000000001</v>
      </c>
      <c r="S1715" s="2">
        <v>7</v>
      </c>
      <c r="T1715" t="s">
        <v>46</v>
      </c>
      <c r="U1715">
        <v>2</v>
      </c>
    </row>
    <row r="1716" spans="1:21" x14ac:dyDescent="0.25">
      <c r="A1716" s="1">
        <v>46052</v>
      </c>
      <c r="B1716" t="s">
        <v>1909</v>
      </c>
      <c r="C1716" t="s">
        <v>218</v>
      </c>
      <c r="D1716" t="s">
        <v>34</v>
      </c>
      <c r="E1716" t="s">
        <v>35</v>
      </c>
      <c r="F1716" t="s">
        <v>64</v>
      </c>
      <c r="G1716" t="s">
        <v>27</v>
      </c>
      <c r="H1716" t="s">
        <v>28</v>
      </c>
      <c r="I1716" t="s">
        <v>53</v>
      </c>
      <c r="J1716" s="2">
        <v>5</v>
      </c>
      <c r="K1716" s="3">
        <v>836.72</v>
      </c>
      <c r="L1716" s="3">
        <v>454.21</v>
      </c>
      <c r="M1716" s="4">
        <v>0</v>
      </c>
      <c r="N1716" s="3">
        <f t="shared" si="130"/>
        <v>4183.6000000000004</v>
      </c>
      <c r="O1716" s="3">
        <f t="shared" si="131"/>
        <v>4183.6000000000004</v>
      </c>
      <c r="P1716" s="3">
        <f t="shared" si="132"/>
        <v>2271.0500000000002</v>
      </c>
      <c r="Q1716" s="3">
        <f t="shared" si="133"/>
        <v>1912.55</v>
      </c>
      <c r="R1716" s="4">
        <f t="shared" si="134"/>
        <v>0.4572</v>
      </c>
      <c r="S1716" s="2">
        <v>3</v>
      </c>
      <c r="T1716" t="s">
        <v>46</v>
      </c>
      <c r="U1716">
        <v>2</v>
      </c>
    </row>
    <row r="1717" spans="1:21" x14ac:dyDescent="0.25">
      <c r="A1717" s="1">
        <v>46131</v>
      </c>
      <c r="B1717" t="s">
        <v>1910</v>
      </c>
      <c r="C1717" t="s">
        <v>76</v>
      </c>
      <c r="D1717" t="s">
        <v>97</v>
      </c>
      <c r="E1717" t="s">
        <v>57</v>
      </c>
      <c r="F1717" t="s">
        <v>64</v>
      </c>
      <c r="G1717" t="s">
        <v>44</v>
      </c>
      <c r="H1717" t="s">
        <v>45</v>
      </c>
      <c r="I1717" t="s">
        <v>74</v>
      </c>
      <c r="J1717" s="2">
        <v>8</v>
      </c>
      <c r="K1717" s="3">
        <v>368.52</v>
      </c>
      <c r="L1717" s="3">
        <v>205.92</v>
      </c>
      <c r="M1717" s="4">
        <v>7.0199999999999999E-2</v>
      </c>
      <c r="N1717" s="3">
        <f t="shared" si="130"/>
        <v>2948.16</v>
      </c>
      <c r="O1717" s="3">
        <f t="shared" si="131"/>
        <v>2741.2</v>
      </c>
      <c r="P1717" s="3">
        <f t="shared" si="132"/>
        <v>1647.36</v>
      </c>
      <c r="Q1717" s="3">
        <f t="shared" si="133"/>
        <v>1093.8399999999999</v>
      </c>
      <c r="R1717" s="4">
        <f t="shared" si="134"/>
        <v>0.39900000000000002</v>
      </c>
      <c r="S1717" s="2">
        <v>3</v>
      </c>
      <c r="T1717" t="s">
        <v>46</v>
      </c>
      <c r="U1717">
        <v>2</v>
      </c>
    </row>
    <row r="1718" spans="1:21" x14ac:dyDescent="0.25">
      <c r="A1718" s="1">
        <v>46089</v>
      </c>
      <c r="B1718" t="s">
        <v>1911</v>
      </c>
      <c r="C1718" t="s">
        <v>329</v>
      </c>
      <c r="D1718" t="s">
        <v>24</v>
      </c>
      <c r="E1718" t="s">
        <v>25</v>
      </c>
      <c r="F1718" t="s">
        <v>26</v>
      </c>
      <c r="G1718" t="s">
        <v>27</v>
      </c>
      <c r="H1718" t="s">
        <v>28</v>
      </c>
      <c r="I1718" t="s">
        <v>65</v>
      </c>
      <c r="J1718" s="2">
        <v>8</v>
      </c>
      <c r="K1718" s="3">
        <v>779.35</v>
      </c>
      <c r="L1718" s="3">
        <v>471.38</v>
      </c>
      <c r="M1718" s="4">
        <v>0</v>
      </c>
      <c r="N1718" s="3">
        <f t="shared" si="130"/>
        <v>6234.8</v>
      </c>
      <c r="O1718" s="3">
        <f t="shared" si="131"/>
        <v>6234.8</v>
      </c>
      <c r="P1718" s="3">
        <f t="shared" si="132"/>
        <v>3771.04</v>
      </c>
      <c r="Q1718" s="3">
        <f t="shared" si="133"/>
        <v>2463.7600000000002</v>
      </c>
      <c r="R1718" s="4">
        <f t="shared" si="134"/>
        <v>0.3952</v>
      </c>
      <c r="S1718" s="2">
        <v>12</v>
      </c>
      <c r="T1718" t="s">
        <v>30</v>
      </c>
      <c r="U1718">
        <v>4</v>
      </c>
    </row>
    <row r="1719" spans="1:21" x14ac:dyDescent="0.25">
      <c r="A1719" s="1">
        <v>46215</v>
      </c>
      <c r="B1719" t="s">
        <v>1912</v>
      </c>
      <c r="C1719" t="s">
        <v>331</v>
      </c>
      <c r="D1719" t="s">
        <v>113</v>
      </c>
      <c r="E1719" t="s">
        <v>50</v>
      </c>
      <c r="F1719" t="s">
        <v>64</v>
      </c>
      <c r="G1719" t="s">
        <v>51</v>
      </c>
      <c r="H1719" t="s">
        <v>59</v>
      </c>
      <c r="I1719" t="s">
        <v>65</v>
      </c>
      <c r="J1719" s="2">
        <v>4</v>
      </c>
      <c r="K1719" s="3">
        <v>2275.98</v>
      </c>
      <c r="L1719" s="3">
        <v>1447.2</v>
      </c>
      <c r="M1719" s="4">
        <v>0.1239</v>
      </c>
      <c r="N1719" s="3">
        <f t="shared" si="130"/>
        <v>9103.92</v>
      </c>
      <c r="O1719" s="3">
        <f t="shared" si="131"/>
        <v>7975.94</v>
      </c>
      <c r="P1719" s="3">
        <f t="shared" si="132"/>
        <v>5788.8</v>
      </c>
      <c r="Q1719" s="3">
        <f t="shared" si="133"/>
        <v>2187.14</v>
      </c>
      <c r="R1719" s="4">
        <f t="shared" si="134"/>
        <v>0.2742</v>
      </c>
      <c r="S1719" s="2">
        <v>2</v>
      </c>
      <c r="T1719" t="s">
        <v>46</v>
      </c>
      <c r="U1719">
        <v>3</v>
      </c>
    </row>
    <row r="1720" spans="1:21" x14ac:dyDescent="0.25">
      <c r="A1720" s="1">
        <v>46109</v>
      </c>
      <c r="B1720" t="s">
        <v>1913</v>
      </c>
      <c r="C1720" t="s">
        <v>148</v>
      </c>
      <c r="D1720" t="s">
        <v>126</v>
      </c>
      <c r="E1720" t="s">
        <v>57</v>
      </c>
      <c r="F1720" t="s">
        <v>36</v>
      </c>
      <c r="G1720" t="s">
        <v>44</v>
      </c>
      <c r="H1720" t="s">
        <v>73</v>
      </c>
      <c r="I1720" t="s">
        <v>77</v>
      </c>
      <c r="J1720" s="2">
        <v>1</v>
      </c>
      <c r="K1720" s="3">
        <v>1617.96</v>
      </c>
      <c r="L1720" s="3">
        <v>1091.06</v>
      </c>
      <c r="M1720" s="4">
        <v>4.36E-2</v>
      </c>
      <c r="N1720" s="3">
        <f t="shared" si="130"/>
        <v>1617.96</v>
      </c>
      <c r="O1720" s="3">
        <f t="shared" si="131"/>
        <v>1547.42</v>
      </c>
      <c r="P1720" s="3">
        <f t="shared" si="132"/>
        <v>1091.06</v>
      </c>
      <c r="Q1720" s="3">
        <f t="shared" si="133"/>
        <v>456.36</v>
      </c>
      <c r="R1720" s="4">
        <f t="shared" si="134"/>
        <v>0.2949</v>
      </c>
      <c r="S1720" s="2">
        <v>8</v>
      </c>
      <c r="T1720" t="s">
        <v>46</v>
      </c>
      <c r="U1720">
        <v>4</v>
      </c>
    </row>
    <row r="1721" spans="1:21" x14ac:dyDescent="0.25">
      <c r="A1721" s="1">
        <v>46220</v>
      </c>
      <c r="B1721" t="s">
        <v>1914</v>
      </c>
      <c r="C1721" t="s">
        <v>136</v>
      </c>
      <c r="D1721" t="s">
        <v>34</v>
      </c>
      <c r="E1721" t="s">
        <v>35</v>
      </c>
      <c r="F1721" t="s">
        <v>64</v>
      </c>
      <c r="G1721" t="s">
        <v>27</v>
      </c>
      <c r="H1721" t="s">
        <v>28</v>
      </c>
      <c r="I1721" t="s">
        <v>60</v>
      </c>
      <c r="J1721" s="2">
        <v>2</v>
      </c>
      <c r="K1721" s="3">
        <v>767.05</v>
      </c>
      <c r="L1721" s="3">
        <v>443.25</v>
      </c>
      <c r="M1721" s="4">
        <v>0</v>
      </c>
      <c r="N1721" s="3">
        <f t="shared" si="130"/>
        <v>1534.1</v>
      </c>
      <c r="O1721" s="3">
        <f t="shared" si="131"/>
        <v>1534.1</v>
      </c>
      <c r="P1721" s="3">
        <f t="shared" si="132"/>
        <v>886.5</v>
      </c>
      <c r="Q1721" s="3">
        <f t="shared" si="133"/>
        <v>647.6</v>
      </c>
      <c r="R1721" s="4">
        <f t="shared" si="134"/>
        <v>0.42209999999999998</v>
      </c>
      <c r="S1721" s="2">
        <v>2</v>
      </c>
      <c r="T1721" t="s">
        <v>46</v>
      </c>
      <c r="U1721">
        <v>5</v>
      </c>
    </row>
    <row r="1722" spans="1:21" x14ac:dyDescent="0.25">
      <c r="A1722" s="1">
        <v>46208</v>
      </c>
      <c r="B1722" t="s">
        <v>1915</v>
      </c>
      <c r="C1722" t="s">
        <v>266</v>
      </c>
      <c r="D1722" t="s">
        <v>56</v>
      </c>
      <c r="E1722" t="s">
        <v>57</v>
      </c>
      <c r="F1722" t="s">
        <v>36</v>
      </c>
      <c r="G1722" t="s">
        <v>44</v>
      </c>
      <c r="H1722" t="s">
        <v>124</v>
      </c>
      <c r="I1722" t="s">
        <v>29</v>
      </c>
      <c r="J1722" s="2">
        <v>8</v>
      </c>
      <c r="K1722" s="3">
        <v>6192.68</v>
      </c>
      <c r="L1722" s="3">
        <v>4459.01</v>
      </c>
      <c r="M1722" s="4">
        <v>0.1071</v>
      </c>
      <c r="N1722" s="3">
        <f t="shared" si="130"/>
        <v>49541.440000000002</v>
      </c>
      <c r="O1722" s="3">
        <f t="shared" si="131"/>
        <v>44235.55</v>
      </c>
      <c r="P1722" s="3">
        <f t="shared" si="132"/>
        <v>35672.080000000002</v>
      </c>
      <c r="Q1722" s="3">
        <f t="shared" si="133"/>
        <v>8563.4699999999993</v>
      </c>
      <c r="R1722" s="4">
        <f t="shared" si="134"/>
        <v>0.19359999999999999</v>
      </c>
      <c r="S1722" s="2">
        <v>11</v>
      </c>
      <c r="T1722" t="s">
        <v>30</v>
      </c>
      <c r="U1722">
        <v>5</v>
      </c>
    </row>
    <row r="1723" spans="1:21" x14ac:dyDescent="0.25">
      <c r="A1723" s="1">
        <v>46216</v>
      </c>
      <c r="B1723" t="s">
        <v>1100</v>
      </c>
      <c r="C1723" t="s">
        <v>590</v>
      </c>
      <c r="D1723" t="s">
        <v>101</v>
      </c>
      <c r="E1723" t="s">
        <v>35</v>
      </c>
      <c r="F1723" t="s">
        <v>36</v>
      </c>
      <c r="G1723" t="s">
        <v>44</v>
      </c>
      <c r="H1723" t="s">
        <v>73</v>
      </c>
      <c r="I1723" t="s">
        <v>29</v>
      </c>
      <c r="J1723" s="2">
        <v>3</v>
      </c>
      <c r="K1723" s="3">
        <v>1712.97</v>
      </c>
      <c r="L1723" s="3">
        <v>1057.6500000000001</v>
      </c>
      <c r="M1723" s="4">
        <v>0</v>
      </c>
      <c r="N1723" s="3">
        <f t="shared" si="130"/>
        <v>5138.91</v>
      </c>
      <c r="O1723" s="3">
        <f t="shared" si="131"/>
        <v>5138.91</v>
      </c>
      <c r="P1723" s="3">
        <f t="shared" si="132"/>
        <v>3172.95</v>
      </c>
      <c r="Q1723" s="3">
        <f t="shared" si="133"/>
        <v>1965.96</v>
      </c>
      <c r="R1723" s="4">
        <f t="shared" si="134"/>
        <v>0.3826</v>
      </c>
      <c r="S1723" s="2">
        <v>5</v>
      </c>
      <c r="T1723" t="s">
        <v>46</v>
      </c>
      <c r="U1723">
        <v>4</v>
      </c>
    </row>
    <row r="1724" spans="1:21" x14ac:dyDescent="0.25">
      <c r="A1724" s="1">
        <v>46140</v>
      </c>
      <c r="B1724" t="s">
        <v>1916</v>
      </c>
      <c r="C1724" t="s">
        <v>464</v>
      </c>
      <c r="D1724" t="s">
        <v>113</v>
      </c>
      <c r="E1724" t="s">
        <v>50</v>
      </c>
      <c r="F1724" t="s">
        <v>58</v>
      </c>
      <c r="G1724" t="s">
        <v>51</v>
      </c>
      <c r="H1724" t="s">
        <v>52</v>
      </c>
      <c r="I1724" t="s">
        <v>39</v>
      </c>
      <c r="J1724" s="2">
        <v>1</v>
      </c>
      <c r="K1724" s="3">
        <v>254.48</v>
      </c>
      <c r="L1724" s="3">
        <v>120.12</v>
      </c>
      <c r="M1724" s="4">
        <v>5.8799999999999998E-2</v>
      </c>
      <c r="N1724" s="3">
        <f t="shared" si="130"/>
        <v>254.48</v>
      </c>
      <c r="O1724" s="3">
        <f t="shared" si="131"/>
        <v>239.52</v>
      </c>
      <c r="P1724" s="3">
        <f t="shared" si="132"/>
        <v>120.12</v>
      </c>
      <c r="Q1724" s="3">
        <f t="shared" si="133"/>
        <v>119.4</v>
      </c>
      <c r="R1724" s="4">
        <f t="shared" si="134"/>
        <v>0.4985</v>
      </c>
      <c r="S1724" s="2">
        <v>14</v>
      </c>
      <c r="T1724" t="s">
        <v>40</v>
      </c>
    </row>
    <row r="1725" spans="1:21" x14ac:dyDescent="0.25">
      <c r="A1725" s="1">
        <v>46113</v>
      </c>
      <c r="B1725" t="s">
        <v>1917</v>
      </c>
      <c r="C1725" t="s">
        <v>48</v>
      </c>
      <c r="D1725" t="s">
        <v>85</v>
      </c>
      <c r="E1725" t="s">
        <v>50</v>
      </c>
      <c r="F1725" t="s">
        <v>64</v>
      </c>
      <c r="G1725" t="s">
        <v>37</v>
      </c>
      <c r="H1725" t="s">
        <v>38</v>
      </c>
      <c r="I1725" t="s">
        <v>87</v>
      </c>
      <c r="J1725" s="2">
        <v>4</v>
      </c>
      <c r="K1725" s="3">
        <v>429.12</v>
      </c>
      <c r="L1725" s="3">
        <v>198.05</v>
      </c>
      <c r="M1725" s="4">
        <v>0</v>
      </c>
      <c r="N1725" s="3">
        <f t="shared" si="130"/>
        <v>1716.48</v>
      </c>
      <c r="O1725" s="3">
        <f t="shared" si="131"/>
        <v>1716.48</v>
      </c>
      <c r="P1725" s="3">
        <f t="shared" si="132"/>
        <v>792.2</v>
      </c>
      <c r="Q1725" s="3">
        <f t="shared" si="133"/>
        <v>924.28</v>
      </c>
      <c r="R1725" s="4">
        <f t="shared" si="134"/>
        <v>0.53849999999999998</v>
      </c>
      <c r="S1725" s="2">
        <v>12</v>
      </c>
      <c r="T1725" t="s">
        <v>30</v>
      </c>
      <c r="U1725">
        <v>3</v>
      </c>
    </row>
    <row r="1726" spans="1:21" x14ac:dyDescent="0.25">
      <c r="A1726" s="1">
        <v>46180</v>
      </c>
      <c r="B1726" t="s">
        <v>1918</v>
      </c>
      <c r="C1726" t="s">
        <v>96</v>
      </c>
      <c r="D1726" t="s">
        <v>130</v>
      </c>
      <c r="E1726" t="s">
        <v>72</v>
      </c>
      <c r="F1726" t="s">
        <v>26</v>
      </c>
      <c r="G1726" t="s">
        <v>37</v>
      </c>
      <c r="H1726" t="s">
        <v>104</v>
      </c>
      <c r="I1726" t="s">
        <v>74</v>
      </c>
      <c r="J1726" s="2">
        <v>4</v>
      </c>
      <c r="K1726" s="3">
        <v>324.94</v>
      </c>
      <c r="L1726" s="3">
        <v>139.26</v>
      </c>
      <c r="M1726" s="4">
        <v>1.3599999999999999E-2</v>
      </c>
      <c r="N1726" s="3">
        <f t="shared" si="130"/>
        <v>1299.76</v>
      </c>
      <c r="O1726" s="3">
        <f t="shared" si="131"/>
        <v>1282.08</v>
      </c>
      <c r="P1726" s="3">
        <f t="shared" si="132"/>
        <v>557.04</v>
      </c>
      <c r="Q1726" s="3">
        <f t="shared" si="133"/>
        <v>725.04</v>
      </c>
      <c r="R1726" s="4">
        <f t="shared" si="134"/>
        <v>0.5655</v>
      </c>
      <c r="S1726" s="2">
        <v>4</v>
      </c>
      <c r="T1726" t="s">
        <v>46</v>
      </c>
      <c r="U1726">
        <v>3</v>
      </c>
    </row>
    <row r="1727" spans="1:21" x14ac:dyDescent="0.25">
      <c r="A1727" s="1">
        <v>46207</v>
      </c>
      <c r="B1727" t="s">
        <v>1919</v>
      </c>
      <c r="C1727" t="s">
        <v>123</v>
      </c>
      <c r="D1727" t="s">
        <v>34</v>
      </c>
      <c r="E1727" t="s">
        <v>35</v>
      </c>
      <c r="F1727" t="s">
        <v>64</v>
      </c>
      <c r="G1727" t="s">
        <v>37</v>
      </c>
      <c r="H1727" t="s">
        <v>38</v>
      </c>
      <c r="I1727" t="s">
        <v>60</v>
      </c>
      <c r="J1727" s="2">
        <v>4</v>
      </c>
      <c r="K1727" s="3">
        <v>438.28</v>
      </c>
      <c r="L1727" s="3">
        <v>196.43</v>
      </c>
      <c r="M1727" s="4">
        <v>0.1215</v>
      </c>
      <c r="N1727" s="3">
        <f t="shared" si="130"/>
        <v>1753.12</v>
      </c>
      <c r="O1727" s="3">
        <f t="shared" si="131"/>
        <v>1540.12</v>
      </c>
      <c r="P1727" s="3">
        <f t="shared" si="132"/>
        <v>785.72</v>
      </c>
      <c r="Q1727" s="3">
        <f t="shared" si="133"/>
        <v>754.4</v>
      </c>
      <c r="R1727" s="4">
        <f t="shared" si="134"/>
        <v>0.48980000000000001</v>
      </c>
      <c r="S1727" s="2">
        <v>2</v>
      </c>
      <c r="T1727" t="s">
        <v>46</v>
      </c>
      <c r="U1727">
        <v>5</v>
      </c>
    </row>
    <row r="1728" spans="1:21" x14ac:dyDescent="0.25">
      <c r="A1728" s="1">
        <v>46069</v>
      </c>
      <c r="B1728" t="s">
        <v>1920</v>
      </c>
      <c r="C1728" t="s">
        <v>33</v>
      </c>
      <c r="D1728" t="s">
        <v>43</v>
      </c>
      <c r="E1728" t="s">
        <v>25</v>
      </c>
      <c r="F1728" t="s">
        <v>36</v>
      </c>
      <c r="G1728" t="s">
        <v>44</v>
      </c>
      <c r="H1728" t="s">
        <v>45</v>
      </c>
      <c r="I1728" t="s">
        <v>94</v>
      </c>
      <c r="J1728" s="2">
        <v>3</v>
      </c>
      <c r="K1728" s="3">
        <v>368.9</v>
      </c>
      <c r="L1728" s="3">
        <v>227.36</v>
      </c>
      <c r="M1728" s="4">
        <v>0</v>
      </c>
      <c r="N1728" s="3">
        <f t="shared" si="130"/>
        <v>1106.7</v>
      </c>
      <c r="O1728" s="3">
        <f t="shared" si="131"/>
        <v>1106.7</v>
      </c>
      <c r="P1728" s="3">
        <f t="shared" si="132"/>
        <v>682.08</v>
      </c>
      <c r="Q1728" s="3">
        <f t="shared" si="133"/>
        <v>424.62</v>
      </c>
      <c r="R1728" s="4">
        <f t="shared" si="134"/>
        <v>0.38369999999999999</v>
      </c>
      <c r="S1728" s="2">
        <v>11</v>
      </c>
      <c r="T1728" t="s">
        <v>30</v>
      </c>
      <c r="U1728">
        <v>4</v>
      </c>
    </row>
    <row r="1729" spans="1:21" x14ac:dyDescent="0.25">
      <c r="A1729" s="1">
        <v>46214</v>
      </c>
      <c r="B1729" t="s">
        <v>1921</v>
      </c>
      <c r="C1729" t="s">
        <v>433</v>
      </c>
      <c r="D1729" t="s">
        <v>97</v>
      </c>
      <c r="E1729" t="s">
        <v>57</v>
      </c>
      <c r="F1729" t="s">
        <v>64</v>
      </c>
      <c r="G1729" t="s">
        <v>27</v>
      </c>
      <c r="H1729" t="s">
        <v>28</v>
      </c>
      <c r="I1729" t="s">
        <v>94</v>
      </c>
      <c r="J1729" s="2">
        <v>2</v>
      </c>
      <c r="K1729" s="3">
        <v>765.87</v>
      </c>
      <c r="L1729" s="3">
        <v>461.75</v>
      </c>
      <c r="M1729" s="4">
        <v>0</v>
      </c>
      <c r="N1729" s="3">
        <f t="shared" si="130"/>
        <v>1531.74</v>
      </c>
      <c r="O1729" s="3">
        <f t="shared" si="131"/>
        <v>1531.74</v>
      </c>
      <c r="P1729" s="3">
        <f t="shared" si="132"/>
        <v>923.5</v>
      </c>
      <c r="Q1729" s="3">
        <f t="shared" si="133"/>
        <v>608.24</v>
      </c>
      <c r="R1729" s="4">
        <f t="shared" si="134"/>
        <v>0.39710000000000001</v>
      </c>
      <c r="S1729" s="2">
        <v>6</v>
      </c>
      <c r="T1729" t="s">
        <v>46</v>
      </c>
      <c r="U1729">
        <v>5</v>
      </c>
    </row>
    <row r="1730" spans="1:21" x14ac:dyDescent="0.25">
      <c r="A1730" s="1">
        <v>46222</v>
      </c>
      <c r="B1730" t="s">
        <v>1922</v>
      </c>
      <c r="C1730" t="s">
        <v>336</v>
      </c>
      <c r="D1730" t="s">
        <v>43</v>
      </c>
      <c r="E1730" t="s">
        <v>25</v>
      </c>
      <c r="F1730" t="s">
        <v>64</v>
      </c>
      <c r="G1730" t="s">
        <v>51</v>
      </c>
      <c r="H1730" t="s">
        <v>52</v>
      </c>
      <c r="I1730" t="s">
        <v>94</v>
      </c>
      <c r="J1730" s="2">
        <v>3</v>
      </c>
      <c r="K1730" s="3">
        <v>267.05</v>
      </c>
      <c r="L1730" s="3">
        <v>120.54</v>
      </c>
      <c r="M1730" s="4">
        <v>0</v>
      </c>
      <c r="N1730" s="3">
        <f t="shared" ref="N1730:N1793" si="135">ROUND(J1730*K1730,2)</f>
        <v>801.15</v>
      </c>
      <c r="O1730" s="3">
        <f t="shared" ref="O1730:O1793" si="136">ROUND(N1730*(1-M1730),2)</f>
        <v>801.15</v>
      </c>
      <c r="P1730" s="3">
        <f t="shared" ref="P1730:P1793" si="137">ROUND(J1730*L1730,2)</f>
        <v>361.62</v>
      </c>
      <c r="Q1730" s="3">
        <f t="shared" ref="Q1730:Q1793" si="138">ROUND(O1730-P1730,2)</f>
        <v>439.53</v>
      </c>
      <c r="R1730" s="4">
        <f t="shared" ref="R1730:R1793" si="139">IF(O1730=0,0,ROUND(Q1730/O1730,4))</f>
        <v>0.54859999999999998</v>
      </c>
      <c r="S1730" s="2">
        <v>13</v>
      </c>
      <c r="T1730" t="s">
        <v>30</v>
      </c>
      <c r="U1730">
        <v>2</v>
      </c>
    </row>
    <row r="1731" spans="1:21" x14ac:dyDescent="0.25">
      <c r="A1731" s="1">
        <v>46199</v>
      </c>
      <c r="B1731" t="s">
        <v>1923</v>
      </c>
      <c r="C1731" t="s">
        <v>157</v>
      </c>
      <c r="D1731" t="s">
        <v>121</v>
      </c>
      <c r="E1731" t="s">
        <v>72</v>
      </c>
      <c r="F1731" t="s">
        <v>26</v>
      </c>
      <c r="G1731" t="s">
        <v>44</v>
      </c>
      <c r="H1731" t="s">
        <v>124</v>
      </c>
      <c r="I1731" t="s">
        <v>92</v>
      </c>
      <c r="J1731" s="2">
        <v>3</v>
      </c>
      <c r="K1731" s="3">
        <v>5662.61</v>
      </c>
      <c r="L1731" s="3">
        <v>4463.34</v>
      </c>
      <c r="M1731" s="4">
        <v>0</v>
      </c>
      <c r="N1731" s="3">
        <f t="shared" si="135"/>
        <v>16987.830000000002</v>
      </c>
      <c r="O1731" s="3">
        <f t="shared" si="136"/>
        <v>16987.830000000002</v>
      </c>
      <c r="P1731" s="3">
        <f t="shared" si="137"/>
        <v>13390.02</v>
      </c>
      <c r="Q1731" s="3">
        <f t="shared" si="138"/>
        <v>3597.81</v>
      </c>
      <c r="R1731" s="4">
        <f t="shared" si="139"/>
        <v>0.21179999999999999</v>
      </c>
      <c r="S1731" s="2">
        <v>11</v>
      </c>
      <c r="T1731" t="s">
        <v>30</v>
      </c>
      <c r="U1731">
        <v>5</v>
      </c>
    </row>
    <row r="1732" spans="1:21" x14ac:dyDescent="0.25">
      <c r="A1732" s="1">
        <v>46101</v>
      </c>
      <c r="B1732" t="s">
        <v>1924</v>
      </c>
      <c r="C1732" t="s">
        <v>204</v>
      </c>
      <c r="D1732" t="s">
        <v>71</v>
      </c>
      <c r="E1732" t="s">
        <v>72</v>
      </c>
      <c r="F1732" t="s">
        <v>64</v>
      </c>
      <c r="G1732" t="s">
        <v>37</v>
      </c>
      <c r="H1732" t="s">
        <v>104</v>
      </c>
      <c r="I1732" t="s">
        <v>87</v>
      </c>
      <c r="J1732" s="2">
        <v>4</v>
      </c>
      <c r="K1732" s="3">
        <v>303.47000000000003</v>
      </c>
      <c r="L1732" s="3">
        <v>137.66999999999999</v>
      </c>
      <c r="M1732" s="4">
        <v>0</v>
      </c>
      <c r="N1732" s="3">
        <f t="shared" si="135"/>
        <v>1213.8800000000001</v>
      </c>
      <c r="O1732" s="3">
        <f t="shared" si="136"/>
        <v>1213.8800000000001</v>
      </c>
      <c r="P1732" s="3">
        <f t="shared" si="137"/>
        <v>550.67999999999995</v>
      </c>
      <c r="Q1732" s="3">
        <f t="shared" si="138"/>
        <v>663.2</v>
      </c>
      <c r="R1732" s="4">
        <f t="shared" si="139"/>
        <v>0.54630000000000001</v>
      </c>
      <c r="S1732" s="2">
        <v>14</v>
      </c>
      <c r="T1732" t="s">
        <v>30</v>
      </c>
      <c r="U1732">
        <v>5</v>
      </c>
    </row>
    <row r="1733" spans="1:21" x14ac:dyDescent="0.25">
      <c r="A1733" s="1">
        <v>46177</v>
      </c>
      <c r="B1733" t="s">
        <v>1925</v>
      </c>
      <c r="C1733" t="s">
        <v>466</v>
      </c>
      <c r="D1733" t="s">
        <v>49</v>
      </c>
      <c r="E1733" t="s">
        <v>50</v>
      </c>
      <c r="F1733" t="s">
        <v>64</v>
      </c>
      <c r="G1733" t="s">
        <v>37</v>
      </c>
      <c r="H1733" t="s">
        <v>38</v>
      </c>
      <c r="I1733" t="s">
        <v>53</v>
      </c>
      <c r="J1733" s="2">
        <v>4</v>
      </c>
      <c r="K1733" s="3">
        <v>411.32</v>
      </c>
      <c r="L1733" s="3">
        <v>184.67</v>
      </c>
      <c r="M1733" s="4">
        <v>8.8599999999999998E-2</v>
      </c>
      <c r="N1733" s="3">
        <f t="shared" si="135"/>
        <v>1645.28</v>
      </c>
      <c r="O1733" s="3">
        <f t="shared" si="136"/>
        <v>1499.51</v>
      </c>
      <c r="P1733" s="3">
        <f t="shared" si="137"/>
        <v>738.68</v>
      </c>
      <c r="Q1733" s="3">
        <f t="shared" si="138"/>
        <v>760.83</v>
      </c>
      <c r="R1733" s="4">
        <f t="shared" si="139"/>
        <v>0.50739999999999996</v>
      </c>
      <c r="S1733" s="2">
        <v>12</v>
      </c>
      <c r="T1733" t="s">
        <v>30</v>
      </c>
      <c r="U1733">
        <v>3</v>
      </c>
    </row>
    <row r="1734" spans="1:21" x14ac:dyDescent="0.25">
      <c r="A1734" s="1">
        <v>46134</v>
      </c>
      <c r="B1734" t="s">
        <v>1926</v>
      </c>
      <c r="C1734" t="s">
        <v>144</v>
      </c>
      <c r="D1734" t="s">
        <v>63</v>
      </c>
      <c r="E1734" t="s">
        <v>35</v>
      </c>
      <c r="F1734" t="s">
        <v>64</v>
      </c>
      <c r="G1734" t="s">
        <v>37</v>
      </c>
      <c r="H1734" t="s">
        <v>38</v>
      </c>
      <c r="I1734" t="s">
        <v>65</v>
      </c>
      <c r="J1734" s="2">
        <v>1</v>
      </c>
      <c r="K1734" s="3">
        <v>405.56</v>
      </c>
      <c r="L1734" s="3">
        <v>186.82</v>
      </c>
      <c r="M1734" s="4">
        <v>9.01E-2</v>
      </c>
      <c r="N1734" s="3">
        <f t="shared" si="135"/>
        <v>405.56</v>
      </c>
      <c r="O1734" s="3">
        <f t="shared" si="136"/>
        <v>369.02</v>
      </c>
      <c r="P1734" s="3">
        <f t="shared" si="137"/>
        <v>186.82</v>
      </c>
      <c r="Q1734" s="3">
        <f t="shared" si="138"/>
        <v>182.2</v>
      </c>
      <c r="R1734" s="4">
        <f t="shared" si="139"/>
        <v>0.49370000000000003</v>
      </c>
      <c r="S1734" s="2">
        <v>12</v>
      </c>
      <c r="T1734" t="s">
        <v>30</v>
      </c>
      <c r="U1734">
        <v>3</v>
      </c>
    </row>
    <row r="1735" spans="1:21" x14ac:dyDescent="0.25">
      <c r="A1735" s="1">
        <v>46221</v>
      </c>
      <c r="B1735" t="s">
        <v>1927</v>
      </c>
      <c r="C1735" t="s">
        <v>514</v>
      </c>
      <c r="D1735" t="s">
        <v>49</v>
      </c>
      <c r="E1735" t="s">
        <v>50</v>
      </c>
      <c r="F1735" t="s">
        <v>26</v>
      </c>
      <c r="G1735" t="s">
        <v>27</v>
      </c>
      <c r="H1735" t="s">
        <v>68</v>
      </c>
      <c r="I1735" t="s">
        <v>53</v>
      </c>
      <c r="J1735" s="2">
        <v>8</v>
      </c>
      <c r="K1735" s="3">
        <v>1219.78</v>
      </c>
      <c r="L1735" s="3">
        <v>762.14</v>
      </c>
      <c r="M1735" s="4">
        <v>0</v>
      </c>
      <c r="N1735" s="3">
        <f t="shared" si="135"/>
        <v>9758.24</v>
      </c>
      <c r="O1735" s="3">
        <f t="shared" si="136"/>
        <v>9758.24</v>
      </c>
      <c r="P1735" s="3">
        <f t="shared" si="137"/>
        <v>6097.12</v>
      </c>
      <c r="Q1735" s="3">
        <f t="shared" si="138"/>
        <v>3661.12</v>
      </c>
      <c r="R1735" s="4">
        <f t="shared" si="139"/>
        <v>0.37519999999999998</v>
      </c>
      <c r="S1735" s="2">
        <v>3</v>
      </c>
      <c r="T1735" t="s">
        <v>46</v>
      </c>
      <c r="U1735">
        <v>2</v>
      </c>
    </row>
    <row r="1736" spans="1:21" x14ac:dyDescent="0.25">
      <c r="A1736" s="1">
        <v>46024</v>
      </c>
      <c r="B1736" t="s">
        <v>1928</v>
      </c>
      <c r="C1736" t="s">
        <v>216</v>
      </c>
      <c r="D1736" t="s">
        <v>49</v>
      </c>
      <c r="E1736" t="s">
        <v>50</v>
      </c>
      <c r="F1736" t="s">
        <v>58</v>
      </c>
      <c r="G1736" t="s">
        <v>27</v>
      </c>
      <c r="H1736" t="s">
        <v>28</v>
      </c>
      <c r="I1736" t="s">
        <v>94</v>
      </c>
      <c r="J1736" s="2">
        <v>5</v>
      </c>
      <c r="K1736" s="3">
        <v>786.91</v>
      </c>
      <c r="L1736" s="3">
        <v>443.86</v>
      </c>
      <c r="M1736" s="4">
        <v>5.79E-2</v>
      </c>
      <c r="N1736" s="3">
        <f t="shared" si="135"/>
        <v>3934.55</v>
      </c>
      <c r="O1736" s="3">
        <f t="shared" si="136"/>
        <v>3706.74</v>
      </c>
      <c r="P1736" s="3">
        <f t="shared" si="137"/>
        <v>2219.3000000000002</v>
      </c>
      <c r="Q1736" s="3">
        <f t="shared" si="138"/>
        <v>1487.44</v>
      </c>
      <c r="R1736" s="4">
        <f t="shared" si="139"/>
        <v>0.40129999999999999</v>
      </c>
      <c r="S1736" s="2">
        <v>7</v>
      </c>
      <c r="T1736" t="s">
        <v>46</v>
      </c>
      <c r="U1736">
        <v>3</v>
      </c>
    </row>
    <row r="1737" spans="1:21" x14ac:dyDescent="0.25">
      <c r="A1737" s="1">
        <v>46065</v>
      </c>
      <c r="B1737" t="s">
        <v>1929</v>
      </c>
      <c r="C1737" t="s">
        <v>384</v>
      </c>
      <c r="D1737" t="s">
        <v>63</v>
      </c>
      <c r="E1737" t="s">
        <v>35</v>
      </c>
      <c r="F1737" t="s">
        <v>36</v>
      </c>
      <c r="G1737" t="s">
        <v>37</v>
      </c>
      <c r="H1737" t="s">
        <v>104</v>
      </c>
      <c r="I1737" t="s">
        <v>74</v>
      </c>
      <c r="J1737" s="2">
        <v>2</v>
      </c>
      <c r="K1737" s="3">
        <v>333.8</v>
      </c>
      <c r="L1737" s="3">
        <v>140.32</v>
      </c>
      <c r="M1737" s="4">
        <v>0.1007</v>
      </c>
      <c r="N1737" s="3">
        <f t="shared" si="135"/>
        <v>667.6</v>
      </c>
      <c r="O1737" s="3">
        <f t="shared" si="136"/>
        <v>600.37</v>
      </c>
      <c r="P1737" s="3">
        <f t="shared" si="137"/>
        <v>280.64</v>
      </c>
      <c r="Q1737" s="3">
        <f t="shared" si="138"/>
        <v>319.73</v>
      </c>
      <c r="R1737" s="4">
        <f t="shared" si="139"/>
        <v>0.53259999999999996</v>
      </c>
      <c r="S1737" s="2">
        <v>13</v>
      </c>
      <c r="T1737" t="s">
        <v>30</v>
      </c>
      <c r="U1737">
        <v>4</v>
      </c>
    </row>
    <row r="1738" spans="1:21" x14ac:dyDescent="0.25">
      <c r="A1738" s="1">
        <v>46050</v>
      </c>
      <c r="B1738" t="s">
        <v>1930</v>
      </c>
      <c r="C1738" t="s">
        <v>331</v>
      </c>
      <c r="D1738" t="s">
        <v>43</v>
      </c>
      <c r="E1738" t="s">
        <v>25</v>
      </c>
      <c r="F1738" t="s">
        <v>58</v>
      </c>
      <c r="G1738" t="s">
        <v>51</v>
      </c>
      <c r="H1738" t="s">
        <v>116</v>
      </c>
      <c r="I1738" t="s">
        <v>53</v>
      </c>
      <c r="J1738" s="2">
        <v>7</v>
      </c>
      <c r="K1738" s="3">
        <v>2858.9</v>
      </c>
      <c r="L1738" s="3">
        <v>1900.99</v>
      </c>
      <c r="M1738" s="4">
        <v>3.5000000000000003E-2</v>
      </c>
      <c r="N1738" s="3">
        <f t="shared" si="135"/>
        <v>20012.3</v>
      </c>
      <c r="O1738" s="3">
        <f t="shared" si="136"/>
        <v>19311.87</v>
      </c>
      <c r="P1738" s="3">
        <f t="shared" si="137"/>
        <v>13306.93</v>
      </c>
      <c r="Q1738" s="3">
        <f t="shared" si="138"/>
        <v>6004.94</v>
      </c>
      <c r="R1738" s="4">
        <f t="shared" si="139"/>
        <v>0.31090000000000001</v>
      </c>
      <c r="S1738" s="2">
        <v>8</v>
      </c>
      <c r="T1738" t="s">
        <v>46</v>
      </c>
      <c r="U1738">
        <v>3</v>
      </c>
    </row>
    <row r="1739" spans="1:21" x14ac:dyDescent="0.25">
      <c r="A1739" s="1">
        <v>46123</v>
      </c>
      <c r="B1739" t="s">
        <v>1931</v>
      </c>
      <c r="C1739" t="s">
        <v>76</v>
      </c>
      <c r="D1739" t="s">
        <v>207</v>
      </c>
      <c r="E1739" t="s">
        <v>35</v>
      </c>
      <c r="F1739" t="s">
        <v>26</v>
      </c>
      <c r="G1739" t="s">
        <v>44</v>
      </c>
      <c r="H1739" t="s">
        <v>45</v>
      </c>
      <c r="I1739" t="s">
        <v>60</v>
      </c>
      <c r="J1739" s="2">
        <v>8</v>
      </c>
      <c r="K1739" s="3">
        <v>375.48</v>
      </c>
      <c r="L1739" s="3">
        <v>219.29</v>
      </c>
      <c r="M1739" s="4">
        <v>9.8699999999999996E-2</v>
      </c>
      <c r="N1739" s="3">
        <f t="shared" si="135"/>
        <v>3003.84</v>
      </c>
      <c r="O1739" s="3">
        <f t="shared" si="136"/>
        <v>2707.36</v>
      </c>
      <c r="P1739" s="3">
        <f t="shared" si="137"/>
        <v>1754.32</v>
      </c>
      <c r="Q1739" s="3">
        <f t="shared" si="138"/>
        <v>953.04</v>
      </c>
      <c r="R1739" s="4">
        <f t="shared" si="139"/>
        <v>0.35199999999999998</v>
      </c>
      <c r="S1739" s="2">
        <v>13</v>
      </c>
      <c r="T1739" t="s">
        <v>30</v>
      </c>
      <c r="U1739">
        <v>4</v>
      </c>
    </row>
    <row r="1740" spans="1:21" x14ac:dyDescent="0.25">
      <c r="A1740" s="1">
        <v>46033</v>
      </c>
      <c r="B1740" t="s">
        <v>1932</v>
      </c>
      <c r="C1740" t="s">
        <v>120</v>
      </c>
      <c r="D1740" t="s">
        <v>85</v>
      </c>
      <c r="E1740" t="s">
        <v>50</v>
      </c>
      <c r="F1740" t="s">
        <v>36</v>
      </c>
      <c r="G1740" t="s">
        <v>44</v>
      </c>
      <c r="H1740" t="s">
        <v>124</v>
      </c>
      <c r="I1740" t="s">
        <v>77</v>
      </c>
      <c r="J1740" s="2">
        <v>3</v>
      </c>
      <c r="K1740" s="3">
        <v>5568.57</v>
      </c>
      <c r="L1740" s="3">
        <v>4356.43</v>
      </c>
      <c r="M1740" s="4">
        <v>0</v>
      </c>
      <c r="N1740" s="3">
        <f t="shared" si="135"/>
        <v>16705.71</v>
      </c>
      <c r="O1740" s="3">
        <f t="shared" si="136"/>
        <v>16705.71</v>
      </c>
      <c r="P1740" s="3">
        <f t="shared" si="137"/>
        <v>13069.29</v>
      </c>
      <c r="Q1740" s="3">
        <f t="shared" si="138"/>
        <v>3636.42</v>
      </c>
      <c r="R1740" s="4">
        <f t="shared" si="139"/>
        <v>0.2177</v>
      </c>
      <c r="S1740" s="2">
        <v>7</v>
      </c>
      <c r="T1740" t="s">
        <v>46</v>
      </c>
      <c r="U1740">
        <v>3</v>
      </c>
    </row>
    <row r="1741" spans="1:21" x14ac:dyDescent="0.25">
      <c r="A1741" s="1">
        <v>46043</v>
      </c>
      <c r="B1741" t="s">
        <v>1933</v>
      </c>
      <c r="C1741" t="s">
        <v>418</v>
      </c>
      <c r="D1741" t="s">
        <v>101</v>
      </c>
      <c r="E1741" t="s">
        <v>35</v>
      </c>
      <c r="F1741" t="s">
        <v>36</v>
      </c>
      <c r="G1741" t="s">
        <v>51</v>
      </c>
      <c r="H1741" t="s">
        <v>59</v>
      </c>
      <c r="I1741" t="s">
        <v>92</v>
      </c>
      <c r="J1741" s="2">
        <v>1</v>
      </c>
      <c r="K1741" s="3">
        <v>2231.5700000000002</v>
      </c>
      <c r="L1741" s="3">
        <v>1452.99</v>
      </c>
      <c r="M1741" s="4">
        <v>0</v>
      </c>
      <c r="N1741" s="3">
        <f t="shared" si="135"/>
        <v>2231.5700000000002</v>
      </c>
      <c r="O1741" s="3">
        <f t="shared" si="136"/>
        <v>2231.5700000000002</v>
      </c>
      <c r="P1741" s="3">
        <f t="shared" si="137"/>
        <v>1452.99</v>
      </c>
      <c r="Q1741" s="3">
        <f t="shared" si="138"/>
        <v>778.58</v>
      </c>
      <c r="R1741" s="4">
        <f t="shared" si="139"/>
        <v>0.34889999999999999</v>
      </c>
      <c r="S1741" s="2">
        <v>4</v>
      </c>
      <c r="T1741" t="s">
        <v>46</v>
      </c>
      <c r="U1741">
        <v>3</v>
      </c>
    </row>
    <row r="1742" spans="1:21" x14ac:dyDescent="0.25">
      <c r="A1742" s="1">
        <v>46218</v>
      </c>
      <c r="B1742" t="s">
        <v>1934</v>
      </c>
      <c r="C1742" t="s">
        <v>100</v>
      </c>
      <c r="D1742" t="s">
        <v>63</v>
      </c>
      <c r="E1742" t="s">
        <v>35</v>
      </c>
      <c r="F1742" t="s">
        <v>26</v>
      </c>
      <c r="G1742" t="s">
        <v>37</v>
      </c>
      <c r="H1742" t="s">
        <v>38</v>
      </c>
      <c r="I1742" t="s">
        <v>77</v>
      </c>
      <c r="J1742" s="2">
        <v>8</v>
      </c>
      <c r="K1742" s="3">
        <v>404.28</v>
      </c>
      <c r="L1742" s="3">
        <v>185.17</v>
      </c>
      <c r="M1742" s="4">
        <v>0</v>
      </c>
      <c r="N1742" s="3">
        <f t="shared" si="135"/>
        <v>3234.24</v>
      </c>
      <c r="O1742" s="3">
        <f t="shared" si="136"/>
        <v>3234.24</v>
      </c>
      <c r="P1742" s="3">
        <f t="shared" si="137"/>
        <v>1481.36</v>
      </c>
      <c r="Q1742" s="3">
        <f t="shared" si="138"/>
        <v>1752.88</v>
      </c>
      <c r="R1742" s="4">
        <f t="shared" si="139"/>
        <v>0.54200000000000004</v>
      </c>
      <c r="S1742" s="2">
        <v>7</v>
      </c>
      <c r="T1742" t="s">
        <v>46</v>
      </c>
      <c r="U1742">
        <v>3</v>
      </c>
    </row>
    <row r="1743" spans="1:21" x14ac:dyDescent="0.25">
      <c r="A1743" s="1">
        <v>46118</v>
      </c>
      <c r="B1743" t="s">
        <v>1935</v>
      </c>
      <c r="C1743" t="s">
        <v>392</v>
      </c>
      <c r="D1743" t="s">
        <v>85</v>
      </c>
      <c r="E1743" t="s">
        <v>50</v>
      </c>
      <c r="F1743" t="s">
        <v>64</v>
      </c>
      <c r="G1743" t="s">
        <v>51</v>
      </c>
      <c r="H1743" t="s">
        <v>116</v>
      </c>
      <c r="I1743" t="s">
        <v>77</v>
      </c>
      <c r="J1743" s="2">
        <v>5</v>
      </c>
      <c r="K1743" s="3">
        <v>2637.24</v>
      </c>
      <c r="L1743" s="3">
        <v>1775.19</v>
      </c>
      <c r="M1743" s="4">
        <v>0</v>
      </c>
      <c r="N1743" s="3">
        <f t="shared" si="135"/>
        <v>13186.2</v>
      </c>
      <c r="O1743" s="3">
        <f t="shared" si="136"/>
        <v>13186.2</v>
      </c>
      <c r="P1743" s="3">
        <f t="shared" si="137"/>
        <v>8875.9500000000007</v>
      </c>
      <c r="Q1743" s="3">
        <f t="shared" si="138"/>
        <v>4310.25</v>
      </c>
      <c r="R1743" s="4">
        <f t="shared" si="139"/>
        <v>0.32690000000000002</v>
      </c>
      <c r="S1743" s="2">
        <v>12</v>
      </c>
      <c r="T1743" t="s">
        <v>30</v>
      </c>
      <c r="U1743">
        <v>4</v>
      </c>
    </row>
    <row r="1744" spans="1:21" x14ac:dyDescent="0.25">
      <c r="A1744" s="1">
        <v>46126</v>
      </c>
      <c r="B1744" t="s">
        <v>1936</v>
      </c>
      <c r="C1744" t="s">
        <v>329</v>
      </c>
      <c r="D1744" t="s">
        <v>56</v>
      </c>
      <c r="E1744" t="s">
        <v>57</v>
      </c>
      <c r="F1744" t="s">
        <v>64</v>
      </c>
      <c r="G1744" t="s">
        <v>51</v>
      </c>
      <c r="H1744" t="s">
        <v>116</v>
      </c>
      <c r="I1744" t="s">
        <v>87</v>
      </c>
      <c r="J1744" s="2">
        <v>7</v>
      </c>
      <c r="K1744" s="3">
        <v>2914.08</v>
      </c>
      <c r="L1744" s="3">
        <v>1814.84</v>
      </c>
      <c r="M1744" s="4">
        <v>0</v>
      </c>
      <c r="N1744" s="3">
        <f t="shared" si="135"/>
        <v>20398.560000000001</v>
      </c>
      <c r="O1744" s="3">
        <f t="shared" si="136"/>
        <v>20398.560000000001</v>
      </c>
      <c r="P1744" s="3">
        <f t="shared" si="137"/>
        <v>12703.88</v>
      </c>
      <c r="Q1744" s="3">
        <f t="shared" si="138"/>
        <v>7694.68</v>
      </c>
      <c r="R1744" s="4">
        <f t="shared" si="139"/>
        <v>0.37719999999999998</v>
      </c>
      <c r="S1744" s="2">
        <v>9</v>
      </c>
      <c r="T1744" t="s">
        <v>46</v>
      </c>
      <c r="U1744">
        <v>3</v>
      </c>
    </row>
    <row r="1745" spans="1:22" x14ac:dyDescent="0.25">
      <c r="A1745" s="1">
        <v>46169</v>
      </c>
      <c r="B1745" t="s">
        <v>1937</v>
      </c>
      <c r="C1745" t="s">
        <v>235</v>
      </c>
      <c r="D1745" t="s">
        <v>113</v>
      </c>
      <c r="E1745" t="s">
        <v>50</v>
      </c>
      <c r="F1745" t="s">
        <v>64</v>
      </c>
      <c r="G1745" t="s">
        <v>27</v>
      </c>
      <c r="H1745" t="s">
        <v>86</v>
      </c>
      <c r="I1745" t="s">
        <v>29</v>
      </c>
      <c r="J1745" s="2">
        <v>4</v>
      </c>
      <c r="K1745" s="3">
        <v>1887.5</v>
      </c>
      <c r="L1745" s="3">
        <v>1145.31</v>
      </c>
      <c r="M1745" s="4">
        <v>0</v>
      </c>
      <c r="N1745" s="3">
        <f t="shared" si="135"/>
        <v>7550</v>
      </c>
      <c r="O1745" s="3">
        <f t="shared" si="136"/>
        <v>7550</v>
      </c>
      <c r="P1745" s="3">
        <f t="shared" si="137"/>
        <v>4581.24</v>
      </c>
      <c r="Q1745" s="3">
        <f t="shared" si="138"/>
        <v>2968.76</v>
      </c>
      <c r="R1745" s="4">
        <f t="shared" si="139"/>
        <v>0.39319999999999999</v>
      </c>
      <c r="S1745" s="2">
        <v>10</v>
      </c>
      <c r="T1745" t="s">
        <v>46</v>
      </c>
      <c r="U1745">
        <v>4</v>
      </c>
    </row>
    <row r="1746" spans="1:22" x14ac:dyDescent="0.25">
      <c r="A1746" s="1">
        <v>46095</v>
      </c>
      <c r="B1746" t="s">
        <v>1938</v>
      </c>
      <c r="C1746" t="s">
        <v>218</v>
      </c>
      <c r="D1746" t="s">
        <v>43</v>
      </c>
      <c r="E1746" t="s">
        <v>25</v>
      </c>
      <c r="F1746" t="s">
        <v>36</v>
      </c>
      <c r="G1746" t="s">
        <v>27</v>
      </c>
      <c r="H1746" t="s">
        <v>86</v>
      </c>
      <c r="I1746" t="s">
        <v>53</v>
      </c>
      <c r="J1746" s="2">
        <v>2</v>
      </c>
      <c r="K1746" s="3">
        <v>1997</v>
      </c>
      <c r="L1746" s="3">
        <v>1284.8</v>
      </c>
      <c r="M1746" s="4">
        <v>0</v>
      </c>
      <c r="N1746" s="3">
        <f t="shared" si="135"/>
        <v>3994</v>
      </c>
      <c r="O1746" s="3">
        <f t="shared" si="136"/>
        <v>3994</v>
      </c>
      <c r="P1746" s="3">
        <f t="shared" si="137"/>
        <v>2569.6</v>
      </c>
      <c r="Q1746" s="3">
        <f t="shared" si="138"/>
        <v>1424.4</v>
      </c>
      <c r="R1746" s="4">
        <f t="shared" si="139"/>
        <v>0.35659999999999997</v>
      </c>
      <c r="S1746" s="2">
        <v>13</v>
      </c>
      <c r="T1746" t="s">
        <v>30</v>
      </c>
      <c r="U1746">
        <v>5</v>
      </c>
    </row>
    <row r="1747" spans="1:22" x14ac:dyDescent="0.25">
      <c r="A1747" s="1">
        <v>46129</v>
      </c>
      <c r="B1747" t="s">
        <v>1939</v>
      </c>
      <c r="C1747" t="s">
        <v>370</v>
      </c>
      <c r="D1747" t="s">
        <v>49</v>
      </c>
      <c r="E1747" t="s">
        <v>50</v>
      </c>
      <c r="F1747" t="s">
        <v>26</v>
      </c>
      <c r="G1747" t="s">
        <v>51</v>
      </c>
      <c r="H1747" t="s">
        <v>116</v>
      </c>
      <c r="I1747" t="s">
        <v>53</v>
      </c>
      <c r="J1747" s="2">
        <v>3</v>
      </c>
      <c r="K1747" s="3">
        <v>2684.68</v>
      </c>
      <c r="L1747" s="3">
        <v>1852.43</v>
      </c>
      <c r="M1747" s="4">
        <v>1.89E-2</v>
      </c>
      <c r="N1747" s="3">
        <f t="shared" si="135"/>
        <v>8054.04</v>
      </c>
      <c r="O1747" s="3">
        <f t="shared" si="136"/>
        <v>7901.82</v>
      </c>
      <c r="P1747" s="3">
        <f t="shared" si="137"/>
        <v>5557.29</v>
      </c>
      <c r="Q1747" s="3">
        <f t="shared" si="138"/>
        <v>2344.5300000000002</v>
      </c>
      <c r="R1747" s="4">
        <f t="shared" si="139"/>
        <v>0.29670000000000002</v>
      </c>
      <c r="S1747" s="2">
        <v>7</v>
      </c>
      <c r="T1747" t="s">
        <v>46</v>
      </c>
      <c r="U1747">
        <v>2</v>
      </c>
    </row>
    <row r="1748" spans="1:22" x14ac:dyDescent="0.25">
      <c r="A1748" s="1">
        <v>46068</v>
      </c>
      <c r="B1748" t="s">
        <v>1940</v>
      </c>
      <c r="C1748" t="s">
        <v>170</v>
      </c>
      <c r="D1748" t="s">
        <v>207</v>
      </c>
      <c r="E1748" t="s">
        <v>35</v>
      </c>
      <c r="F1748" t="s">
        <v>64</v>
      </c>
      <c r="G1748" t="s">
        <v>44</v>
      </c>
      <c r="H1748" t="s">
        <v>45</v>
      </c>
      <c r="I1748" t="s">
        <v>39</v>
      </c>
      <c r="J1748" s="2">
        <v>7</v>
      </c>
      <c r="K1748" s="3">
        <v>410.45</v>
      </c>
      <c r="L1748" s="3">
        <v>212.3</v>
      </c>
      <c r="M1748" s="4">
        <v>5.7099999999999998E-2</v>
      </c>
      <c r="N1748" s="3">
        <f t="shared" si="135"/>
        <v>2873.15</v>
      </c>
      <c r="O1748" s="3">
        <f t="shared" si="136"/>
        <v>2709.09</v>
      </c>
      <c r="P1748" s="3">
        <f t="shared" si="137"/>
        <v>1486.1</v>
      </c>
      <c r="Q1748" s="3">
        <f t="shared" si="138"/>
        <v>1222.99</v>
      </c>
      <c r="R1748" s="4">
        <f t="shared" si="139"/>
        <v>0.45140000000000002</v>
      </c>
      <c r="S1748" s="2">
        <v>5</v>
      </c>
      <c r="T1748" t="s">
        <v>46</v>
      </c>
      <c r="U1748">
        <v>5</v>
      </c>
    </row>
    <row r="1749" spans="1:22" x14ac:dyDescent="0.25">
      <c r="A1749" s="1">
        <v>46221</v>
      </c>
      <c r="B1749" t="s">
        <v>1941</v>
      </c>
      <c r="C1749" t="s">
        <v>168</v>
      </c>
      <c r="D1749" t="s">
        <v>24</v>
      </c>
      <c r="E1749" t="s">
        <v>25</v>
      </c>
      <c r="F1749" t="s">
        <v>36</v>
      </c>
      <c r="G1749" t="s">
        <v>51</v>
      </c>
      <c r="H1749" t="s">
        <v>59</v>
      </c>
      <c r="I1749" t="s">
        <v>87</v>
      </c>
      <c r="J1749" s="2">
        <v>8</v>
      </c>
      <c r="K1749" s="3">
        <v>2220.08</v>
      </c>
      <c r="L1749" s="3">
        <v>1463.74</v>
      </c>
      <c r="M1749" s="4">
        <v>9.06E-2</v>
      </c>
      <c r="N1749" s="3">
        <f t="shared" si="135"/>
        <v>17760.64</v>
      </c>
      <c r="O1749" s="3">
        <f t="shared" si="136"/>
        <v>16151.53</v>
      </c>
      <c r="P1749" s="3">
        <f t="shared" si="137"/>
        <v>11709.92</v>
      </c>
      <c r="Q1749" s="3">
        <f t="shared" si="138"/>
        <v>4441.6099999999997</v>
      </c>
      <c r="R1749" s="4">
        <f t="shared" si="139"/>
        <v>0.27500000000000002</v>
      </c>
      <c r="S1749" s="2">
        <v>5</v>
      </c>
      <c r="T1749" t="s">
        <v>46</v>
      </c>
      <c r="U1749">
        <v>3</v>
      </c>
    </row>
    <row r="1750" spans="1:22" x14ac:dyDescent="0.25">
      <c r="A1750" s="1">
        <v>46157</v>
      </c>
      <c r="B1750" t="s">
        <v>1942</v>
      </c>
      <c r="C1750" t="s">
        <v>218</v>
      </c>
      <c r="D1750" t="s">
        <v>34</v>
      </c>
      <c r="E1750" t="s">
        <v>35</v>
      </c>
      <c r="F1750" t="s">
        <v>58</v>
      </c>
      <c r="G1750" t="s">
        <v>51</v>
      </c>
      <c r="H1750" t="s">
        <v>116</v>
      </c>
      <c r="I1750" t="s">
        <v>39</v>
      </c>
      <c r="J1750" s="2">
        <v>4</v>
      </c>
      <c r="K1750" s="3">
        <v>2721.73</v>
      </c>
      <c r="L1750" s="3">
        <v>1829.64</v>
      </c>
      <c r="M1750" s="4">
        <v>0.10780000000000001</v>
      </c>
      <c r="N1750" s="3">
        <f t="shared" si="135"/>
        <v>10886.92</v>
      </c>
      <c r="O1750" s="3">
        <f t="shared" si="136"/>
        <v>9713.31</v>
      </c>
      <c r="P1750" s="3">
        <f t="shared" si="137"/>
        <v>7318.56</v>
      </c>
      <c r="Q1750" s="3">
        <f t="shared" si="138"/>
        <v>2394.75</v>
      </c>
      <c r="R1750" s="4">
        <f t="shared" si="139"/>
        <v>0.2465</v>
      </c>
      <c r="S1750" s="2">
        <v>13</v>
      </c>
      <c r="T1750" t="s">
        <v>30</v>
      </c>
      <c r="U1750">
        <v>5</v>
      </c>
    </row>
    <row r="1751" spans="1:22" x14ac:dyDescent="0.25">
      <c r="A1751" s="1">
        <v>46029</v>
      </c>
      <c r="B1751" t="s">
        <v>1943</v>
      </c>
      <c r="C1751" t="s">
        <v>590</v>
      </c>
      <c r="D1751" t="s">
        <v>207</v>
      </c>
      <c r="E1751" t="s">
        <v>35</v>
      </c>
      <c r="F1751" t="s">
        <v>26</v>
      </c>
      <c r="G1751" t="s">
        <v>44</v>
      </c>
      <c r="H1751" t="s">
        <v>124</v>
      </c>
      <c r="I1751" t="s">
        <v>77</v>
      </c>
      <c r="J1751" s="2">
        <v>7</v>
      </c>
      <c r="K1751" s="3">
        <v>5737.41</v>
      </c>
      <c r="L1751" s="3">
        <v>4503.87</v>
      </c>
      <c r="M1751" s="4">
        <v>0</v>
      </c>
      <c r="N1751" s="3">
        <f t="shared" si="135"/>
        <v>40161.870000000003</v>
      </c>
      <c r="O1751" s="3">
        <f t="shared" si="136"/>
        <v>40161.870000000003</v>
      </c>
      <c r="P1751" s="3">
        <f t="shared" si="137"/>
        <v>31527.09</v>
      </c>
      <c r="Q1751" s="3">
        <f t="shared" si="138"/>
        <v>8634.7800000000007</v>
      </c>
      <c r="R1751" s="4">
        <f t="shared" si="139"/>
        <v>0.215</v>
      </c>
      <c r="S1751" s="2">
        <v>2</v>
      </c>
      <c r="T1751" t="s">
        <v>46</v>
      </c>
      <c r="U1751">
        <v>5</v>
      </c>
    </row>
    <row r="1752" spans="1:22" x14ac:dyDescent="0.25">
      <c r="A1752" s="1">
        <v>46187</v>
      </c>
      <c r="B1752" t="s">
        <v>1944</v>
      </c>
      <c r="C1752" t="s">
        <v>164</v>
      </c>
      <c r="D1752" t="s">
        <v>71</v>
      </c>
      <c r="E1752" t="s">
        <v>72</v>
      </c>
      <c r="F1752" t="s">
        <v>26</v>
      </c>
      <c r="G1752" t="s">
        <v>27</v>
      </c>
      <c r="H1752" t="s">
        <v>28</v>
      </c>
      <c r="I1752" t="s">
        <v>92</v>
      </c>
      <c r="J1752" s="2">
        <v>7</v>
      </c>
      <c r="K1752" s="3">
        <v>756.7</v>
      </c>
      <c r="L1752" s="3">
        <v>489.74</v>
      </c>
      <c r="M1752" s="4">
        <v>0</v>
      </c>
      <c r="N1752" s="3">
        <f t="shared" si="135"/>
        <v>5296.9</v>
      </c>
      <c r="O1752" s="3">
        <f t="shared" si="136"/>
        <v>5296.9</v>
      </c>
      <c r="P1752" s="3">
        <f t="shared" si="137"/>
        <v>3428.18</v>
      </c>
      <c r="Q1752" s="3">
        <f t="shared" si="138"/>
        <v>1868.72</v>
      </c>
      <c r="R1752" s="4">
        <f t="shared" si="139"/>
        <v>0.3528</v>
      </c>
      <c r="S1752" s="2">
        <v>4</v>
      </c>
      <c r="T1752" t="s">
        <v>46</v>
      </c>
      <c r="U1752">
        <v>3</v>
      </c>
    </row>
    <row r="1753" spans="1:22" x14ac:dyDescent="0.25">
      <c r="A1753" s="1">
        <v>46156</v>
      </c>
      <c r="B1753" t="s">
        <v>1945</v>
      </c>
      <c r="C1753" t="s">
        <v>308</v>
      </c>
      <c r="D1753" t="s">
        <v>207</v>
      </c>
      <c r="E1753" t="s">
        <v>35</v>
      </c>
      <c r="F1753" t="s">
        <v>36</v>
      </c>
      <c r="G1753" t="s">
        <v>51</v>
      </c>
      <c r="H1753" t="s">
        <v>59</v>
      </c>
      <c r="I1753" t="s">
        <v>60</v>
      </c>
      <c r="J1753" s="2">
        <v>2</v>
      </c>
      <c r="K1753" s="3">
        <v>2115.63</v>
      </c>
      <c r="L1753" s="3">
        <v>1474.56</v>
      </c>
      <c r="M1753" s="4">
        <v>5.3E-3</v>
      </c>
      <c r="N1753" s="3">
        <f t="shared" si="135"/>
        <v>4231.26</v>
      </c>
      <c r="O1753" s="3">
        <f t="shared" si="136"/>
        <v>4208.83</v>
      </c>
      <c r="P1753" s="3">
        <f t="shared" si="137"/>
        <v>2949.12</v>
      </c>
      <c r="Q1753" s="3">
        <f t="shared" si="138"/>
        <v>1259.71</v>
      </c>
      <c r="R1753" s="4">
        <f t="shared" si="139"/>
        <v>0.29930000000000001</v>
      </c>
      <c r="S1753" s="2">
        <v>9</v>
      </c>
      <c r="T1753" t="s">
        <v>46</v>
      </c>
      <c r="U1753">
        <v>5</v>
      </c>
    </row>
    <row r="1754" spans="1:22" x14ac:dyDescent="0.25">
      <c r="A1754" s="1">
        <v>46168</v>
      </c>
      <c r="B1754" t="s">
        <v>1946</v>
      </c>
      <c r="C1754" t="s">
        <v>118</v>
      </c>
      <c r="D1754" t="s">
        <v>24</v>
      </c>
      <c r="E1754" t="s">
        <v>25</v>
      </c>
      <c r="F1754" t="s">
        <v>26</v>
      </c>
      <c r="G1754" t="s">
        <v>27</v>
      </c>
      <c r="H1754" t="s">
        <v>68</v>
      </c>
      <c r="I1754" t="s">
        <v>94</v>
      </c>
      <c r="J1754" s="2">
        <v>8</v>
      </c>
      <c r="K1754" s="3">
        <v>1341.68</v>
      </c>
      <c r="L1754" s="3">
        <v>789.99</v>
      </c>
      <c r="M1754" s="4">
        <v>3.7600000000000001E-2</v>
      </c>
      <c r="N1754" s="3">
        <f t="shared" si="135"/>
        <v>10733.44</v>
      </c>
      <c r="O1754" s="3">
        <f t="shared" si="136"/>
        <v>10329.86</v>
      </c>
      <c r="P1754" s="3">
        <f t="shared" si="137"/>
        <v>6319.92</v>
      </c>
      <c r="Q1754" s="3">
        <f t="shared" si="138"/>
        <v>4009.94</v>
      </c>
      <c r="R1754" s="4">
        <f t="shared" si="139"/>
        <v>0.38819999999999999</v>
      </c>
      <c r="S1754" s="2">
        <v>20</v>
      </c>
      <c r="T1754" t="s">
        <v>30</v>
      </c>
      <c r="U1754">
        <v>2</v>
      </c>
      <c r="V1754" t="s">
        <v>208</v>
      </c>
    </row>
    <row r="1755" spans="1:22" x14ac:dyDescent="0.25">
      <c r="A1755" s="1">
        <v>46115</v>
      </c>
      <c r="B1755" t="s">
        <v>1947</v>
      </c>
      <c r="C1755" t="s">
        <v>464</v>
      </c>
      <c r="D1755" t="s">
        <v>49</v>
      </c>
      <c r="E1755" t="s">
        <v>50</v>
      </c>
      <c r="F1755" t="s">
        <v>58</v>
      </c>
      <c r="G1755" t="s">
        <v>27</v>
      </c>
      <c r="H1755" t="s">
        <v>68</v>
      </c>
      <c r="I1755" t="s">
        <v>74</v>
      </c>
      <c r="J1755" s="2">
        <v>4</v>
      </c>
      <c r="K1755" s="3">
        <v>1346.83</v>
      </c>
      <c r="L1755" s="3">
        <v>747.04</v>
      </c>
      <c r="M1755" s="4">
        <v>3.5000000000000003E-2</v>
      </c>
      <c r="N1755" s="3">
        <f t="shared" si="135"/>
        <v>5387.32</v>
      </c>
      <c r="O1755" s="3">
        <f t="shared" si="136"/>
        <v>5198.76</v>
      </c>
      <c r="P1755" s="3">
        <f t="shared" si="137"/>
        <v>2988.16</v>
      </c>
      <c r="Q1755" s="3">
        <f t="shared" si="138"/>
        <v>2210.6</v>
      </c>
      <c r="R1755" s="4">
        <f t="shared" si="139"/>
        <v>0.42520000000000002</v>
      </c>
      <c r="S1755" s="2">
        <v>6</v>
      </c>
      <c r="T1755" t="s">
        <v>46</v>
      </c>
      <c r="U1755">
        <v>5</v>
      </c>
    </row>
    <row r="1756" spans="1:22" x14ac:dyDescent="0.25">
      <c r="A1756" s="1">
        <v>46221</v>
      </c>
      <c r="B1756" t="s">
        <v>1948</v>
      </c>
      <c r="C1756" t="s">
        <v>201</v>
      </c>
      <c r="D1756" t="s">
        <v>63</v>
      </c>
      <c r="E1756" t="s">
        <v>35</v>
      </c>
      <c r="F1756" t="s">
        <v>36</v>
      </c>
      <c r="G1756" t="s">
        <v>51</v>
      </c>
      <c r="H1756" t="s">
        <v>59</v>
      </c>
      <c r="I1756" t="s">
        <v>53</v>
      </c>
      <c r="J1756" s="2">
        <v>2</v>
      </c>
      <c r="K1756" s="3">
        <v>2298.31</v>
      </c>
      <c r="L1756" s="3">
        <v>1434.15</v>
      </c>
      <c r="M1756" s="4">
        <v>0</v>
      </c>
      <c r="N1756" s="3">
        <f t="shared" si="135"/>
        <v>4596.62</v>
      </c>
      <c r="O1756" s="3">
        <f t="shared" si="136"/>
        <v>4596.62</v>
      </c>
      <c r="P1756" s="3">
        <f t="shared" si="137"/>
        <v>2868.3</v>
      </c>
      <c r="Q1756" s="3">
        <f t="shared" si="138"/>
        <v>1728.32</v>
      </c>
      <c r="R1756" s="4">
        <f t="shared" si="139"/>
        <v>0.376</v>
      </c>
      <c r="S1756" s="2">
        <v>13</v>
      </c>
      <c r="T1756" t="s">
        <v>30</v>
      </c>
      <c r="U1756">
        <v>5</v>
      </c>
    </row>
    <row r="1757" spans="1:22" x14ac:dyDescent="0.25">
      <c r="A1757" s="1">
        <v>46075</v>
      </c>
      <c r="B1757" t="s">
        <v>1949</v>
      </c>
      <c r="C1757" t="s">
        <v>480</v>
      </c>
      <c r="D1757" t="s">
        <v>101</v>
      </c>
      <c r="E1757" t="s">
        <v>35</v>
      </c>
      <c r="F1757" t="s">
        <v>26</v>
      </c>
      <c r="G1757" t="s">
        <v>51</v>
      </c>
      <c r="H1757" t="s">
        <v>52</v>
      </c>
      <c r="I1757" t="s">
        <v>94</v>
      </c>
      <c r="J1757" s="2">
        <v>2</v>
      </c>
      <c r="K1757" s="3">
        <v>248.93</v>
      </c>
      <c r="L1757" s="3">
        <v>117.92</v>
      </c>
      <c r="M1757" s="4">
        <v>9.0300000000000005E-2</v>
      </c>
      <c r="N1757" s="3">
        <f t="shared" si="135"/>
        <v>497.86</v>
      </c>
      <c r="O1757" s="3">
        <f t="shared" si="136"/>
        <v>452.9</v>
      </c>
      <c r="P1757" s="3">
        <f t="shared" si="137"/>
        <v>235.84</v>
      </c>
      <c r="Q1757" s="3">
        <f t="shared" si="138"/>
        <v>217.06</v>
      </c>
      <c r="R1757" s="4">
        <f t="shared" si="139"/>
        <v>0.4793</v>
      </c>
      <c r="S1757" s="2">
        <v>10</v>
      </c>
      <c r="T1757" t="s">
        <v>46</v>
      </c>
      <c r="U1757">
        <v>5</v>
      </c>
    </row>
    <row r="1758" spans="1:22" x14ac:dyDescent="0.25">
      <c r="A1758" s="1">
        <v>46230</v>
      </c>
      <c r="B1758" t="s">
        <v>1950</v>
      </c>
      <c r="C1758" t="s">
        <v>687</v>
      </c>
      <c r="D1758" t="s">
        <v>101</v>
      </c>
      <c r="E1758" t="s">
        <v>35</v>
      </c>
      <c r="F1758" t="s">
        <v>58</v>
      </c>
      <c r="G1758" t="s">
        <v>44</v>
      </c>
      <c r="H1758" t="s">
        <v>73</v>
      </c>
      <c r="I1758" t="s">
        <v>53</v>
      </c>
      <c r="J1758" s="2">
        <v>2</v>
      </c>
      <c r="K1758" s="3">
        <v>1702.35</v>
      </c>
      <c r="L1758" s="3">
        <v>1098.77</v>
      </c>
      <c r="M1758" s="4">
        <v>0.16339999999999999</v>
      </c>
      <c r="N1758" s="3">
        <f t="shared" si="135"/>
        <v>3404.7</v>
      </c>
      <c r="O1758" s="3">
        <f t="shared" si="136"/>
        <v>2848.37</v>
      </c>
      <c r="P1758" s="3">
        <f t="shared" si="137"/>
        <v>2197.54</v>
      </c>
      <c r="Q1758" s="3">
        <f t="shared" si="138"/>
        <v>650.83000000000004</v>
      </c>
      <c r="R1758" s="4">
        <f t="shared" si="139"/>
        <v>0.22850000000000001</v>
      </c>
      <c r="S1758" s="2">
        <v>9</v>
      </c>
      <c r="T1758" t="s">
        <v>46</v>
      </c>
      <c r="U1758">
        <v>4</v>
      </c>
    </row>
    <row r="1759" spans="1:22" x14ac:dyDescent="0.25">
      <c r="A1759" s="1">
        <v>46172</v>
      </c>
      <c r="B1759" t="s">
        <v>1951</v>
      </c>
      <c r="C1759" t="s">
        <v>182</v>
      </c>
      <c r="D1759" t="s">
        <v>139</v>
      </c>
      <c r="E1759" t="s">
        <v>72</v>
      </c>
      <c r="F1759" t="s">
        <v>36</v>
      </c>
      <c r="G1759" t="s">
        <v>51</v>
      </c>
      <c r="H1759" t="s">
        <v>59</v>
      </c>
      <c r="I1759" t="s">
        <v>65</v>
      </c>
      <c r="J1759" s="2">
        <v>2</v>
      </c>
      <c r="K1759" s="3">
        <v>2203.7399999999998</v>
      </c>
      <c r="L1759" s="3">
        <v>1408.82</v>
      </c>
      <c r="M1759" s="4">
        <v>0</v>
      </c>
      <c r="N1759" s="3">
        <f t="shared" si="135"/>
        <v>4407.4799999999996</v>
      </c>
      <c r="O1759" s="3">
        <f t="shared" si="136"/>
        <v>4407.4799999999996</v>
      </c>
      <c r="P1759" s="3">
        <f t="shared" si="137"/>
        <v>2817.64</v>
      </c>
      <c r="Q1759" s="3">
        <f t="shared" si="138"/>
        <v>1589.84</v>
      </c>
      <c r="R1759" s="4">
        <f t="shared" si="139"/>
        <v>0.36070000000000002</v>
      </c>
      <c r="S1759" s="2">
        <v>7</v>
      </c>
      <c r="T1759" t="s">
        <v>46</v>
      </c>
      <c r="U1759">
        <v>2</v>
      </c>
    </row>
    <row r="1760" spans="1:22" x14ac:dyDescent="0.25">
      <c r="A1760" s="1">
        <v>46106</v>
      </c>
      <c r="B1760" t="s">
        <v>1952</v>
      </c>
      <c r="C1760" t="s">
        <v>321</v>
      </c>
      <c r="D1760" t="s">
        <v>130</v>
      </c>
      <c r="E1760" t="s">
        <v>72</v>
      </c>
      <c r="F1760" t="s">
        <v>58</v>
      </c>
      <c r="G1760" t="s">
        <v>44</v>
      </c>
      <c r="H1760" t="s">
        <v>73</v>
      </c>
      <c r="I1760" t="s">
        <v>94</v>
      </c>
      <c r="J1760" s="2">
        <v>6</v>
      </c>
      <c r="K1760" s="3">
        <v>1736.11</v>
      </c>
      <c r="L1760" s="3">
        <v>1173.48</v>
      </c>
      <c r="M1760" s="4">
        <v>3.5000000000000003E-2</v>
      </c>
      <c r="N1760" s="3">
        <f t="shared" si="135"/>
        <v>10416.66</v>
      </c>
      <c r="O1760" s="3">
        <f t="shared" si="136"/>
        <v>10052.08</v>
      </c>
      <c r="P1760" s="3">
        <f t="shared" si="137"/>
        <v>7040.88</v>
      </c>
      <c r="Q1760" s="3">
        <f t="shared" si="138"/>
        <v>3011.2</v>
      </c>
      <c r="R1760" s="4">
        <f t="shared" si="139"/>
        <v>0.29959999999999998</v>
      </c>
      <c r="S1760" s="2">
        <v>12</v>
      </c>
      <c r="T1760" t="s">
        <v>30</v>
      </c>
      <c r="U1760">
        <v>5</v>
      </c>
    </row>
    <row r="1761" spans="1:22" x14ac:dyDescent="0.25">
      <c r="A1761" s="1">
        <v>46186</v>
      </c>
      <c r="B1761" t="s">
        <v>1953</v>
      </c>
      <c r="C1761" t="s">
        <v>378</v>
      </c>
      <c r="D1761" t="s">
        <v>207</v>
      </c>
      <c r="E1761" t="s">
        <v>35</v>
      </c>
      <c r="F1761" t="s">
        <v>26</v>
      </c>
      <c r="G1761" t="s">
        <v>44</v>
      </c>
      <c r="H1761" t="s">
        <v>73</v>
      </c>
      <c r="I1761" t="s">
        <v>74</v>
      </c>
      <c r="J1761" s="2">
        <v>3</v>
      </c>
      <c r="K1761" s="3">
        <v>1623.75</v>
      </c>
      <c r="L1761" s="3">
        <v>1040.9100000000001</v>
      </c>
      <c r="M1761" s="4">
        <v>9.9299999999999999E-2</v>
      </c>
      <c r="N1761" s="3">
        <f t="shared" si="135"/>
        <v>4871.25</v>
      </c>
      <c r="O1761" s="3">
        <f t="shared" si="136"/>
        <v>4387.53</v>
      </c>
      <c r="P1761" s="3">
        <f t="shared" si="137"/>
        <v>3122.73</v>
      </c>
      <c r="Q1761" s="3">
        <f t="shared" si="138"/>
        <v>1264.8</v>
      </c>
      <c r="R1761" s="4">
        <f t="shared" si="139"/>
        <v>0.2883</v>
      </c>
      <c r="S1761" s="2">
        <v>9</v>
      </c>
      <c r="T1761" t="s">
        <v>46</v>
      </c>
      <c r="U1761">
        <v>2</v>
      </c>
    </row>
    <row r="1762" spans="1:22" x14ac:dyDescent="0.25">
      <c r="A1762" s="1">
        <v>46135</v>
      </c>
      <c r="B1762" t="s">
        <v>1954</v>
      </c>
      <c r="C1762" t="s">
        <v>91</v>
      </c>
      <c r="D1762" t="s">
        <v>139</v>
      </c>
      <c r="E1762" t="s">
        <v>72</v>
      </c>
      <c r="F1762" t="s">
        <v>36</v>
      </c>
      <c r="G1762" t="s">
        <v>37</v>
      </c>
      <c r="H1762" t="s">
        <v>178</v>
      </c>
      <c r="I1762" t="s">
        <v>94</v>
      </c>
      <c r="J1762" s="2">
        <v>4</v>
      </c>
      <c r="K1762" s="3">
        <v>533.52</v>
      </c>
      <c r="L1762" s="3">
        <v>255.03</v>
      </c>
      <c r="M1762" s="4">
        <v>1.44E-2</v>
      </c>
      <c r="N1762" s="3">
        <f t="shared" si="135"/>
        <v>2134.08</v>
      </c>
      <c r="O1762" s="3">
        <f t="shared" si="136"/>
        <v>2103.35</v>
      </c>
      <c r="P1762" s="3">
        <f t="shared" si="137"/>
        <v>1020.12</v>
      </c>
      <c r="Q1762" s="3">
        <f t="shared" si="138"/>
        <v>1083.23</v>
      </c>
      <c r="R1762" s="4">
        <f t="shared" si="139"/>
        <v>0.51500000000000001</v>
      </c>
      <c r="S1762" s="2">
        <v>2</v>
      </c>
      <c r="T1762" t="s">
        <v>46</v>
      </c>
      <c r="U1762">
        <v>4</v>
      </c>
    </row>
    <row r="1763" spans="1:22" x14ac:dyDescent="0.25">
      <c r="A1763" s="1">
        <v>46158</v>
      </c>
      <c r="B1763" t="s">
        <v>1955</v>
      </c>
      <c r="C1763" t="s">
        <v>384</v>
      </c>
      <c r="D1763" t="s">
        <v>63</v>
      </c>
      <c r="E1763" t="s">
        <v>35</v>
      </c>
      <c r="F1763" t="s">
        <v>64</v>
      </c>
      <c r="G1763" t="s">
        <v>51</v>
      </c>
      <c r="H1763" t="s">
        <v>116</v>
      </c>
      <c r="I1763" t="s">
        <v>92</v>
      </c>
      <c r="J1763" s="2">
        <v>2</v>
      </c>
      <c r="K1763" s="3">
        <v>2777.29</v>
      </c>
      <c r="L1763" s="3">
        <v>1822.05</v>
      </c>
      <c r="M1763" s="4">
        <v>0</v>
      </c>
      <c r="N1763" s="3">
        <f t="shared" si="135"/>
        <v>5554.58</v>
      </c>
      <c r="O1763" s="3">
        <f t="shared" si="136"/>
        <v>5554.58</v>
      </c>
      <c r="P1763" s="3">
        <f t="shared" si="137"/>
        <v>3644.1</v>
      </c>
      <c r="Q1763" s="3">
        <f t="shared" si="138"/>
        <v>1910.48</v>
      </c>
      <c r="R1763" s="4">
        <f t="shared" si="139"/>
        <v>0.34389999999999998</v>
      </c>
      <c r="S1763" s="2">
        <v>8</v>
      </c>
      <c r="T1763" t="s">
        <v>46</v>
      </c>
      <c r="U1763">
        <v>2</v>
      </c>
    </row>
    <row r="1764" spans="1:22" x14ac:dyDescent="0.25">
      <c r="A1764" s="1">
        <v>46179</v>
      </c>
      <c r="B1764" t="s">
        <v>1956</v>
      </c>
      <c r="C1764" t="s">
        <v>266</v>
      </c>
      <c r="D1764" t="s">
        <v>24</v>
      </c>
      <c r="E1764" t="s">
        <v>25</v>
      </c>
      <c r="F1764" t="s">
        <v>58</v>
      </c>
      <c r="G1764" t="s">
        <v>44</v>
      </c>
      <c r="H1764" t="s">
        <v>73</v>
      </c>
      <c r="I1764" t="s">
        <v>29</v>
      </c>
      <c r="J1764" s="2">
        <v>3</v>
      </c>
      <c r="K1764" s="3">
        <v>1729.19</v>
      </c>
      <c r="L1764" s="3">
        <v>1079.98</v>
      </c>
      <c r="M1764" s="4">
        <v>6.5500000000000003E-2</v>
      </c>
      <c r="N1764" s="3">
        <f t="shared" si="135"/>
        <v>5187.57</v>
      </c>
      <c r="O1764" s="3">
        <f t="shared" si="136"/>
        <v>4847.78</v>
      </c>
      <c r="P1764" s="3">
        <f t="shared" si="137"/>
        <v>3239.94</v>
      </c>
      <c r="Q1764" s="3">
        <f t="shared" si="138"/>
        <v>1607.84</v>
      </c>
      <c r="R1764" s="4">
        <f t="shared" si="139"/>
        <v>0.33169999999999999</v>
      </c>
      <c r="S1764" s="2">
        <v>12</v>
      </c>
      <c r="T1764" t="s">
        <v>30</v>
      </c>
      <c r="U1764">
        <v>5</v>
      </c>
    </row>
    <row r="1765" spans="1:22" x14ac:dyDescent="0.25">
      <c r="A1765" s="1">
        <v>46212</v>
      </c>
      <c r="B1765" t="s">
        <v>1957</v>
      </c>
      <c r="C1765" t="s">
        <v>100</v>
      </c>
      <c r="D1765" t="s">
        <v>56</v>
      </c>
      <c r="E1765" t="s">
        <v>57</v>
      </c>
      <c r="F1765" t="s">
        <v>58</v>
      </c>
      <c r="G1765" t="s">
        <v>44</v>
      </c>
      <c r="H1765" t="s">
        <v>45</v>
      </c>
      <c r="I1765" t="s">
        <v>53</v>
      </c>
      <c r="J1765" s="2">
        <v>5</v>
      </c>
      <c r="K1765" s="3">
        <v>405.24</v>
      </c>
      <c r="L1765" s="3">
        <v>219.32</v>
      </c>
      <c r="M1765" s="4">
        <v>0.13420000000000001</v>
      </c>
      <c r="N1765" s="3">
        <f t="shared" si="135"/>
        <v>2026.2</v>
      </c>
      <c r="O1765" s="3">
        <f t="shared" si="136"/>
        <v>1754.28</v>
      </c>
      <c r="P1765" s="3">
        <f t="shared" si="137"/>
        <v>1096.5999999999999</v>
      </c>
      <c r="Q1765" s="3">
        <f t="shared" si="138"/>
        <v>657.68</v>
      </c>
      <c r="R1765" s="4">
        <f t="shared" si="139"/>
        <v>0.37490000000000001</v>
      </c>
      <c r="S1765" s="2">
        <v>3</v>
      </c>
      <c r="T1765" t="s">
        <v>46</v>
      </c>
      <c r="U1765">
        <v>5</v>
      </c>
    </row>
    <row r="1766" spans="1:22" x14ac:dyDescent="0.25">
      <c r="A1766" s="1">
        <v>46051</v>
      </c>
      <c r="B1766" t="s">
        <v>1958</v>
      </c>
      <c r="C1766" t="s">
        <v>401</v>
      </c>
      <c r="D1766" t="s">
        <v>56</v>
      </c>
      <c r="E1766" t="s">
        <v>57</v>
      </c>
      <c r="F1766" t="s">
        <v>58</v>
      </c>
      <c r="G1766" t="s">
        <v>27</v>
      </c>
      <c r="H1766" t="s">
        <v>86</v>
      </c>
      <c r="I1766" t="s">
        <v>77</v>
      </c>
      <c r="J1766" s="2">
        <v>5</v>
      </c>
      <c r="K1766" s="3">
        <v>1892.05</v>
      </c>
      <c r="L1766" s="3">
        <v>1190.6600000000001</v>
      </c>
      <c r="M1766" s="4">
        <v>8.9300000000000004E-2</v>
      </c>
      <c r="N1766" s="3">
        <f t="shared" si="135"/>
        <v>9460.25</v>
      </c>
      <c r="O1766" s="3">
        <f t="shared" si="136"/>
        <v>8615.4500000000007</v>
      </c>
      <c r="P1766" s="3">
        <f t="shared" si="137"/>
        <v>5953.3</v>
      </c>
      <c r="Q1766" s="3">
        <f t="shared" si="138"/>
        <v>2662.15</v>
      </c>
      <c r="R1766" s="4">
        <f t="shared" si="139"/>
        <v>0.309</v>
      </c>
      <c r="S1766" s="2">
        <v>6</v>
      </c>
      <c r="T1766" t="s">
        <v>46</v>
      </c>
      <c r="U1766">
        <v>2</v>
      </c>
    </row>
    <row r="1767" spans="1:22" x14ac:dyDescent="0.25">
      <c r="A1767" s="1">
        <v>46124</v>
      </c>
      <c r="B1767" t="s">
        <v>1959</v>
      </c>
      <c r="C1767" t="s">
        <v>190</v>
      </c>
      <c r="D1767" t="s">
        <v>63</v>
      </c>
      <c r="E1767" t="s">
        <v>35</v>
      </c>
      <c r="F1767" t="s">
        <v>58</v>
      </c>
      <c r="G1767" t="s">
        <v>51</v>
      </c>
      <c r="H1767" t="s">
        <v>59</v>
      </c>
      <c r="I1767" t="s">
        <v>53</v>
      </c>
      <c r="J1767" s="2">
        <v>1</v>
      </c>
      <c r="K1767" s="3">
        <v>2207.21</v>
      </c>
      <c r="L1767" s="3">
        <v>1360.14</v>
      </c>
      <c r="M1767" s="4">
        <v>0.16389999999999999</v>
      </c>
      <c r="N1767" s="3">
        <f t="shared" si="135"/>
        <v>2207.21</v>
      </c>
      <c r="O1767" s="3">
        <f t="shared" si="136"/>
        <v>1845.45</v>
      </c>
      <c r="P1767" s="3">
        <f t="shared" si="137"/>
        <v>1360.14</v>
      </c>
      <c r="Q1767" s="3">
        <f t="shared" si="138"/>
        <v>485.31</v>
      </c>
      <c r="R1767" s="4">
        <f t="shared" si="139"/>
        <v>0.26300000000000001</v>
      </c>
      <c r="S1767" s="2">
        <v>3</v>
      </c>
      <c r="T1767" t="s">
        <v>46</v>
      </c>
      <c r="U1767">
        <v>3</v>
      </c>
    </row>
    <row r="1768" spans="1:22" x14ac:dyDescent="0.25">
      <c r="A1768" s="1">
        <v>46147</v>
      </c>
      <c r="B1768" t="s">
        <v>1960</v>
      </c>
      <c r="C1768" t="s">
        <v>233</v>
      </c>
      <c r="D1768" t="s">
        <v>85</v>
      </c>
      <c r="E1768" t="s">
        <v>50</v>
      </c>
      <c r="F1768" t="s">
        <v>58</v>
      </c>
      <c r="G1768" t="s">
        <v>51</v>
      </c>
      <c r="H1768" t="s">
        <v>116</v>
      </c>
      <c r="I1768" t="s">
        <v>74</v>
      </c>
      <c r="J1768" s="2">
        <v>6</v>
      </c>
      <c r="K1768" s="3">
        <v>2705.88</v>
      </c>
      <c r="L1768" s="3">
        <v>1883.59</v>
      </c>
      <c r="M1768" s="4">
        <v>0.1065</v>
      </c>
      <c r="N1768" s="3">
        <f t="shared" si="135"/>
        <v>16235.28</v>
      </c>
      <c r="O1768" s="3">
        <f t="shared" si="136"/>
        <v>14506.22</v>
      </c>
      <c r="P1768" s="3">
        <f t="shared" si="137"/>
        <v>11301.54</v>
      </c>
      <c r="Q1768" s="3">
        <f t="shared" si="138"/>
        <v>3204.68</v>
      </c>
      <c r="R1768" s="4">
        <f t="shared" si="139"/>
        <v>0.22090000000000001</v>
      </c>
      <c r="S1768" s="2">
        <v>11</v>
      </c>
      <c r="T1768" t="s">
        <v>40</v>
      </c>
    </row>
    <row r="1769" spans="1:22" x14ac:dyDescent="0.25">
      <c r="A1769" s="1">
        <v>46116</v>
      </c>
      <c r="B1769" t="s">
        <v>1961</v>
      </c>
      <c r="C1769" t="s">
        <v>146</v>
      </c>
      <c r="D1769" t="s">
        <v>43</v>
      </c>
      <c r="E1769" t="s">
        <v>25</v>
      </c>
      <c r="F1769" t="s">
        <v>58</v>
      </c>
      <c r="G1769" t="s">
        <v>37</v>
      </c>
      <c r="H1769" t="s">
        <v>38</v>
      </c>
      <c r="I1769" t="s">
        <v>92</v>
      </c>
      <c r="J1769" s="2">
        <v>8</v>
      </c>
      <c r="K1769" s="3">
        <v>454.12</v>
      </c>
      <c r="L1769" s="3">
        <v>202.65</v>
      </c>
      <c r="M1769" s="4">
        <v>9.9199999999999997E-2</v>
      </c>
      <c r="N1769" s="3">
        <f t="shared" si="135"/>
        <v>3632.96</v>
      </c>
      <c r="O1769" s="3">
        <f t="shared" si="136"/>
        <v>3272.57</v>
      </c>
      <c r="P1769" s="3">
        <f t="shared" si="137"/>
        <v>1621.2</v>
      </c>
      <c r="Q1769" s="3">
        <f t="shared" si="138"/>
        <v>1651.37</v>
      </c>
      <c r="R1769" s="4">
        <f t="shared" si="139"/>
        <v>0.50460000000000005</v>
      </c>
      <c r="S1769" s="2">
        <v>13</v>
      </c>
      <c r="T1769" t="s">
        <v>30</v>
      </c>
      <c r="U1769">
        <v>2</v>
      </c>
    </row>
    <row r="1770" spans="1:22" x14ac:dyDescent="0.25">
      <c r="A1770" s="1">
        <v>46230</v>
      </c>
      <c r="B1770" t="s">
        <v>1962</v>
      </c>
      <c r="C1770" t="s">
        <v>79</v>
      </c>
      <c r="D1770" t="s">
        <v>207</v>
      </c>
      <c r="E1770" t="s">
        <v>35</v>
      </c>
      <c r="F1770" t="s">
        <v>64</v>
      </c>
      <c r="G1770" t="s">
        <v>37</v>
      </c>
      <c r="H1770" t="s">
        <v>178</v>
      </c>
      <c r="I1770" t="s">
        <v>65</v>
      </c>
      <c r="J1770" s="2">
        <v>1</v>
      </c>
      <c r="K1770" s="3">
        <v>520.4</v>
      </c>
      <c r="L1770" s="3">
        <v>251.73</v>
      </c>
      <c r="M1770" s="4">
        <v>0</v>
      </c>
      <c r="N1770" s="3">
        <f t="shared" si="135"/>
        <v>520.4</v>
      </c>
      <c r="O1770" s="3">
        <f t="shared" si="136"/>
        <v>520.4</v>
      </c>
      <c r="P1770" s="3">
        <f t="shared" si="137"/>
        <v>251.73</v>
      </c>
      <c r="Q1770" s="3">
        <f t="shared" si="138"/>
        <v>268.67</v>
      </c>
      <c r="R1770" s="4">
        <f t="shared" si="139"/>
        <v>0.51629999999999998</v>
      </c>
      <c r="S1770" s="2">
        <v>5</v>
      </c>
      <c r="T1770" t="s">
        <v>46</v>
      </c>
      <c r="U1770">
        <v>2</v>
      </c>
    </row>
    <row r="1771" spans="1:22" x14ac:dyDescent="0.25">
      <c r="A1771" s="1">
        <v>46101</v>
      </c>
      <c r="B1771" t="s">
        <v>1963</v>
      </c>
      <c r="C1771" t="s">
        <v>231</v>
      </c>
      <c r="D1771" t="s">
        <v>126</v>
      </c>
      <c r="E1771" t="s">
        <v>57</v>
      </c>
      <c r="F1771" t="s">
        <v>64</v>
      </c>
      <c r="G1771" t="s">
        <v>44</v>
      </c>
      <c r="H1771" t="s">
        <v>73</v>
      </c>
      <c r="I1771" t="s">
        <v>87</v>
      </c>
      <c r="J1771" s="2">
        <v>3</v>
      </c>
      <c r="K1771" s="3">
        <v>1666.74</v>
      </c>
      <c r="L1771" s="3">
        <v>1118.1500000000001</v>
      </c>
      <c r="M1771" s="4">
        <v>0</v>
      </c>
      <c r="N1771" s="3">
        <f t="shared" si="135"/>
        <v>5000.22</v>
      </c>
      <c r="O1771" s="3">
        <f t="shared" si="136"/>
        <v>5000.22</v>
      </c>
      <c r="P1771" s="3">
        <f t="shared" si="137"/>
        <v>3354.45</v>
      </c>
      <c r="Q1771" s="3">
        <f t="shared" si="138"/>
        <v>1645.77</v>
      </c>
      <c r="R1771" s="4">
        <f t="shared" si="139"/>
        <v>0.3291</v>
      </c>
      <c r="S1771" s="2">
        <v>10</v>
      </c>
      <c r="T1771" t="s">
        <v>46</v>
      </c>
      <c r="U1771">
        <v>4</v>
      </c>
    </row>
    <row r="1772" spans="1:22" x14ac:dyDescent="0.25">
      <c r="A1772" s="1">
        <v>46110</v>
      </c>
      <c r="B1772" t="s">
        <v>1964</v>
      </c>
      <c r="C1772" t="s">
        <v>224</v>
      </c>
      <c r="D1772" t="s">
        <v>63</v>
      </c>
      <c r="E1772" t="s">
        <v>35</v>
      </c>
      <c r="F1772" t="s">
        <v>64</v>
      </c>
      <c r="G1772" t="s">
        <v>27</v>
      </c>
      <c r="H1772" t="s">
        <v>68</v>
      </c>
      <c r="I1772" t="s">
        <v>29</v>
      </c>
      <c r="J1772" s="2">
        <v>3</v>
      </c>
      <c r="K1772" s="3">
        <v>1275.32</v>
      </c>
      <c r="L1772" s="3">
        <v>758.91</v>
      </c>
      <c r="M1772" s="4">
        <v>0</v>
      </c>
      <c r="N1772" s="3">
        <f t="shared" si="135"/>
        <v>3825.96</v>
      </c>
      <c r="O1772" s="3">
        <f t="shared" si="136"/>
        <v>3825.96</v>
      </c>
      <c r="P1772" s="3">
        <f t="shared" si="137"/>
        <v>2276.73</v>
      </c>
      <c r="Q1772" s="3">
        <f t="shared" si="138"/>
        <v>1549.23</v>
      </c>
      <c r="R1772" s="4">
        <f t="shared" si="139"/>
        <v>0.40489999999999998</v>
      </c>
      <c r="S1772" s="2">
        <v>4</v>
      </c>
      <c r="T1772" t="s">
        <v>46</v>
      </c>
      <c r="U1772">
        <v>4</v>
      </c>
    </row>
    <row r="1773" spans="1:22" x14ac:dyDescent="0.25">
      <c r="A1773" s="1">
        <v>46032</v>
      </c>
      <c r="B1773" t="s">
        <v>1965</v>
      </c>
      <c r="C1773" t="s">
        <v>386</v>
      </c>
      <c r="D1773" t="s">
        <v>63</v>
      </c>
      <c r="E1773" t="s">
        <v>35</v>
      </c>
      <c r="F1773" t="s">
        <v>36</v>
      </c>
      <c r="G1773" t="s">
        <v>27</v>
      </c>
      <c r="H1773" t="s">
        <v>86</v>
      </c>
      <c r="I1773" t="s">
        <v>39</v>
      </c>
      <c r="J1773" s="2">
        <v>4</v>
      </c>
      <c r="K1773" s="3">
        <v>1998.86</v>
      </c>
      <c r="L1773" s="3">
        <v>1244.6099999999999</v>
      </c>
      <c r="M1773" s="4">
        <v>0</v>
      </c>
      <c r="N1773" s="3">
        <f t="shared" si="135"/>
        <v>7995.44</v>
      </c>
      <c r="O1773" s="3">
        <f t="shared" si="136"/>
        <v>7995.44</v>
      </c>
      <c r="P1773" s="3">
        <f t="shared" si="137"/>
        <v>4978.4399999999996</v>
      </c>
      <c r="Q1773" s="3">
        <f t="shared" si="138"/>
        <v>3017</v>
      </c>
      <c r="R1773" s="4">
        <f t="shared" si="139"/>
        <v>0.37730000000000002</v>
      </c>
      <c r="S1773" s="2">
        <v>9</v>
      </c>
      <c r="T1773" t="s">
        <v>40</v>
      </c>
    </row>
    <row r="1774" spans="1:22" x14ac:dyDescent="0.25">
      <c r="A1774" s="1">
        <v>46037</v>
      </c>
      <c r="B1774" t="s">
        <v>1966</v>
      </c>
      <c r="C1774" t="s">
        <v>476</v>
      </c>
      <c r="D1774" t="s">
        <v>130</v>
      </c>
      <c r="E1774" t="s">
        <v>72</v>
      </c>
      <c r="F1774" t="s">
        <v>58</v>
      </c>
      <c r="G1774" t="s">
        <v>51</v>
      </c>
      <c r="H1774" t="s">
        <v>116</v>
      </c>
      <c r="I1774" t="s">
        <v>53</v>
      </c>
      <c r="J1774" s="2">
        <v>7</v>
      </c>
      <c r="K1774" s="3">
        <v>2663.07</v>
      </c>
      <c r="L1774" s="3">
        <v>1839.05</v>
      </c>
      <c r="M1774" s="4">
        <v>9.2700000000000005E-2</v>
      </c>
      <c r="N1774" s="3">
        <f t="shared" si="135"/>
        <v>18641.490000000002</v>
      </c>
      <c r="O1774" s="3">
        <f t="shared" si="136"/>
        <v>16913.419999999998</v>
      </c>
      <c r="P1774" s="3">
        <f t="shared" si="137"/>
        <v>12873.35</v>
      </c>
      <c r="Q1774" s="3">
        <f t="shared" si="138"/>
        <v>4040.07</v>
      </c>
      <c r="R1774" s="4">
        <f t="shared" si="139"/>
        <v>0.2389</v>
      </c>
      <c r="S1774" s="2">
        <v>7</v>
      </c>
      <c r="T1774" t="s">
        <v>46</v>
      </c>
      <c r="U1774">
        <v>4</v>
      </c>
    </row>
    <row r="1775" spans="1:22" x14ac:dyDescent="0.25">
      <c r="A1775" s="1">
        <v>46197</v>
      </c>
      <c r="B1775" t="s">
        <v>1967</v>
      </c>
      <c r="C1775" t="s">
        <v>211</v>
      </c>
      <c r="D1775" t="s">
        <v>113</v>
      </c>
      <c r="E1775" t="s">
        <v>50</v>
      </c>
      <c r="F1775" t="s">
        <v>64</v>
      </c>
      <c r="G1775" t="s">
        <v>44</v>
      </c>
      <c r="H1775" t="s">
        <v>45</v>
      </c>
      <c r="I1775" t="s">
        <v>29</v>
      </c>
      <c r="J1775" s="2">
        <v>7</v>
      </c>
      <c r="K1775" s="3">
        <v>405.35</v>
      </c>
      <c r="L1775" s="3">
        <v>207.07</v>
      </c>
      <c r="M1775" s="4">
        <v>0.47339999999999999</v>
      </c>
      <c r="N1775" s="3">
        <f t="shared" si="135"/>
        <v>2837.45</v>
      </c>
      <c r="O1775" s="3">
        <f t="shared" si="136"/>
        <v>1494.2</v>
      </c>
      <c r="P1775" s="3">
        <f t="shared" si="137"/>
        <v>1449.49</v>
      </c>
      <c r="Q1775" s="3">
        <f t="shared" si="138"/>
        <v>44.71</v>
      </c>
      <c r="R1775" s="4">
        <f t="shared" si="139"/>
        <v>2.9899999999999999E-2</v>
      </c>
      <c r="S1775" s="2">
        <v>11</v>
      </c>
      <c r="T1775" t="s">
        <v>30</v>
      </c>
      <c r="U1775">
        <v>2</v>
      </c>
      <c r="V1775" t="s">
        <v>31</v>
      </c>
    </row>
    <row r="1776" spans="1:22" x14ac:dyDescent="0.25">
      <c r="A1776" s="1">
        <v>46042</v>
      </c>
      <c r="B1776" t="s">
        <v>1968</v>
      </c>
      <c r="C1776" t="s">
        <v>286</v>
      </c>
      <c r="D1776" t="s">
        <v>56</v>
      </c>
      <c r="E1776" t="s">
        <v>57</v>
      </c>
      <c r="F1776" t="s">
        <v>64</v>
      </c>
      <c r="G1776" t="s">
        <v>37</v>
      </c>
      <c r="H1776" t="s">
        <v>178</v>
      </c>
      <c r="I1776" t="s">
        <v>77</v>
      </c>
      <c r="J1776" s="2">
        <v>7</v>
      </c>
      <c r="K1776" s="3">
        <v>486.73</v>
      </c>
      <c r="L1776" s="3">
        <v>243.85</v>
      </c>
      <c r="M1776" s="4">
        <v>0</v>
      </c>
      <c r="N1776" s="3">
        <f t="shared" si="135"/>
        <v>3407.11</v>
      </c>
      <c r="O1776" s="3">
        <f t="shared" si="136"/>
        <v>3407.11</v>
      </c>
      <c r="P1776" s="3">
        <f t="shared" si="137"/>
        <v>1706.95</v>
      </c>
      <c r="Q1776" s="3">
        <f t="shared" si="138"/>
        <v>1700.16</v>
      </c>
      <c r="R1776" s="4">
        <f t="shared" si="139"/>
        <v>0.499</v>
      </c>
      <c r="S1776" s="2">
        <v>11</v>
      </c>
      <c r="T1776" t="s">
        <v>30</v>
      </c>
      <c r="U1776">
        <v>3</v>
      </c>
    </row>
    <row r="1777" spans="1:21" x14ac:dyDescent="0.25">
      <c r="A1777" s="1">
        <v>46232</v>
      </c>
      <c r="B1777" t="s">
        <v>1969</v>
      </c>
      <c r="C1777" t="s">
        <v>23</v>
      </c>
      <c r="D1777" t="s">
        <v>63</v>
      </c>
      <c r="E1777" t="s">
        <v>35</v>
      </c>
      <c r="F1777" t="s">
        <v>64</v>
      </c>
      <c r="G1777" t="s">
        <v>51</v>
      </c>
      <c r="H1777" t="s">
        <v>116</v>
      </c>
      <c r="I1777" t="s">
        <v>94</v>
      </c>
      <c r="J1777" s="2">
        <v>8</v>
      </c>
      <c r="K1777" s="3">
        <v>2766.74</v>
      </c>
      <c r="L1777" s="3">
        <v>1783.76</v>
      </c>
      <c r="M1777" s="4">
        <v>1.2699999999999999E-2</v>
      </c>
      <c r="N1777" s="3">
        <f t="shared" si="135"/>
        <v>22133.919999999998</v>
      </c>
      <c r="O1777" s="3">
        <f t="shared" si="136"/>
        <v>21852.82</v>
      </c>
      <c r="P1777" s="3">
        <f t="shared" si="137"/>
        <v>14270.08</v>
      </c>
      <c r="Q1777" s="3">
        <f t="shared" si="138"/>
        <v>7582.74</v>
      </c>
      <c r="R1777" s="4">
        <f t="shared" si="139"/>
        <v>0.34699999999999998</v>
      </c>
      <c r="S1777" s="2">
        <v>9</v>
      </c>
      <c r="T1777" t="s">
        <v>46</v>
      </c>
      <c r="U1777">
        <v>5</v>
      </c>
    </row>
    <row r="1778" spans="1:21" x14ac:dyDescent="0.25">
      <c r="A1778" s="1">
        <v>46222</v>
      </c>
      <c r="B1778" t="s">
        <v>1970</v>
      </c>
      <c r="C1778" t="s">
        <v>144</v>
      </c>
      <c r="D1778" t="s">
        <v>56</v>
      </c>
      <c r="E1778" t="s">
        <v>57</v>
      </c>
      <c r="F1778" t="s">
        <v>26</v>
      </c>
      <c r="G1778" t="s">
        <v>51</v>
      </c>
      <c r="H1778" t="s">
        <v>116</v>
      </c>
      <c r="I1778" t="s">
        <v>94</v>
      </c>
      <c r="J1778" s="2">
        <v>8</v>
      </c>
      <c r="K1778" s="3">
        <v>2644.96</v>
      </c>
      <c r="L1778" s="3">
        <v>1885.5</v>
      </c>
      <c r="M1778" s="4">
        <v>0</v>
      </c>
      <c r="N1778" s="3">
        <f t="shared" si="135"/>
        <v>21159.68</v>
      </c>
      <c r="O1778" s="3">
        <f t="shared" si="136"/>
        <v>21159.68</v>
      </c>
      <c r="P1778" s="3">
        <f t="shared" si="137"/>
        <v>15084</v>
      </c>
      <c r="Q1778" s="3">
        <f t="shared" si="138"/>
        <v>6075.68</v>
      </c>
      <c r="R1778" s="4">
        <f t="shared" si="139"/>
        <v>0.28710000000000002</v>
      </c>
      <c r="S1778" s="2">
        <v>9</v>
      </c>
      <c r="T1778" t="s">
        <v>46</v>
      </c>
      <c r="U1778">
        <v>4</v>
      </c>
    </row>
    <row r="1779" spans="1:21" x14ac:dyDescent="0.25">
      <c r="A1779" s="1">
        <v>46080</v>
      </c>
      <c r="B1779" t="s">
        <v>1971</v>
      </c>
      <c r="C1779" t="s">
        <v>514</v>
      </c>
      <c r="D1779" t="s">
        <v>56</v>
      </c>
      <c r="E1779" t="s">
        <v>57</v>
      </c>
      <c r="F1779" t="s">
        <v>58</v>
      </c>
      <c r="G1779" t="s">
        <v>37</v>
      </c>
      <c r="H1779" t="s">
        <v>178</v>
      </c>
      <c r="I1779" t="s">
        <v>94</v>
      </c>
      <c r="J1779" s="2">
        <v>1</v>
      </c>
      <c r="K1779" s="3">
        <v>504.8</v>
      </c>
      <c r="L1779" s="3">
        <v>232.12</v>
      </c>
      <c r="M1779" s="4">
        <v>0.12959999999999999</v>
      </c>
      <c r="N1779" s="3">
        <f t="shared" si="135"/>
        <v>504.8</v>
      </c>
      <c r="O1779" s="3">
        <f t="shared" si="136"/>
        <v>439.38</v>
      </c>
      <c r="P1779" s="3">
        <f t="shared" si="137"/>
        <v>232.12</v>
      </c>
      <c r="Q1779" s="3">
        <f t="shared" si="138"/>
        <v>207.26</v>
      </c>
      <c r="R1779" s="4">
        <f t="shared" si="139"/>
        <v>0.47170000000000001</v>
      </c>
      <c r="S1779" s="2">
        <v>11</v>
      </c>
      <c r="T1779" t="s">
        <v>30</v>
      </c>
      <c r="U1779">
        <v>2</v>
      </c>
    </row>
    <row r="1780" spans="1:21" x14ac:dyDescent="0.25">
      <c r="A1780" s="1">
        <v>46086</v>
      </c>
      <c r="B1780" t="s">
        <v>1972</v>
      </c>
      <c r="C1780" t="s">
        <v>170</v>
      </c>
      <c r="D1780" t="s">
        <v>207</v>
      </c>
      <c r="E1780" t="s">
        <v>35</v>
      </c>
      <c r="F1780" t="s">
        <v>36</v>
      </c>
      <c r="G1780" t="s">
        <v>37</v>
      </c>
      <c r="H1780" t="s">
        <v>178</v>
      </c>
      <c r="I1780" t="s">
        <v>87</v>
      </c>
      <c r="J1780" s="2">
        <v>4</v>
      </c>
      <c r="K1780" s="3">
        <v>482.21</v>
      </c>
      <c r="L1780" s="3">
        <v>244.92</v>
      </c>
      <c r="M1780" s="4">
        <v>3.8199999999999998E-2</v>
      </c>
      <c r="N1780" s="3">
        <f t="shared" si="135"/>
        <v>1928.84</v>
      </c>
      <c r="O1780" s="3">
        <f t="shared" si="136"/>
        <v>1855.16</v>
      </c>
      <c r="P1780" s="3">
        <f t="shared" si="137"/>
        <v>979.68</v>
      </c>
      <c r="Q1780" s="3">
        <f t="shared" si="138"/>
        <v>875.48</v>
      </c>
      <c r="R1780" s="4">
        <f t="shared" si="139"/>
        <v>0.47189999999999999</v>
      </c>
      <c r="S1780" s="2">
        <v>8</v>
      </c>
      <c r="T1780" t="s">
        <v>46</v>
      </c>
      <c r="U1780">
        <v>5</v>
      </c>
    </row>
    <row r="1781" spans="1:21" x14ac:dyDescent="0.25">
      <c r="A1781" s="1">
        <v>46143</v>
      </c>
      <c r="B1781" t="s">
        <v>1973</v>
      </c>
      <c r="C1781" t="s">
        <v>253</v>
      </c>
      <c r="D1781" t="s">
        <v>130</v>
      </c>
      <c r="E1781" t="s">
        <v>72</v>
      </c>
      <c r="F1781" t="s">
        <v>64</v>
      </c>
      <c r="G1781" t="s">
        <v>51</v>
      </c>
      <c r="H1781" t="s">
        <v>116</v>
      </c>
      <c r="I1781" t="s">
        <v>94</v>
      </c>
      <c r="J1781" s="2">
        <v>6</v>
      </c>
      <c r="K1781" s="3">
        <v>2956.27</v>
      </c>
      <c r="L1781" s="3">
        <v>1803</v>
      </c>
      <c r="M1781" s="4">
        <v>0</v>
      </c>
      <c r="N1781" s="3">
        <f t="shared" si="135"/>
        <v>17737.62</v>
      </c>
      <c r="O1781" s="3">
        <f t="shared" si="136"/>
        <v>17737.62</v>
      </c>
      <c r="P1781" s="3">
        <f t="shared" si="137"/>
        <v>10818</v>
      </c>
      <c r="Q1781" s="3">
        <f t="shared" si="138"/>
        <v>6919.62</v>
      </c>
      <c r="R1781" s="4">
        <f t="shared" si="139"/>
        <v>0.3901</v>
      </c>
      <c r="S1781" s="2">
        <v>7</v>
      </c>
      <c r="T1781" t="s">
        <v>40</v>
      </c>
    </row>
    <row r="1782" spans="1:21" x14ac:dyDescent="0.25">
      <c r="A1782" s="1">
        <v>46085</v>
      </c>
      <c r="B1782" t="s">
        <v>1974</v>
      </c>
      <c r="C1782" t="s">
        <v>290</v>
      </c>
      <c r="D1782" t="s">
        <v>34</v>
      </c>
      <c r="E1782" t="s">
        <v>35</v>
      </c>
      <c r="F1782" t="s">
        <v>26</v>
      </c>
      <c r="G1782" t="s">
        <v>44</v>
      </c>
      <c r="H1782" t="s">
        <v>73</v>
      </c>
      <c r="I1782" t="s">
        <v>74</v>
      </c>
      <c r="J1782" s="2">
        <v>4</v>
      </c>
      <c r="K1782" s="3">
        <v>1592.35</v>
      </c>
      <c r="L1782" s="3">
        <v>1100.1199999999999</v>
      </c>
      <c r="M1782" s="4">
        <v>4.0000000000000002E-4</v>
      </c>
      <c r="N1782" s="3">
        <f t="shared" si="135"/>
        <v>6369.4</v>
      </c>
      <c r="O1782" s="3">
        <f t="shared" si="136"/>
        <v>6366.85</v>
      </c>
      <c r="P1782" s="3">
        <f t="shared" si="137"/>
        <v>4400.4799999999996</v>
      </c>
      <c r="Q1782" s="3">
        <f t="shared" si="138"/>
        <v>1966.37</v>
      </c>
      <c r="R1782" s="4">
        <f t="shared" si="139"/>
        <v>0.30880000000000002</v>
      </c>
      <c r="S1782" s="2">
        <v>14</v>
      </c>
      <c r="T1782" t="s">
        <v>30</v>
      </c>
      <c r="U1782">
        <v>5</v>
      </c>
    </row>
    <row r="1783" spans="1:21" x14ac:dyDescent="0.25">
      <c r="A1783" s="1">
        <v>46169</v>
      </c>
      <c r="B1783" t="s">
        <v>1975</v>
      </c>
      <c r="C1783" t="s">
        <v>159</v>
      </c>
      <c r="D1783" t="s">
        <v>113</v>
      </c>
      <c r="E1783" t="s">
        <v>50</v>
      </c>
      <c r="F1783" t="s">
        <v>26</v>
      </c>
      <c r="G1783" t="s">
        <v>51</v>
      </c>
      <c r="H1783" t="s">
        <v>116</v>
      </c>
      <c r="I1783" t="s">
        <v>77</v>
      </c>
      <c r="J1783" s="2">
        <v>8</v>
      </c>
      <c r="K1783" s="3">
        <v>2922.65</v>
      </c>
      <c r="L1783" s="3">
        <v>1881.56</v>
      </c>
      <c r="M1783" s="4">
        <v>0.11940000000000001</v>
      </c>
      <c r="N1783" s="3">
        <f t="shared" si="135"/>
        <v>23381.200000000001</v>
      </c>
      <c r="O1783" s="3">
        <f t="shared" si="136"/>
        <v>20589.48</v>
      </c>
      <c r="P1783" s="3">
        <f t="shared" si="137"/>
        <v>15052.48</v>
      </c>
      <c r="Q1783" s="3">
        <f t="shared" si="138"/>
        <v>5537</v>
      </c>
      <c r="R1783" s="4">
        <f t="shared" si="139"/>
        <v>0.26889999999999997</v>
      </c>
      <c r="S1783" s="2">
        <v>10</v>
      </c>
      <c r="T1783" t="s">
        <v>46</v>
      </c>
      <c r="U1783">
        <v>5</v>
      </c>
    </row>
    <row r="1784" spans="1:21" x14ac:dyDescent="0.25">
      <c r="A1784" s="1">
        <v>46065</v>
      </c>
      <c r="B1784" t="s">
        <v>1976</v>
      </c>
      <c r="C1784" t="s">
        <v>428</v>
      </c>
      <c r="D1784" t="s">
        <v>34</v>
      </c>
      <c r="E1784" t="s">
        <v>35</v>
      </c>
      <c r="F1784" t="s">
        <v>36</v>
      </c>
      <c r="G1784" t="s">
        <v>44</v>
      </c>
      <c r="H1784" t="s">
        <v>45</v>
      </c>
      <c r="I1784" t="s">
        <v>65</v>
      </c>
      <c r="J1784" s="2">
        <v>6</v>
      </c>
      <c r="K1784" s="3">
        <v>393.91</v>
      </c>
      <c r="L1784" s="3">
        <v>219.03</v>
      </c>
      <c r="M1784" s="4">
        <v>0.11559999999999999</v>
      </c>
      <c r="N1784" s="3">
        <f t="shared" si="135"/>
        <v>2363.46</v>
      </c>
      <c r="O1784" s="3">
        <f t="shared" si="136"/>
        <v>2090.2399999999998</v>
      </c>
      <c r="P1784" s="3">
        <f t="shared" si="137"/>
        <v>1314.18</v>
      </c>
      <c r="Q1784" s="3">
        <f t="shared" si="138"/>
        <v>776.06</v>
      </c>
      <c r="R1784" s="4">
        <f t="shared" si="139"/>
        <v>0.37130000000000002</v>
      </c>
      <c r="S1784" s="2">
        <v>5</v>
      </c>
      <c r="T1784" t="s">
        <v>46</v>
      </c>
      <c r="U1784">
        <v>3</v>
      </c>
    </row>
    <row r="1785" spans="1:21" x14ac:dyDescent="0.25">
      <c r="A1785" s="1">
        <v>46139</v>
      </c>
      <c r="B1785" t="s">
        <v>1977</v>
      </c>
      <c r="C1785" t="s">
        <v>146</v>
      </c>
      <c r="D1785" t="s">
        <v>24</v>
      </c>
      <c r="E1785" t="s">
        <v>25</v>
      </c>
      <c r="F1785" t="s">
        <v>26</v>
      </c>
      <c r="G1785" t="s">
        <v>37</v>
      </c>
      <c r="H1785" t="s">
        <v>38</v>
      </c>
      <c r="I1785" t="s">
        <v>60</v>
      </c>
      <c r="J1785" s="2">
        <v>6</v>
      </c>
      <c r="K1785" s="3">
        <v>448.01</v>
      </c>
      <c r="L1785" s="3">
        <v>205.29</v>
      </c>
      <c r="M1785" s="4">
        <v>4.1300000000000003E-2</v>
      </c>
      <c r="N1785" s="3">
        <f t="shared" si="135"/>
        <v>2688.06</v>
      </c>
      <c r="O1785" s="3">
        <f t="shared" si="136"/>
        <v>2577.04</v>
      </c>
      <c r="P1785" s="3">
        <f t="shared" si="137"/>
        <v>1231.74</v>
      </c>
      <c r="Q1785" s="3">
        <f t="shared" si="138"/>
        <v>1345.3</v>
      </c>
      <c r="R1785" s="4">
        <f t="shared" si="139"/>
        <v>0.52200000000000002</v>
      </c>
      <c r="S1785" s="2">
        <v>11</v>
      </c>
      <c r="T1785" t="s">
        <v>30</v>
      </c>
      <c r="U1785">
        <v>3</v>
      </c>
    </row>
    <row r="1786" spans="1:21" x14ac:dyDescent="0.25">
      <c r="A1786" s="1">
        <v>46139</v>
      </c>
      <c r="B1786" t="s">
        <v>1978</v>
      </c>
      <c r="C1786" t="s">
        <v>198</v>
      </c>
      <c r="D1786" t="s">
        <v>34</v>
      </c>
      <c r="E1786" t="s">
        <v>35</v>
      </c>
      <c r="F1786" t="s">
        <v>26</v>
      </c>
      <c r="G1786" t="s">
        <v>51</v>
      </c>
      <c r="H1786" t="s">
        <v>52</v>
      </c>
      <c r="I1786" t="s">
        <v>74</v>
      </c>
      <c r="J1786" s="2">
        <v>8</v>
      </c>
      <c r="K1786" s="3">
        <v>248.13</v>
      </c>
      <c r="L1786" s="3">
        <v>120.82</v>
      </c>
      <c r="M1786" s="4">
        <v>5.6500000000000002E-2</v>
      </c>
      <c r="N1786" s="3">
        <f t="shared" si="135"/>
        <v>1985.04</v>
      </c>
      <c r="O1786" s="3">
        <f t="shared" si="136"/>
        <v>1872.89</v>
      </c>
      <c r="P1786" s="3">
        <f t="shared" si="137"/>
        <v>966.56</v>
      </c>
      <c r="Q1786" s="3">
        <f t="shared" si="138"/>
        <v>906.33</v>
      </c>
      <c r="R1786" s="4">
        <f t="shared" si="139"/>
        <v>0.4839</v>
      </c>
      <c r="S1786" s="2">
        <v>5</v>
      </c>
      <c r="T1786" t="s">
        <v>46</v>
      </c>
      <c r="U1786">
        <v>5</v>
      </c>
    </row>
    <row r="1787" spans="1:21" x14ac:dyDescent="0.25">
      <c r="A1787" s="1">
        <v>46202</v>
      </c>
      <c r="B1787" t="s">
        <v>1979</v>
      </c>
      <c r="C1787" t="s">
        <v>211</v>
      </c>
      <c r="D1787" t="s">
        <v>24</v>
      </c>
      <c r="E1787" t="s">
        <v>25</v>
      </c>
      <c r="F1787" t="s">
        <v>36</v>
      </c>
      <c r="G1787" t="s">
        <v>44</v>
      </c>
      <c r="H1787" t="s">
        <v>124</v>
      </c>
      <c r="I1787" t="s">
        <v>39</v>
      </c>
      <c r="J1787" s="2">
        <v>8</v>
      </c>
      <c r="K1787" s="3">
        <v>6102.95</v>
      </c>
      <c r="L1787" s="3">
        <v>4437.97</v>
      </c>
      <c r="M1787" s="4">
        <v>0</v>
      </c>
      <c r="N1787" s="3">
        <f t="shared" si="135"/>
        <v>48823.6</v>
      </c>
      <c r="O1787" s="3">
        <f t="shared" si="136"/>
        <v>48823.6</v>
      </c>
      <c r="P1787" s="3">
        <f t="shared" si="137"/>
        <v>35503.760000000002</v>
      </c>
      <c r="Q1787" s="3">
        <f t="shared" si="138"/>
        <v>13319.84</v>
      </c>
      <c r="R1787" s="4">
        <f t="shared" si="139"/>
        <v>0.27279999999999999</v>
      </c>
      <c r="S1787" s="2">
        <v>10</v>
      </c>
      <c r="T1787" t="s">
        <v>46</v>
      </c>
      <c r="U1787">
        <v>3</v>
      </c>
    </row>
    <row r="1788" spans="1:21" x14ac:dyDescent="0.25">
      <c r="A1788" s="1">
        <v>46049</v>
      </c>
      <c r="B1788" t="s">
        <v>1980</v>
      </c>
      <c r="C1788" t="s">
        <v>110</v>
      </c>
      <c r="D1788" t="s">
        <v>43</v>
      </c>
      <c r="E1788" t="s">
        <v>25</v>
      </c>
      <c r="F1788" t="s">
        <v>36</v>
      </c>
      <c r="G1788" t="s">
        <v>27</v>
      </c>
      <c r="H1788" t="s">
        <v>86</v>
      </c>
      <c r="I1788" t="s">
        <v>87</v>
      </c>
      <c r="J1788" s="2">
        <v>8</v>
      </c>
      <c r="K1788" s="3">
        <v>1958.88</v>
      </c>
      <c r="L1788" s="3">
        <v>1229.67</v>
      </c>
      <c r="M1788" s="4">
        <v>0</v>
      </c>
      <c r="N1788" s="3">
        <f t="shared" si="135"/>
        <v>15671.04</v>
      </c>
      <c r="O1788" s="3">
        <f t="shared" si="136"/>
        <v>15671.04</v>
      </c>
      <c r="P1788" s="3">
        <f t="shared" si="137"/>
        <v>9837.36</v>
      </c>
      <c r="Q1788" s="3">
        <f t="shared" si="138"/>
        <v>5833.68</v>
      </c>
      <c r="R1788" s="4">
        <f t="shared" si="139"/>
        <v>0.37230000000000002</v>
      </c>
      <c r="S1788" s="2">
        <v>12</v>
      </c>
      <c r="T1788" t="s">
        <v>30</v>
      </c>
      <c r="U1788">
        <v>3</v>
      </c>
    </row>
    <row r="1789" spans="1:21" x14ac:dyDescent="0.25">
      <c r="A1789" s="1">
        <v>46206</v>
      </c>
      <c r="B1789" t="s">
        <v>1981</v>
      </c>
      <c r="C1789" t="s">
        <v>216</v>
      </c>
      <c r="D1789" t="s">
        <v>56</v>
      </c>
      <c r="E1789" t="s">
        <v>57</v>
      </c>
      <c r="F1789" t="s">
        <v>58</v>
      </c>
      <c r="G1789" t="s">
        <v>37</v>
      </c>
      <c r="H1789" t="s">
        <v>104</v>
      </c>
      <c r="I1789" t="s">
        <v>53</v>
      </c>
      <c r="J1789" s="2">
        <v>4</v>
      </c>
      <c r="K1789" s="3">
        <v>335.01</v>
      </c>
      <c r="L1789" s="3">
        <v>138.47</v>
      </c>
      <c r="M1789" s="4">
        <v>9.8500000000000004E-2</v>
      </c>
      <c r="N1789" s="3">
        <f t="shared" si="135"/>
        <v>1340.04</v>
      </c>
      <c r="O1789" s="3">
        <f t="shared" si="136"/>
        <v>1208.05</v>
      </c>
      <c r="P1789" s="3">
        <f t="shared" si="137"/>
        <v>553.88</v>
      </c>
      <c r="Q1789" s="3">
        <f t="shared" si="138"/>
        <v>654.16999999999996</v>
      </c>
      <c r="R1789" s="4">
        <f t="shared" si="139"/>
        <v>0.54149999999999998</v>
      </c>
      <c r="S1789" s="2">
        <v>6</v>
      </c>
      <c r="T1789" t="s">
        <v>46</v>
      </c>
      <c r="U1789">
        <v>4</v>
      </c>
    </row>
    <row r="1790" spans="1:21" x14ac:dyDescent="0.25">
      <c r="A1790" s="1">
        <v>46187</v>
      </c>
      <c r="B1790" t="s">
        <v>1982</v>
      </c>
      <c r="C1790" t="s">
        <v>464</v>
      </c>
      <c r="D1790" t="s">
        <v>130</v>
      </c>
      <c r="E1790" t="s">
        <v>72</v>
      </c>
      <c r="F1790" t="s">
        <v>64</v>
      </c>
      <c r="G1790" t="s">
        <v>51</v>
      </c>
      <c r="H1790" t="s">
        <v>52</v>
      </c>
      <c r="I1790" t="s">
        <v>92</v>
      </c>
      <c r="J1790" s="2">
        <v>6</v>
      </c>
      <c r="K1790" s="3">
        <v>248.18</v>
      </c>
      <c r="L1790" s="3">
        <v>117.33</v>
      </c>
      <c r="M1790" s="4">
        <v>5.4699999999999999E-2</v>
      </c>
      <c r="N1790" s="3">
        <f t="shared" si="135"/>
        <v>1489.08</v>
      </c>
      <c r="O1790" s="3">
        <f t="shared" si="136"/>
        <v>1407.63</v>
      </c>
      <c r="P1790" s="3">
        <f t="shared" si="137"/>
        <v>703.98</v>
      </c>
      <c r="Q1790" s="3">
        <f t="shared" si="138"/>
        <v>703.65</v>
      </c>
      <c r="R1790" s="4">
        <f t="shared" si="139"/>
        <v>0.49990000000000001</v>
      </c>
      <c r="S1790" s="2">
        <v>8</v>
      </c>
      <c r="T1790" t="s">
        <v>46</v>
      </c>
      <c r="U1790">
        <v>2</v>
      </c>
    </row>
    <row r="1791" spans="1:21" x14ac:dyDescent="0.25">
      <c r="A1791" s="1">
        <v>46234</v>
      </c>
      <c r="B1791" t="s">
        <v>1983</v>
      </c>
      <c r="C1791" t="s">
        <v>358</v>
      </c>
      <c r="D1791" t="s">
        <v>56</v>
      </c>
      <c r="E1791" t="s">
        <v>57</v>
      </c>
      <c r="F1791" t="s">
        <v>26</v>
      </c>
      <c r="G1791" t="s">
        <v>44</v>
      </c>
      <c r="H1791" t="s">
        <v>45</v>
      </c>
      <c r="I1791" t="s">
        <v>53</v>
      </c>
      <c r="J1791" s="2">
        <v>2</v>
      </c>
      <c r="K1791" s="3">
        <v>407.59</v>
      </c>
      <c r="L1791" s="3">
        <v>213.26</v>
      </c>
      <c r="M1791" s="4">
        <v>0</v>
      </c>
      <c r="N1791" s="3">
        <f t="shared" si="135"/>
        <v>815.18</v>
      </c>
      <c r="O1791" s="3">
        <f t="shared" si="136"/>
        <v>815.18</v>
      </c>
      <c r="P1791" s="3">
        <f t="shared" si="137"/>
        <v>426.52</v>
      </c>
      <c r="Q1791" s="3">
        <f t="shared" si="138"/>
        <v>388.66</v>
      </c>
      <c r="R1791" s="4">
        <f t="shared" si="139"/>
        <v>0.4768</v>
      </c>
      <c r="S1791" s="2">
        <v>5</v>
      </c>
      <c r="T1791" t="s">
        <v>46</v>
      </c>
      <c r="U1791">
        <v>4</v>
      </c>
    </row>
    <row r="1792" spans="1:21" x14ac:dyDescent="0.25">
      <c r="A1792" s="1">
        <v>46170</v>
      </c>
      <c r="B1792" t="s">
        <v>1984</v>
      </c>
      <c r="C1792" t="s">
        <v>159</v>
      </c>
      <c r="D1792" t="s">
        <v>56</v>
      </c>
      <c r="E1792" t="s">
        <v>57</v>
      </c>
      <c r="F1792" t="s">
        <v>64</v>
      </c>
      <c r="G1792" t="s">
        <v>44</v>
      </c>
      <c r="H1792" t="s">
        <v>73</v>
      </c>
      <c r="I1792" t="s">
        <v>74</v>
      </c>
      <c r="J1792" s="2">
        <v>6</v>
      </c>
      <c r="K1792" s="3">
        <v>1790.37</v>
      </c>
      <c r="L1792" s="3">
        <v>1121.7</v>
      </c>
      <c r="M1792" s="4">
        <v>0</v>
      </c>
      <c r="N1792" s="3">
        <f t="shared" si="135"/>
        <v>10742.22</v>
      </c>
      <c r="O1792" s="3">
        <f t="shared" si="136"/>
        <v>10742.22</v>
      </c>
      <c r="P1792" s="3">
        <f t="shared" si="137"/>
        <v>6730.2</v>
      </c>
      <c r="Q1792" s="3">
        <f t="shared" si="138"/>
        <v>4012.02</v>
      </c>
      <c r="R1792" s="4">
        <f t="shared" si="139"/>
        <v>0.3735</v>
      </c>
      <c r="S1792" s="2">
        <v>6</v>
      </c>
      <c r="T1792" t="s">
        <v>46</v>
      </c>
      <c r="U1792">
        <v>5</v>
      </c>
    </row>
    <row r="1793" spans="1:21" x14ac:dyDescent="0.25">
      <c r="A1793" s="1">
        <v>46208</v>
      </c>
      <c r="B1793" t="s">
        <v>1985</v>
      </c>
      <c r="C1793" t="s">
        <v>138</v>
      </c>
      <c r="D1793" t="s">
        <v>24</v>
      </c>
      <c r="E1793" t="s">
        <v>25</v>
      </c>
      <c r="F1793" t="s">
        <v>58</v>
      </c>
      <c r="G1793" t="s">
        <v>27</v>
      </c>
      <c r="H1793" t="s">
        <v>68</v>
      </c>
      <c r="I1793" t="s">
        <v>29</v>
      </c>
      <c r="J1793" s="2">
        <v>1</v>
      </c>
      <c r="K1793" s="3">
        <v>1351.63</v>
      </c>
      <c r="L1793" s="3">
        <v>830.95</v>
      </c>
      <c r="M1793" s="4">
        <v>0.13830000000000001</v>
      </c>
      <c r="N1793" s="3">
        <f t="shared" si="135"/>
        <v>1351.63</v>
      </c>
      <c r="O1793" s="3">
        <f t="shared" si="136"/>
        <v>1164.7</v>
      </c>
      <c r="P1793" s="3">
        <f t="shared" si="137"/>
        <v>830.95</v>
      </c>
      <c r="Q1793" s="3">
        <f t="shared" si="138"/>
        <v>333.75</v>
      </c>
      <c r="R1793" s="4">
        <f t="shared" si="139"/>
        <v>0.28660000000000002</v>
      </c>
      <c r="S1793" s="2">
        <v>2</v>
      </c>
      <c r="T1793" t="s">
        <v>46</v>
      </c>
      <c r="U1793">
        <v>3</v>
      </c>
    </row>
    <row r="1794" spans="1:21" x14ac:dyDescent="0.25">
      <c r="A1794" s="1">
        <v>46069</v>
      </c>
      <c r="B1794" t="s">
        <v>1986</v>
      </c>
      <c r="C1794" t="s">
        <v>42</v>
      </c>
      <c r="D1794" t="s">
        <v>49</v>
      </c>
      <c r="E1794" t="s">
        <v>50</v>
      </c>
      <c r="F1794" t="s">
        <v>64</v>
      </c>
      <c r="G1794" t="s">
        <v>37</v>
      </c>
      <c r="H1794" t="s">
        <v>38</v>
      </c>
      <c r="I1794" t="s">
        <v>77</v>
      </c>
      <c r="J1794" s="2">
        <v>3</v>
      </c>
      <c r="K1794" s="3">
        <v>454.04</v>
      </c>
      <c r="L1794" s="3">
        <v>185.86</v>
      </c>
      <c r="M1794" s="4">
        <v>0</v>
      </c>
      <c r="N1794" s="3">
        <f t="shared" ref="N1794:N1857" si="140">ROUND(J1794*K1794,2)</f>
        <v>1362.12</v>
      </c>
      <c r="O1794" s="3">
        <f t="shared" ref="O1794:O1857" si="141">ROUND(N1794*(1-M1794),2)</f>
        <v>1362.12</v>
      </c>
      <c r="P1794" s="3">
        <f t="shared" ref="P1794:P1857" si="142">ROUND(J1794*L1794,2)</f>
        <v>557.58000000000004</v>
      </c>
      <c r="Q1794" s="3">
        <f t="shared" ref="Q1794:Q1857" si="143">ROUND(O1794-P1794,2)</f>
        <v>804.54</v>
      </c>
      <c r="R1794" s="4">
        <f t="shared" ref="R1794:R1857" si="144">IF(O1794=0,0,ROUND(Q1794/O1794,4))</f>
        <v>0.5907</v>
      </c>
      <c r="S1794" s="2">
        <v>5</v>
      </c>
      <c r="T1794" t="s">
        <v>46</v>
      </c>
      <c r="U1794">
        <v>3</v>
      </c>
    </row>
    <row r="1795" spans="1:21" x14ac:dyDescent="0.25">
      <c r="A1795" s="1">
        <v>46174</v>
      </c>
      <c r="B1795" t="s">
        <v>1987</v>
      </c>
      <c r="C1795" t="s">
        <v>174</v>
      </c>
      <c r="D1795" t="s">
        <v>101</v>
      </c>
      <c r="E1795" t="s">
        <v>35</v>
      </c>
      <c r="F1795" t="s">
        <v>64</v>
      </c>
      <c r="G1795" t="s">
        <v>51</v>
      </c>
      <c r="H1795" t="s">
        <v>52</v>
      </c>
      <c r="I1795" t="s">
        <v>29</v>
      </c>
      <c r="J1795" s="2">
        <v>5</v>
      </c>
      <c r="K1795" s="3">
        <v>264.75</v>
      </c>
      <c r="L1795" s="3">
        <v>116.99</v>
      </c>
      <c r="M1795" s="4">
        <v>0</v>
      </c>
      <c r="N1795" s="3">
        <f t="shared" si="140"/>
        <v>1323.75</v>
      </c>
      <c r="O1795" s="3">
        <f t="shared" si="141"/>
        <v>1323.75</v>
      </c>
      <c r="P1795" s="3">
        <f t="shared" si="142"/>
        <v>584.95000000000005</v>
      </c>
      <c r="Q1795" s="3">
        <f t="shared" si="143"/>
        <v>738.8</v>
      </c>
      <c r="R1795" s="4">
        <f t="shared" si="144"/>
        <v>0.55810000000000004</v>
      </c>
      <c r="S1795" s="2">
        <v>3</v>
      </c>
      <c r="T1795" t="s">
        <v>46</v>
      </c>
      <c r="U1795">
        <v>5</v>
      </c>
    </row>
    <row r="1796" spans="1:21" x14ac:dyDescent="0.25">
      <c r="A1796" s="1">
        <v>46135</v>
      </c>
      <c r="B1796" t="s">
        <v>1988</v>
      </c>
      <c r="C1796" t="s">
        <v>240</v>
      </c>
      <c r="D1796" t="s">
        <v>130</v>
      </c>
      <c r="E1796" t="s">
        <v>72</v>
      </c>
      <c r="F1796" t="s">
        <v>64</v>
      </c>
      <c r="G1796" t="s">
        <v>37</v>
      </c>
      <c r="H1796" t="s">
        <v>38</v>
      </c>
      <c r="I1796" t="s">
        <v>87</v>
      </c>
      <c r="J1796" s="2">
        <v>1</v>
      </c>
      <c r="K1796" s="3">
        <v>449.66</v>
      </c>
      <c r="L1796" s="3">
        <v>192.57</v>
      </c>
      <c r="M1796" s="4">
        <v>0</v>
      </c>
      <c r="N1796" s="3">
        <f t="shared" si="140"/>
        <v>449.66</v>
      </c>
      <c r="O1796" s="3">
        <f t="shared" si="141"/>
        <v>449.66</v>
      </c>
      <c r="P1796" s="3">
        <f t="shared" si="142"/>
        <v>192.57</v>
      </c>
      <c r="Q1796" s="3">
        <f t="shared" si="143"/>
        <v>257.08999999999997</v>
      </c>
      <c r="R1796" s="4">
        <f t="shared" si="144"/>
        <v>0.57169999999999999</v>
      </c>
      <c r="S1796" s="2">
        <v>6</v>
      </c>
      <c r="T1796" t="s">
        <v>46</v>
      </c>
      <c r="U1796">
        <v>2</v>
      </c>
    </row>
    <row r="1797" spans="1:21" x14ac:dyDescent="0.25">
      <c r="A1797" s="1">
        <v>46148</v>
      </c>
      <c r="B1797" t="s">
        <v>1989</v>
      </c>
      <c r="C1797" t="s">
        <v>159</v>
      </c>
      <c r="D1797" t="s">
        <v>49</v>
      </c>
      <c r="E1797" t="s">
        <v>50</v>
      </c>
      <c r="F1797" t="s">
        <v>58</v>
      </c>
      <c r="G1797" t="s">
        <v>27</v>
      </c>
      <c r="H1797" t="s">
        <v>86</v>
      </c>
      <c r="I1797" t="s">
        <v>92</v>
      </c>
      <c r="J1797" s="2">
        <v>5</v>
      </c>
      <c r="K1797" s="3">
        <v>1944.39</v>
      </c>
      <c r="L1797" s="3">
        <v>1244.29</v>
      </c>
      <c r="M1797" s="4">
        <v>0.109</v>
      </c>
      <c r="N1797" s="3">
        <f t="shared" si="140"/>
        <v>9721.9500000000007</v>
      </c>
      <c r="O1797" s="3">
        <f t="shared" si="141"/>
        <v>8662.26</v>
      </c>
      <c r="P1797" s="3">
        <f t="shared" si="142"/>
        <v>6221.45</v>
      </c>
      <c r="Q1797" s="3">
        <f t="shared" si="143"/>
        <v>2440.81</v>
      </c>
      <c r="R1797" s="4">
        <f t="shared" si="144"/>
        <v>0.28179999999999999</v>
      </c>
      <c r="S1797" s="2">
        <v>8</v>
      </c>
      <c r="T1797" t="s">
        <v>46</v>
      </c>
      <c r="U1797">
        <v>3</v>
      </c>
    </row>
    <row r="1798" spans="1:21" x14ac:dyDescent="0.25">
      <c r="A1798" s="1">
        <v>46138</v>
      </c>
      <c r="B1798" t="s">
        <v>1990</v>
      </c>
      <c r="C1798" t="s">
        <v>82</v>
      </c>
      <c r="D1798" t="s">
        <v>71</v>
      </c>
      <c r="E1798" t="s">
        <v>72</v>
      </c>
      <c r="F1798" t="s">
        <v>36</v>
      </c>
      <c r="G1798" t="s">
        <v>37</v>
      </c>
      <c r="H1798" t="s">
        <v>38</v>
      </c>
      <c r="I1798" t="s">
        <v>39</v>
      </c>
      <c r="J1798" s="2">
        <v>5</v>
      </c>
      <c r="K1798" s="3">
        <v>434.07</v>
      </c>
      <c r="L1798" s="3">
        <v>198.09</v>
      </c>
      <c r="M1798" s="4">
        <v>2.46E-2</v>
      </c>
      <c r="N1798" s="3">
        <f t="shared" si="140"/>
        <v>2170.35</v>
      </c>
      <c r="O1798" s="3">
        <f t="shared" si="141"/>
        <v>2116.96</v>
      </c>
      <c r="P1798" s="3">
        <f t="shared" si="142"/>
        <v>990.45</v>
      </c>
      <c r="Q1798" s="3">
        <f t="shared" si="143"/>
        <v>1126.51</v>
      </c>
      <c r="R1798" s="4">
        <f t="shared" si="144"/>
        <v>0.53210000000000002</v>
      </c>
      <c r="S1798" s="2">
        <v>2</v>
      </c>
      <c r="T1798" t="s">
        <v>46</v>
      </c>
      <c r="U1798">
        <v>4</v>
      </c>
    </row>
    <row r="1799" spans="1:21" x14ac:dyDescent="0.25">
      <c r="A1799" s="1">
        <v>46136</v>
      </c>
      <c r="B1799" t="s">
        <v>1991</v>
      </c>
      <c r="C1799" t="s">
        <v>132</v>
      </c>
      <c r="D1799" t="s">
        <v>207</v>
      </c>
      <c r="E1799" t="s">
        <v>35</v>
      </c>
      <c r="F1799" t="s">
        <v>26</v>
      </c>
      <c r="G1799" t="s">
        <v>51</v>
      </c>
      <c r="H1799" t="s">
        <v>52</v>
      </c>
      <c r="I1799" t="s">
        <v>94</v>
      </c>
      <c r="J1799" s="2">
        <v>7</v>
      </c>
      <c r="K1799" s="3">
        <v>273.13</v>
      </c>
      <c r="L1799" s="3">
        <v>119.09</v>
      </c>
      <c r="M1799" s="4">
        <v>0</v>
      </c>
      <c r="N1799" s="3">
        <f t="shared" si="140"/>
        <v>1911.91</v>
      </c>
      <c r="O1799" s="3">
        <f t="shared" si="141"/>
        <v>1911.91</v>
      </c>
      <c r="P1799" s="3">
        <f t="shared" si="142"/>
        <v>833.63</v>
      </c>
      <c r="Q1799" s="3">
        <f t="shared" si="143"/>
        <v>1078.28</v>
      </c>
      <c r="R1799" s="4">
        <f t="shared" si="144"/>
        <v>0.56399999999999995</v>
      </c>
      <c r="S1799" s="2">
        <v>9</v>
      </c>
      <c r="T1799" t="s">
        <v>46</v>
      </c>
      <c r="U1799">
        <v>4</v>
      </c>
    </row>
    <row r="1800" spans="1:21" x14ac:dyDescent="0.25">
      <c r="A1800" s="1">
        <v>46031</v>
      </c>
      <c r="B1800" t="s">
        <v>1992</v>
      </c>
      <c r="C1800" t="s">
        <v>82</v>
      </c>
      <c r="D1800" t="s">
        <v>130</v>
      </c>
      <c r="E1800" t="s">
        <v>72</v>
      </c>
      <c r="F1800" t="s">
        <v>36</v>
      </c>
      <c r="G1800" t="s">
        <v>51</v>
      </c>
      <c r="H1800" t="s">
        <v>52</v>
      </c>
      <c r="I1800" t="s">
        <v>77</v>
      </c>
      <c r="J1800" s="2">
        <v>5</v>
      </c>
      <c r="K1800" s="3">
        <v>265.58999999999997</v>
      </c>
      <c r="L1800" s="3">
        <v>118.88</v>
      </c>
      <c r="M1800" s="4">
        <v>7.3499999999999996E-2</v>
      </c>
      <c r="N1800" s="3">
        <f t="shared" si="140"/>
        <v>1327.95</v>
      </c>
      <c r="O1800" s="3">
        <f t="shared" si="141"/>
        <v>1230.3499999999999</v>
      </c>
      <c r="P1800" s="3">
        <f t="shared" si="142"/>
        <v>594.4</v>
      </c>
      <c r="Q1800" s="3">
        <f t="shared" si="143"/>
        <v>635.95000000000005</v>
      </c>
      <c r="R1800" s="4">
        <f t="shared" si="144"/>
        <v>0.51690000000000003</v>
      </c>
      <c r="S1800" s="2">
        <v>6</v>
      </c>
      <c r="T1800" t="s">
        <v>46</v>
      </c>
      <c r="U1800">
        <v>2</v>
      </c>
    </row>
    <row r="1801" spans="1:21" x14ac:dyDescent="0.25">
      <c r="A1801" s="1">
        <v>46211</v>
      </c>
      <c r="B1801" t="s">
        <v>1993</v>
      </c>
      <c r="C1801" t="s">
        <v>433</v>
      </c>
      <c r="D1801" t="s">
        <v>71</v>
      </c>
      <c r="E1801" t="s">
        <v>72</v>
      </c>
      <c r="F1801" t="s">
        <v>26</v>
      </c>
      <c r="G1801" t="s">
        <v>44</v>
      </c>
      <c r="H1801" t="s">
        <v>45</v>
      </c>
      <c r="I1801" t="s">
        <v>94</v>
      </c>
      <c r="J1801" s="2">
        <v>3</v>
      </c>
      <c r="K1801" s="3">
        <v>410.76</v>
      </c>
      <c r="L1801" s="3">
        <v>215.24</v>
      </c>
      <c r="M1801" s="4">
        <v>0.12540000000000001</v>
      </c>
      <c r="N1801" s="3">
        <f t="shared" si="140"/>
        <v>1232.28</v>
      </c>
      <c r="O1801" s="3">
        <f t="shared" si="141"/>
        <v>1077.75</v>
      </c>
      <c r="P1801" s="3">
        <f t="shared" si="142"/>
        <v>645.72</v>
      </c>
      <c r="Q1801" s="3">
        <f t="shared" si="143"/>
        <v>432.03</v>
      </c>
      <c r="R1801" s="4">
        <f t="shared" si="144"/>
        <v>0.40089999999999998</v>
      </c>
      <c r="S1801" s="2">
        <v>12</v>
      </c>
      <c r="T1801" t="s">
        <v>30</v>
      </c>
      <c r="U1801">
        <v>2</v>
      </c>
    </row>
    <row r="1802" spans="1:21" x14ac:dyDescent="0.25">
      <c r="A1802" s="1">
        <v>46157</v>
      </c>
      <c r="B1802" t="s">
        <v>1994</v>
      </c>
      <c r="C1802" t="s">
        <v>525</v>
      </c>
      <c r="D1802" t="s">
        <v>130</v>
      </c>
      <c r="E1802" t="s">
        <v>72</v>
      </c>
      <c r="F1802" t="s">
        <v>26</v>
      </c>
      <c r="G1802" t="s">
        <v>37</v>
      </c>
      <c r="H1802" t="s">
        <v>38</v>
      </c>
      <c r="I1802" t="s">
        <v>65</v>
      </c>
      <c r="J1802" s="2">
        <v>6</v>
      </c>
      <c r="K1802" s="3">
        <v>406.68</v>
      </c>
      <c r="L1802" s="3">
        <v>199.73</v>
      </c>
      <c r="M1802" s="4">
        <v>0</v>
      </c>
      <c r="N1802" s="3">
        <f t="shared" si="140"/>
        <v>2440.08</v>
      </c>
      <c r="O1802" s="3">
        <f t="shared" si="141"/>
        <v>2440.08</v>
      </c>
      <c r="P1802" s="3">
        <f t="shared" si="142"/>
        <v>1198.3800000000001</v>
      </c>
      <c r="Q1802" s="3">
        <f t="shared" si="143"/>
        <v>1241.7</v>
      </c>
      <c r="R1802" s="4">
        <f t="shared" si="144"/>
        <v>0.50890000000000002</v>
      </c>
      <c r="S1802" s="2">
        <v>7</v>
      </c>
      <c r="T1802" t="s">
        <v>46</v>
      </c>
      <c r="U1802">
        <v>5</v>
      </c>
    </row>
    <row r="1803" spans="1:21" x14ac:dyDescent="0.25">
      <c r="A1803" s="1">
        <v>46110</v>
      </c>
      <c r="B1803" t="s">
        <v>1995</v>
      </c>
      <c r="C1803" t="s">
        <v>23</v>
      </c>
      <c r="D1803" t="s">
        <v>43</v>
      </c>
      <c r="E1803" t="s">
        <v>25</v>
      </c>
      <c r="F1803" t="s">
        <v>64</v>
      </c>
      <c r="G1803" t="s">
        <v>27</v>
      </c>
      <c r="H1803" t="s">
        <v>68</v>
      </c>
      <c r="I1803" t="s">
        <v>94</v>
      </c>
      <c r="J1803" s="2">
        <v>4</v>
      </c>
      <c r="K1803" s="3">
        <v>1247.23</v>
      </c>
      <c r="L1803" s="3">
        <v>767.04</v>
      </c>
      <c r="M1803" s="4">
        <v>0</v>
      </c>
      <c r="N1803" s="3">
        <f t="shared" si="140"/>
        <v>4988.92</v>
      </c>
      <c r="O1803" s="3">
        <f t="shared" si="141"/>
        <v>4988.92</v>
      </c>
      <c r="P1803" s="3">
        <f t="shared" si="142"/>
        <v>3068.16</v>
      </c>
      <c r="Q1803" s="3">
        <f t="shared" si="143"/>
        <v>1920.76</v>
      </c>
      <c r="R1803" s="4">
        <f t="shared" si="144"/>
        <v>0.38500000000000001</v>
      </c>
      <c r="S1803" s="2">
        <v>14</v>
      </c>
      <c r="T1803" t="s">
        <v>30</v>
      </c>
      <c r="U1803">
        <v>4</v>
      </c>
    </row>
    <row r="1804" spans="1:21" x14ac:dyDescent="0.25">
      <c r="A1804" s="1">
        <v>46190</v>
      </c>
      <c r="B1804" t="s">
        <v>1996</v>
      </c>
      <c r="C1804" t="s">
        <v>136</v>
      </c>
      <c r="D1804" t="s">
        <v>207</v>
      </c>
      <c r="E1804" t="s">
        <v>35</v>
      </c>
      <c r="F1804" t="s">
        <v>58</v>
      </c>
      <c r="G1804" t="s">
        <v>37</v>
      </c>
      <c r="H1804" t="s">
        <v>178</v>
      </c>
      <c r="I1804" t="s">
        <v>77</v>
      </c>
      <c r="J1804" s="2">
        <v>3</v>
      </c>
      <c r="K1804" s="3">
        <v>530.58000000000004</v>
      </c>
      <c r="L1804" s="3">
        <v>233.89</v>
      </c>
      <c r="M1804" s="4">
        <v>8.4000000000000005E-2</v>
      </c>
      <c r="N1804" s="3">
        <f t="shared" si="140"/>
        <v>1591.74</v>
      </c>
      <c r="O1804" s="3">
        <f t="shared" si="141"/>
        <v>1458.03</v>
      </c>
      <c r="P1804" s="3">
        <f t="shared" si="142"/>
        <v>701.67</v>
      </c>
      <c r="Q1804" s="3">
        <f t="shared" si="143"/>
        <v>756.36</v>
      </c>
      <c r="R1804" s="4">
        <f t="shared" si="144"/>
        <v>0.51880000000000004</v>
      </c>
      <c r="S1804" s="2">
        <v>12</v>
      </c>
      <c r="T1804" t="s">
        <v>30</v>
      </c>
      <c r="U1804">
        <v>3</v>
      </c>
    </row>
    <row r="1805" spans="1:21" x14ac:dyDescent="0.25">
      <c r="A1805" s="1">
        <v>46201</v>
      </c>
      <c r="B1805" t="s">
        <v>1997</v>
      </c>
      <c r="C1805" t="s">
        <v>260</v>
      </c>
      <c r="D1805" t="s">
        <v>101</v>
      </c>
      <c r="E1805" t="s">
        <v>35</v>
      </c>
      <c r="F1805" t="s">
        <v>36</v>
      </c>
      <c r="G1805" t="s">
        <v>44</v>
      </c>
      <c r="H1805" t="s">
        <v>73</v>
      </c>
      <c r="I1805" t="s">
        <v>53</v>
      </c>
      <c r="J1805" s="2">
        <v>3</v>
      </c>
      <c r="K1805" s="3">
        <v>1749.87</v>
      </c>
      <c r="L1805" s="3">
        <v>1061.52</v>
      </c>
      <c r="M1805" s="4">
        <v>6.0000000000000001E-3</v>
      </c>
      <c r="N1805" s="3">
        <f t="shared" si="140"/>
        <v>5249.61</v>
      </c>
      <c r="O1805" s="3">
        <f t="shared" si="141"/>
        <v>5218.1099999999997</v>
      </c>
      <c r="P1805" s="3">
        <f t="shared" si="142"/>
        <v>3184.56</v>
      </c>
      <c r="Q1805" s="3">
        <f t="shared" si="143"/>
        <v>2033.55</v>
      </c>
      <c r="R1805" s="4">
        <f t="shared" si="144"/>
        <v>0.38969999999999999</v>
      </c>
      <c r="S1805" s="2">
        <v>12</v>
      </c>
      <c r="T1805" t="s">
        <v>30</v>
      </c>
      <c r="U1805">
        <v>3</v>
      </c>
    </row>
    <row r="1806" spans="1:21" x14ac:dyDescent="0.25">
      <c r="A1806" s="1">
        <v>46128</v>
      </c>
      <c r="B1806" t="s">
        <v>1998</v>
      </c>
      <c r="C1806" t="s">
        <v>195</v>
      </c>
      <c r="D1806" t="s">
        <v>97</v>
      </c>
      <c r="E1806" t="s">
        <v>57</v>
      </c>
      <c r="F1806" t="s">
        <v>26</v>
      </c>
      <c r="G1806" t="s">
        <v>51</v>
      </c>
      <c r="H1806" t="s">
        <v>116</v>
      </c>
      <c r="I1806" t="s">
        <v>29</v>
      </c>
      <c r="J1806" s="2">
        <v>3</v>
      </c>
      <c r="K1806" s="3">
        <v>2887.47</v>
      </c>
      <c r="L1806" s="3">
        <v>1836.25</v>
      </c>
      <c r="M1806" s="4">
        <v>1.9300000000000001E-2</v>
      </c>
      <c r="N1806" s="3">
        <f t="shared" si="140"/>
        <v>8662.41</v>
      </c>
      <c r="O1806" s="3">
        <f t="shared" si="141"/>
        <v>8495.23</v>
      </c>
      <c r="P1806" s="3">
        <f t="shared" si="142"/>
        <v>5508.75</v>
      </c>
      <c r="Q1806" s="3">
        <f t="shared" si="143"/>
        <v>2986.48</v>
      </c>
      <c r="R1806" s="4">
        <f t="shared" si="144"/>
        <v>0.35149999999999998</v>
      </c>
      <c r="S1806" s="2">
        <v>7</v>
      </c>
      <c r="T1806" t="s">
        <v>46</v>
      </c>
      <c r="U1806">
        <v>3</v>
      </c>
    </row>
    <row r="1807" spans="1:21" x14ac:dyDescent="0.25">
      <c r="A1807" s="1">
        <v>46094</v>
      </c>
      <c r="B1807" t="s">
        <v>1999</v>
      </c>
      <c r="C1807" t="s">
        <v>317</v>
      </c>
      <c r="D1807" t="s">
        <v>113</v>
      </c>
      <c r="E1807" t="s">
        <v>50</v>
      </c>
      <c r="F1807" t="s">
        <v>36</v>
      </c>
      <c r="G1807" t="s">
        <v>37</v>
      </c>
      <c r="H1807" t="s">
        <v>178</v>
      </c>
      <c r="I1807" t="s">
        <v>29</v>
      </c>
      <c r="J1807" s="2">
        <v>5</v>
      </c>
      <c r="K1807" s="3">
        <v>487.91</v>
      </c>
      <c r="L1807" s="3">
        <v>251.38</v>
      </c>
      <c r="M1807" s="4">
        <v>4.0800000000000003E-2</v>
      </c>
      <c r="N1807" s="3">
        <f t="shared" si="140"/>
        <v>2439.5500000000002</v>
      </c>
      <c r="O1807" s="3">
        <f t="shared" si="141"/>
        <v>2340.02</v>
      </c>
      <c r="P1807" s="3">
        <f t="shared" si="142"/>
        <v>1256.9000000000001</v>
      </c>
      <c r="Q1807" s="3">
        <f t="shared" si="143"/>
        <v>1083.1199999999999</v>
      </c>
      <c r="R1807" s="4">
        <f t="shared" si="144"/>
        <v>0.46289999999999998</v>
      </c>
      <c r="S1807" s="2">
        <v>10</v>
      </c>
      <c r="T1807" t="s">
        <v>46</v>
      </c>
      <c r="U1807">
        <v>5</v>
      </c>
    </row>
    <row r="1808" spans="1:21" x14ac:dyDescent="0.25">
      <c r="A1808" s="1">
        <v>46023</v>
      </c>
      <c r="B1808" t="s">
        <v>2000</v>
      </c>
      <c r="C1808" t="s">
        <v>164</v>
      </c>
      <c r="D1808" t="s">
        <v>207</v>
      </c>
      <c r="E1808" t="s">
        <v>35</v>
      </c>
      <c r="F1808" t="s">
        <v>36</v>
      </c>
      <c r="G1808" t="s">
        <v>27</v>
      </c>
      <c r="H1808" t="s">
        <v>86</v>
      </c>
      <c r="I1808" t="s">
        <v>65</v>
      </c>
      <c r="J1808" s="2">
        <v>1</v>
      </c>
      <c r="K1808" s="3">
        <v>1978.95</v>
      </c>
      <c r="L1808" s="3">
        <v>1171.8499999999999</v>
      </c>
      <c r="M1808" s="4">
        <v>5.8099999999999999E-2</v>
      </c>
      <c r="N1808" s="3">
        <f t="shared" si="140"/>
        <v>1978.95</v>
      </c>
      <c r="O1808" s="3">
        <f t="shared" si="141"/>
        <v>1863.97</v>
      </c>
      <c r="P1808" s="3">
        <f t="shared" si="142"/>
        <v>1171.8499999999999</v>
      </c>
      <c r="Q1808" s="3">
        <f t="shared" si="143"/>
        <v>692.12</v>
      </c>
      <c r="R1808" s="4">
        <f t="shared" si="144"/>
        <v>0.37130000000000002</v>
      </c>
      <c r="S1808" s="2">
        <v>5</v>
      </c>
      <c r="T1808" t="s">
        <v>46</v>
      </c>
      <c r="U1808">
        <v>2</v>
      </c>
    </row>
    <row r="1809" spans="1:21" x14ac:dyDescent="0.25">
      <c r="A1809" s="1">
        <v>46174</v>
      </c>
      <c r="B1809" t="s">
        <v>2001</v>
      </c>
      <c r="C1809" t="s">
        <v>329</v>
      </c>
      <c r="D1809" t="s">
        <v>130</v>
      </c>
      <c r="E1809" t="s">
        <v>72</v>
      </c>
      <c r="F1809" t="s">
        <v>36</v>
      </c>
      <c r="G1809" t="s">
        <v>37</v>
      </c>
      <c r="H1809" t="s">
        <v>104</v>
      </c>
      <c r="I1809" t="s">
        <v>94</v>
      </c>
      <c r="J1809" s="2">
        <v>5</v>
      </c>
      <c r="K1809" s="3">
        <v>308.06</v>
      </c>
      <c r="L1809" s="3">
        <v>139.47</v>
      </c>
      <c r="M1809" s="4">
        <v>0.12790000000000001</v>
      </c>
      <c r="N1809" s="3">
        <f t="shared" si="140"/>
        <v>1540.3</v>
      </c>
      <c r="O1809" s="3">
        <f t="shared" si="141"/>
        <v>1343.3</v>
      </c>
      <c r="P1809" s="3">
        <f t="shared" si="142"/>
        <v>697.35</v>
      </c>
      <c r="Q1809" s="3">
        <f t="shared" si="143"/>
        <v>645.95000000000005</v>
      </c>
      <c r="R1809" s="4">
        <f t="shared" si="144"/>
        <v>0.48089999999999999</v>
      </c>
      <c r="S1809" s="2">
        <v>13</v>
      </c>
      <c r="T1809" t="s">
        <v>30</v>
      </c>
      <c r="U1809">
        <v>5</v>
      </c>
    </row>
    <row r="1810" spans="1:21" x14ac:dyDescent="0.25">
      <c r="A1810" s="1">
        <v>46174</v>
      </c>
      <c r="B1810" t="s">
        <v>2002</v>
      </c>
      <c r="C1810" t="s">
        <v>153</v>
      </c>
      <c r="D1810" t="s">
        <v>43</v>
      </c>
      <c r="E1810" t="s">
        <v>25</v>
      </c>
      <c r="F1810" t="s">
        <v>36</v>
      </c>
      <c r="G1810" t="s">
        <v>27</v>
      </c>
      <c r="H1810" t="s">
        <v>28</v>
      </c>
      <c r="I1810" t="s">
        <v>53</v>
      </c>
      <c r="J1810" s="2">
        <v>8</v>
      </c>
      <c r="K1810" s="3">
        <v>749.93</v>
      </c>
      <c r="L1810" s="3">
        <v>491.58</v>
      </c>
      <c r="M1810" s="4">
        <v>6.9800000000000001E-2</v>
      </c>
      <c r="N1810" s="3">
        <f t="shared" si="140"/>
        <v>5999.44</v>
      </c>
      <c r="O1810" s="3">
        <f t="shared" si="141"/>
        <v>5580.68</v>
      </c>
      <c r="P1810" s="3">
        <f t="shared" si="142"/>
        <v>3932.64</v>
      </c>
      <c r="Q1810" s="3">
        <f t="shared" si="143"/>
        <v>1648.04</v>
      </c>
      <c r="R1810" s="4">
        <f t="shared" si="144"/>
        <v>0.29530000000000001</v>
      </c>
      <c r="S1810" s="2">
        <v>3</v>
      </c>
      <c r="T1810" t="s">
        <v>46</v>
      </c>
      <c r="U1810">
        <v>4</v>
      </c>
    </row>
    <row r="1811" spans="1:21" x14ac:dyDescent="0.25">
      <c r="A1811" s="1">
        <v>46140</v>
      </c>
      <c r="B1811" t="s">
        <v>2003</v>
      </c>
      <c r="C1811" t="s">
        <v>243</v>
      </c>
      <c r="D1811" t="s">
        <v>130</v>
      </c>
      <c r="E1811" t="s">
        <v>72</v>
      </c>
      <c r="F1811" t="s">
        <v>58</v>
      </c>
      <c r="G1811" t="s">
        <v>51</v>
      </c>
      <c r="H1811" t="s">
        <v>52</v>
      </c>
      <c r="I1811" t="s">
        <v>92</v>
      </c>
      <c r="J1811" s="2">
        <v>2</v>
      </c>
      <c r="K1811" s="3">
        <v>253.67</v>
      </c>
      <c r="L1811" s="3">
        <v>123.14</v>
      </c>
      <c r="M1811" s="4">
        <v>0.1157</v>
      </c>
      <c r="N1811" s="3">
        <f t="shared" si="140"/>
        <v>507.34</v>
      </c>
      <c r="O1811" s="3">
        <f t="shared" si="141"/>
        <v>448.64</v>
      </c>
      <c r="P1811" s="3">
        <f t="shared" si="142"/>
        <v>246.28</v>
      </c>
      <c r="Q1811" s="3">
        <f t="shared" si="143"/>
        <v>202.36</v>
      </c>
      <c r="R1811" s="4">
        <f t="shared" si="144"/>
        <v>0.4511</v>
      </c>
      <c r="S1811" s="2">
        <v>13</v>
      </c>
      <c r="T1811" t="s">
        <v>30</v>
      </c>
      <c r="U1811">
        <v>4</v>
      </c>
    </row>
    <row r="1812" spans="1:21" x14ac:dyDescent="0.25">
      <c r="A1812" s="1">
        <v>46206</v>
      </c>
      <c r="B1812" t="s">
        <v>2004</v>
      </c>
      <c r="C1812" t="s">
        <v>527</v>
      </c>
      <c r="D1812" t="s">
        <v>97</v>
      </c>
      <c r="E1812" t="s">
        <v>57</v>
      </c>
      <c r="F1812" t="s">
        <v>26</v>
      </c>
      <c r="G1812" t="s">
        <v>51</v>
      </c>
      <c r="H1812" t="s">
        <v>52</v>
      </c>
      <c r="I1812" t="s">
        <v>87</v>
      </c>
      <c r="J1812" s="2">
        <v>3</v>
      </c>
      <c r="K1812" s="3">
        <v>266.32</v>
      </c>
      <c r="L1812" s="3">
        <v>116.55</v>
      </c>
      <c r="M1812" s="4">
        <v>0.12909999999999999</v>
      </c>
      <c r="N1812" s="3">
        <f t="shared" si="140"/>
        <v>798.96</v>
      </c>
      <c r="O1812" s="3">
        <f t="shared" si="141"/>
        <v>695.81</v>
      </c>
      <c r="P1812" s="3">
        <f t="shared" si="142"/>
        <v>349.65</v>
      </c>
      <c r="Q1812" s="3">
        <f t="shared" si="143"/>
        <v>346.16</v>
      </c>
      <c r="R1812" s="4">
        <f t="shared" si="144"/>
        <v>0.4975</v>
      </c>
      <c r="S1812" s="2">
        <v>13</v>
      </c>
      <c r="T1812" t="s">
        <v>30</v>
      </c>
      <c r="U1812">
        <v>4</v>
      </c>
    </row>
    <row r="1813" spans="1:21" x14ac:dyDescent="0.25">
      <c r="A1813" s="1">
        <v>46076</v>
      </c>
      <c r="B1813" t="s">
        <v>2005</v>
      </c>
      <c r="C1813" t="s">
        <v>271</v>
      </c>
      <c r="D1813" t="s">
        <v>49</v>
      </c>
      <c r="E1813" t="s">
        <v>50</v>
      </c>
      <c r="F1813" t="s">
        <v>58</v>
      </c>
      <c r="G1813" t="s">
        <v>37</v>
      </c>
      <c r="H1813" t="s">
        <v>38</v>
      </c>
      <c r="I1813" t="s">
        <v>39</v>
      </c>
      <c r="J1813" s="2">
        <v>3</v>
      </c>
      <c r="K1813" s="3">
        <v>430.72</v>
      </c>
      <c r="L1813" s="3">
        <v>198.78</v>
      </c>
      <c r="M1813" s="4">
        <v>5.91E-2</v>
      </c>
      <c r="N1813" s="3">
        <f t="shared" si="140"/>
        <v>1292.1600000000001</v>
      </c>
      <c r="O1813" s="3">
        <f t="shared" si="141"/>
        <v>1215.79</v>
      </c>
      <c r="P1813" s="3">
        <f t="shared" si="142"/>
        <v>596.34</v>
      </c>
      <c r="Q1813" s="3">
        <f t="shared" si="143"/>
        <v>619.45000000000005</v>
      </c>
      <c r="R1813" s="4">
        <f t="shared" si="144"/>
        <v>0.50949999999999995</v>
      </c>
      <c r="S1813" s="2">
        <v>4</v>
      </c>
      <c r="T1813" t="s">
        <v>46</v>
      </c>
      <c r="U1813">
        <v>3</v>
      </c>
    </row>
    <row r="1814" spans="1:21" x14ac:dyDescent="0.25">
      <c r="A1814" s="1">
        <v>46225</v>
      </c>
      <c r="B1814" t="s">
        <v>2006</v>
      </c>
      <c r="C1814" t="s">
        <v>123</v>
      </c>
      <c r="D1814" t="s">
        <v>139</v>
      </c>
      <c r="E1814" t="s">
        <v>72</v>
      </c>
      <c r="F1814" t="s">
        <v>58</v>
      </c>
      <c r="G1814" t="s">
        <v>51</v>
      </c>
      <c r="H1814" t="s">
        <v>59</v>
      </c>
      <c r="I1814" t="s">
        <v>29</v>
      </c>
      <c r="J1814" s="2">
        <v>8</v>
      </c>
      <c r="K1814" s="3">
        <v>2086.75</v>
      </c>
      <c r="L1814" s="3">
        <v>1487.68</v>
      </c>
      <c r="M1814" s="4">
        <v>3.5000000000000003E-2</v>
      </c>
      <c r="N1814" s="3">
        <f t="shared" si="140"/>
        <v>16694</v>
      </c>
      <c r="O1814" s="3">
        <f t="shared" si="141"/>
        <v>16109.71</v>
      </c>
      <c r="P1814" s="3">
        <f t="shared" si="142"/>
        <v>11901.44</v>
      </c>
      <c r="Q1814" s="3">
        <f t="shared" si="143"/>
        <v>4208.2700000000004</v>
      </c>
      <c r="R1814" s="4">
        <f t="shared" si="144"/>
        <v>0.26119999999999999</v>
      </c>
      <c r="S1814" s="2">
        <v>13</v>
      </c>
      <c r="T1814" t="s">
        <v>30</v>
      </c>
      <c r="U1814">
        <v>4</v>
      </c>
    </row>
    <row r="1815" spans="1:21" x14ac:dyDescent="0.25">
      <c r="A1815" s="1">
        <v>46220</v>
      </c>
      <c r="B1815" t="s">
        <v>2007</v>
      </c>
      <c r="C1815" t="s">
        <v>284</v>
      </c>
      <c r="D1815" t="s">
        <v>34</v>
      </c>
      <c r="E1815" t="s">
        <v>35</v>
      </c>
      <c r="F1815" t="s">
        <v>36</v>
      </c>
      <c r="G1815" t="s">
        <v>44</v>
      </c>
      <c r="H1815" t="s">
        <v>45</v>
      </c>
      <c r="I1815" t="s">
        <v>65</v>
      </c>
      <c r="J1815" s="2">
        <v>2</v>
      </c>
      <c r="K1815" s="3">
        <v>404.56</v>
      </c>
      <c r="L1815" s="3">
        <v>203.31</v>
      </c>
      <c r="M1815" s="4">
        <v>0</v>
      </c>
      <c r="N1815" s="3">
        <f t="shared" si="140"/>
        <v>809.12</v>
      </c>
      <c r="O1815" s="3">
        <f t="shared" si="141"/>
        <v>809.12</v>
      </c>
      <c r="P1815" s="3">
        <f t="shared" si="142"/>
        <v>406.62</v>
      </c>
      <c r="Q1815" s="3">
        <f t="shared" si="143"/>
        <v>402.5</v>
      </c>
      <c r="R1815" s="4">
        <f t="shared" si="144"/>
        <v>0.4975</v>
      </c>
      <c r="S1815" s="2">
        <v>2</v>
      </c>
      <c r="T1815" t="s">
        <v>46</v>
      </c>
      <c r="U1815">
        <v>5</v>
      </c>
    </row>
    <row r="1816" spans="1:21" x14ac:dyDescent="0.25">
      <c r="A1816" s="1">
        <v>46060</v>
      </c>
      <c r="B1816" t="s">
        <v>2008</v>
      </c>
      <c r="C1816" t="s">
        <v>153</v>
      </c>
      <c r="D1816" t="s">
        <v>85</v>
      </c>
      <c r="E1816" t="s">
        <v>50</v>
      </c>
      <c r="F1816" t="s">
        <v>64</v>
      </c>
      <c r="G1816" t="s">
        <v>27</v>
      </c>
      <c r="H1816" t="s">
        <v>28</v>
      </c>
      <c r="I1816" t="s">
        <v>60</v>
      </c>
      <c r="J1816" s="2">
        <v>6</v>
      </c>
      <c r="K1816" s="3">
        <v>825.66</v>
      </c>
      <c r="L1816" s="3">
        <v>475.55</v>
      </c>
      <c r="M1816" s="4">
        <v>1.47E-2</v>
      </c>
      <c r="N1816" s="3">
        <f t="shared" si="140"/>
        <v>4953.96</v>
      </c>
      <c r="O1816" s="3">
        <f t="shared" si="141"/>
        <v>4881.1400000000003</v>
      </c>
      <c r="P1816" s="3">
        <f t="shared" si="142"/>
        <v>2853.3</v>
      </c>
      <c r="Q1816" s="3">
        <f t="shared" si="143"/>
        <v>2027.84</v>
      </c>
      <c r="R1816" s="4">
        <f t="shared" si="144"/>
        <v>0.41539999999999999</v>
      </c>
      <c r="S1816" s="2">
        <v>13</v>
      </c>
      <c r="T1816" t="s">
        <v>30</v>
      </c>
      <c r="U1816">
        <v>5</v>
      </c>
    </row>
    <row r="1817" spans="1:21" x14ac:dyDescent="0.25">
      <c r="A1817" s="1">
        <v>46129</v>
      </c>
      <c r="B1817" t="s">
        <v>2009</v>
      </c>
      <c r="C1817" t="s">
        <v>447</v>
      </c>
      <c r="D1817" t="s">
        <v>101</v>
      </c>
      <c r="E1817" t="s">
        <v>35</v>
      </c>
      <c r="F1817" t="s">
        <v>26</v>
      </c>
      <c r="G1817" t="s">
        <v>37</v>
      </c>
      <c r="H1817" t="s">
        <v>104</v>
      </c>
      <c r="I1817" t="s">
        <v>77</v>
      </c>
      <c r="J1817" s="2">
        <v>7</v>
      </c>
      <c r="K1817" s="3">
        <v>325.87</v>
      </c>
      <c r="L1817" s="3">
        <v>130.33000000000001</v>
      </c>
      <c r="M1817" s="4">
        <v>0.12770000000000001</v>
      </c>
      <c r="N1817" s="3">
        <f t="shared" si="140"/>
        <v>2281.09</v>
      </c>
      <c r="O1817" s="3">
        <f t="shared" si="141"/>
        <v>1989.79</v>
      </c>
      <c r="P1817" s="3">
        <f t="shared" si="142"/>
        <v>912.31</v>
      </c>
      <c r="Q1817" s="3">
        <f t="shared" si="143"/>
        <v>1077.48</v>
      </c>
      <c r="R1817" s="4">
        <f t="shared" si="144"/>
        <v>0.54149999999999998</v>
      </c>
      <c r="S1817" s="2">
        <v>8</v>
      </c>
      <c r="T1817" t="s">
        <v>46</v>
      </c>
      <c r="U1817">
        <v>2</v>
      </c>
    </row>
    <row r="1818" spans="1:21" x14ac:dyDescent="0.25">
      <c r="A1818" s="1">
        <v>46059</v>
      </c>
      <c r="B1818" t="s">
        <v>2010</v>
      </c>
      <c r="C1818" t="s">
        <v>150</v>
      </c>
      <c r="D1818" t="s">
        <v>121</v>
      </c>
      <c r="E1818" t="s">
        <v>72</v>
      </c>
      <c r="F1818" t="s">
        <v>64</v>
      </c>
      <c r="G1818" t="s">
        <v>51</v>
      </c>
      <c r="H1818" t="s">
        <v>116</v>
      </c>
      <c r="I1818" t="s">
        <v>92</v>
      </c>
      <c r="J1818" s="2">
        <v>4</v>
      </c>
      <c r="K1818" s="3">
        <v>2906.69</v>
      </c>
      <c r="L1818" s="3">
        <v>1961.73</v>
      </c>
      <c r="M1818" s="4">
        <v>8.8200000000000001E-2</v>
      </c>
      <c r="N1818" s="3">
        <f t="shared" si="140"/>
        <v>11626.76</v>
      </c>
      <c r="O1818" s="3">
        <f t="shared" si="141"/>
        <v>10601.28</v>
      </c>
      <c r="P1818" s="3">
        <f t="shared" si="142"/>
        <v>7846.92</v>
      </c>
      <c r="Q1818" s="3">
        <f t="shared" si="143"/>
        <v>2754.36</v>
      </c>
      <c r="R1818" s="4">
        <f t="shared" si="144"/>
        <v>0.25979999999999998</v>
      </c>
      <c r="S1818" s="2">
        <v>10</v>
      </c>
      <c r="T1818" t="s">
        <v>46</v>
      </c>
      <c r="U1818">
        <v>3</v>
      </c>
    </row>
    <row r="1819" spans="1:21" x14ac:dyDescent="0.25">
      <c r="A1819" s="1">
        <v>46233</v>
      </c>
      <c r="B1819" t="s">
        <v>2011</v>
      </c>
      <c r="C1819" t="s">
        <v>112</v>
      </c>
      <c r="D1819" t="s">
        <v>56</v>
      </c>
      <c r="E1819" t="s">
        <v>57</v>
      </c>
      <c r="F1819" t="s">
        <v>64</v>
      </c>
      <c r="G1819" t="s">
        <v>44</v>
      </c>
      <c r="H1819" t="s">
        <v>124</v>
      </c>
      <c r="I1819" t="s">
        <v>92</v>
      </c>
      <c r="J1819" s="2">
        <v>2</v>
      </c>
      <c r="K1819" s="3">
        <v>6059.21</v>
      </c>
      <c r="L1819" s="3">
        <v>4532.2</v>
      </c>
      <c r="M1819" s="4">
        <v>0</v>
      </c>
      <c r="N1819" s="3">
        <f t="shared" si="140"/>
        <v>12118.42</v>
      </c>
      <c r="O1819" s="3">
        <f t="shared" si="141"/>
        <v>12118.42</v>
      </c>
      <c r="P1819" s="3">
        <f t="shared" si="142"/>
        <v>9064.4</v>
      </c>
      <c r="Q1819" s="3">
        <f t="shared" si="143"/>
        <v>3054.02</v>
      </c>
      <c r="R1819" s="4">
        <f t="shared" si="144"/>
        <v>0.252</v>
      </c>
      <c r="S1819" s="2">
        <v>13</v>
      </c>
      <c r="T1819" t="s">
        <v>30</v>
      </c>
      <c r="U1819">
        <v>2</v>
      </c>
    </row>
    <row r="1820" spans="1:21" x14ac:dyDescent="0.25">
      <c r="A1820" s="1">
        <v>46133</v>
      </c>
      <c r="B1820" t="s">
        <v>2012</v>
      </c>
      <c r="C1820" t="s">
        <v>447</v>
      </c>
      <c r="D1820" t="s">
        <v>71</v>
      </c>
      <c r="E1820" t="s">
        <v>72</v>
      </c>
      <c r="F1820" t="s">
        <v>58</v>
      </c>
      <c r="G1820" t="s">
        <v>51</v>
      </c>
      <c r="H1820" t="s">
        <v>59</v>
      </c>
      <c r="I1820" t="s">
        <v>77</v>
      </c>
      <c r="J1820" s="2">
        <v>6</v>
      </c>
      <c r="K1820" s="3">
        <v>2281.58</v>
      </c>
      <c r="L1820" s="3">
        <v>1419.15</v>
      </c>
      <c r="M1820" s="4">
        <v>8.6800000000000002E-2</v>
      </c>
      <c r="N1820" s="3">
        <f t="shared" si="140"/>
        <v>13689.48</v>
      </c>
      <c r="O1820" s="3">
        <f t="shared" si="141"/>
        <v>12501.23</v>
      </c>
      <c r="P1820" s="3">
        <f t="shared" si="142"/>
        <v>8514.9</v>
      </c>
      <c r="Q1820" s="3">
        <f t="shared" si="143"/>
        <v>3986.33</v>
      </c>
      <c r="R1820" s="4">
        <f t="shared" si="144"/>
        <v>0.31890000000000002</v>
      </c>
      <c r="S1820" s="2">
        <v>11</v>
      </c>
      <c r="T1820" t="s">
        <v>30</v>
      </c>
      <c r="U1820">
        <v>4</v>
      </c>
    </row>
    <row r="1821" spans="1:21" x14ac:dyDescent="0.25">
      <c r="A1821" s="1">
        <v>46183</v>
      </c>
      <c r="B1821" t="s">
        <v>2013</v>
      </c>
      <c r="C1821" t="s">
        <v>523</v>
      </c>
      <c r="D1821" t="s">
        <v>71</v>
      </c>
      <c r="E1821" t="s">
        <v>72</v>
      </c>
      <c r="F1821" t="s">
        <v>58</v>
      </c>
      <c r="G1821" t="s">
        <v>27</v>
      </c>
      <c r="H1821" t="s">
        <v>86</v>
      </c>
      <c r="I1821" t="s">
        <v>60</v>
      </c>
      <c r="J1821" s="2">
        <v>8</v>
      </c>
      <c r="K1821" s="3">
        <v>1839.03</v>
      </c>
      <c r="L1821" s="3">
        <v>1259.9000000000001</v>
      </c>
      <c r="M1821" s="4">
        <v>3.5000000000000003E-2</v>
      </c>
      <c r="N1821" s="3">
        <f t="shared" si="140"/>
        <v>14712.24</v>
      </c>
      <c r="O1821" s="3">
        <f t="shared" si="141"/>
        <v>14197.31</v>
      </c>
      <c r="P1821" s="3">
        <f t="shared" si="142"/>
        <v>10079.200000000001</v>
      </c>
      <c r="Q1821" s="3">
        <f t="shared" si="143"/>
        <v>4118.1099999999997</v>
      </c>
      <c r="R1821" s="4">
        <f t="shared" si="144"/>
        <v>0.29010000000000002</v>
      </c>
      <c r="S1821" s="2">
        <v>4</v>
      </c>
      <c r="T1821" t="s">
        <v>46</v>
      </c>
      <c r="U1821">
        <v>4</v>
      </c>
    </row>
    <row r="1822" spans="1:21" x14ac:dyDescent="0.25">
      <c r="A1822" s="1">
        <v>46063</v>
      </c>
      <c r="B1822" t="s">
        <v>2014</v>
      </c>
      <c r="C1822" t="s">
        <v>271</v>
      </c>
      <c r="D1822" t="s">
        <v>85</v>
      </c>
      <c r="E1822" t="s">
        <v>50</v>
      </c>
      <c r="F1822" t="s">
        <v>58</v>
      </c>
      <c r="G1822" t="s">
        <v>44</v>
      </c>
      <c r="H1822" t="s">
        <v>73</v>
      </c>
      <c r="I1822" t="s">
        <v>60</v>
      </c>
      <c r="J1822" s="2">
        <v>1</v>
      </c>
      <c r="K1822" s="3">
        <v>1772.86</v>
      </c>
      <c r="L1822" s="3">
        <v>1111.24</v>
      </c>
      <c r="M1822" s="4">
        <v>8.9099999999999999E-2</v>
      </c>
      <c r="N1822" s="3">
        <f t="shared" si="140"/>
        <v>1772.86</v>
      </c>
      <c r="O1822" s="3">
        <f t="shared" si="141"/>
        <v>1614.9</v>
      </c>
      <c r="P1822" s="3">
        <f t="shared" si="142"/>
        <v>1111.24</v>
      </c>
      <c r="Q1822" s="3">
        <f t="shared" si="143"/>
        <v>503.66</v>
      </c>
      <c r="R1822" s="4">
        <f t="shared" si="144"/>
        <v>0.31190000000000001</v>
      </c>
      <c r="S1822" s="2">
        <v>7</v>
      </c>
      <c r="T1822" t="s">
        <v>46</v>
      </c>
      <c r="U1822">
        <v>4</v>
      </c>
    </row>
    <row r="1823" spans="1:21" x14ac:dyDescent="0.25">
      <c r="A1823" s="1">
        <v>46201</v>
      </c>
      <c r="B1823" t="s">
        <v>2015</v>
      </c>
      <c r="C1823" t="s">
        <v>153</v>
      </c>
      <c r="D1823" t="s">
        <v>121</v>
      </c>
      <c r="E1823" t="s">
        <v>72</v>
      </c>
      <c r="F1823" t="s">
        <v>64</v>
      </c>
      <c r="G1823" t="s">
        <v>37</v>
      </c>
      <c r="H1823" t="s">
        <v>38</v>
      </c>
      <c r="I1823" t="s">
        <v>60</v>
      </c>
      <c r="J1823" s="2">
        <v>7</v>
      </c>
      <c r="K1823" s="3">
        <v>419.96</v>
      </c>
      <c r="L1823" s="3">
        <v>203.08</v>
      </c>
      <c r="M1823" s="4">
        <v>9.0899999999999995E-2</v>
      </c>
      <c r="N1823" s="3">
        <f t="shared" si="140"/>
        <v>2939.72</v>
      </c>
      <c r="O1823" s="3">
        <f t="shared" si="141"/>
        <v>2672.5</v>
      </c>
      <c r="P1823" s="3">
        <f t="shared" si="142"/>
        <v>1421.56</v>
      </c>
      <c r="Q1823" s="3">
        <f t="shared" si="143"/>
        <v>1250.94</v>
      </c>
      <c r="R1823" s="4">
        <f t="shared" si="144"/>
        <v>0.46810000000000002</v>
      </c>
      <c r="S1823" s="2">
        <v>12</v>
      </c>
      <c r="T1823" t="s">
        <v>30</v>
      </c>
      <c r="U1823">
        <v>3</v>
      </c>
    </row>
    <row r="1824" spans="1:21" x14ac:dyDescent="0.25">
      <c r="A1824" s="1">
        <v>46073</v>
      </c>
      <c r="B1824" t="s">
        <v>2016</v>
      </c>
      <c r="C1824" t="s">
        <v>155</v>
      </c>
      <c r="D1824" t="s">
        <v>97</v>
      </c>
      <c r="E1824" t="s">
        <v>57</v>
      </c>
      <c r="F1824" t="s">
        <v>58</v>
      </c>
      <c r="G1824" t="s">
        <v>51</v>
      </c>
      <c r="H1824" t="s">
        <v>59</v>
      </c>
      <c r="I1824" t="s">
        <v>74</v>
      </c>
      <c r="J1824" s="2">
        <v>3</v>
      </c>
      <c r="K1824" s="3">
        <v>2070.6</v>
      </c>
      <c r="L1824" s="3">
        <v>1459.47</v>
      </c>
      <c r="M1824" s="4">
        <v>3.5000000000000003E-2</v>
      </c>
      <c r="N1824" s="3">
        <f t="shared" si="140"/>
        <v>6211.8</v>
      </c>
      <c r="O1824" s="3">
        <f t="shared" si="141"/>
        <v>5994.39</v>
      </c>
      <c r="P1824" s="3">
        <f t="shared" si="142"/>
        <v>4378.41</v>
      </c>
      <c r="Q1824" s="3">
        <f t="shared" si="143"/>
        <v>1615.98</v>
      </c>
      <c r="R1824" s="4">
        <f t="shared" si="144"/>
        <v>0.26960000000000001</v>
      </c>
      <c r="S1824" s="2">
        <v>3</v>
      </c>
      <c r="T1824" t="s">
        <v>46</v>
      </c>
      <c r="U1824">
        <v>4</v>
      </c>
    </row>
    <row r="1825" spans="1:22" x14ac:dyDescent="0.25">
      <c r="A1825" s="1">
        <v>46133</v>
      </c>
      <c r="B1825" t="s">
        <v>2017</v>
      </c>
      <c r="C1825" t="s">
        <v>172</v>
      </c>
      <c r="D1825" t="s">
        <v>113</v>
      </c>
      <c r="E1825" t="s">
        <v>50</v>
      </c>
      <c r="F1825" t="s">
        <v>26</v>
      </c>
      <c r="G1825" t="s">
        <v>51</v>
      </c>
      <c r="H1825" t="s">
        <v>52</v>
      </c>
      <c r="I1825" t="s">
        <v>29</v>
      </c>
      <c r="J1825" s="2">
        <v>2</v>
      </c>
      <c r="K1825" s="3">
        <v>272.24</v>
      </c>
      <c r="L1825" s="3">
        <v>119.04</v>
      </c>
      <c r="M1825" s="4">
        <v>0</v>
      </c>
      <c r="N1825" s="3">
        <f t="shared" si="140"/>
        <v>544.48</v>
      </c>
      <c r="O1825" s="3">
        <f t="shared" si="141"/>
        <v>544.48</v>
      </c>
      <c r="P1825" s="3">
        <f t="shared" si="142"/>
        <v>238.08</v>
      </c>
      <c r="Q1825" s="3">
        <f t="shared" si="143"/>
        <v>306.39999999999998</v>
      </c>
      <c r="R1825" s="4">
        <f t="shared" si="144"/>
        <v>0.56269999999999998</v>
      </c>
      <c r="S1825" s="2">
        <v>2</v>
      </c>
      <c r="T1825" t="s">
        <v>46</v>
      </c>
      <c r="U1825">
        <v>3</v>
      </c>
    </row>
    <row r="1826" spans="1:22" x14ac:dyDescent="0.25">
      <c r="A1826" s="1">
        <v>46094</v>
      </c>
      <c r="B1826" t="s">
        <v>2018</v>
      </c>
      <c r="C1826" t="s">
        <v>174</v>
      </c>
      <c r="D1826" t="s">
        <v>49</v>
      </c>
      <c r="E1826" t="s">
        <v>50</v>
      </c>
      <c r="F1826" t="s">
        <v>26</v>
      </c>
      <c r="G1826" t="s">
        <v>51</v>
      </c>
      <c r="H1826" t="s">
        <v>52</v>
      </c>
      <c r="I1826" t="s">
        <v>39</v>
      </c>
      <c r="J1826" s="2">
        <v>3</v>
      </c>
      <c r="K1826" s="3">
        <v>254.57</v>
      </c>
      <c r="L1826" s="3">
        <v>123.63</v>
      </c>
      <c r="M1826" s="4">
        <v>7.9100000000000004E-2</v>
      </c>
      <c r="N1826" s="3">
        <f t="shared" si="140"/>
        <v>763.71</v>
      </c>
      <c r="O1826" s="3">
        <f t="shared" si="141"/>
        <v>703.3</v>
      </c>
      <c r="P1826" s="3">
        <f t="shared" si="142"/>
        <v>370.89</v>
      </c>
      <c r="Q1826" s="3">
        <f t="shared" si="143"/>
        <v>332.41</v>
      </c>
      <c r="R1826" s="4">
        <f t="shared" si="144"/>
        <v>0.47260000000000002</v>
      </c>
      <c r="S1826" s="2">
        <v>2</v>
      </c>
      <c r="T1826" t="s">
        <v>40</v>
      </c>
    </row>
    <row r="1827" spans="1:22" x14ac:dyDescent="0.25">
      <c r="A1827" s="1">
        <v>46176</v>
      </c>
      <c r="B1827" t="s">
        <v>2019</v>
      </c>
      <c r="C1827" t="s">
        <v>153</v>
      </c>
      <c r="D1827" t="s">
        <v>113</v>
      </c>
      <c r="E1827" t="s">
        <v>50</v>
      </c>
      <c r="F1827" t="s">
        <v>26</v>
      </c>
      <c r="G1827" t="s">
        <v>27</v>
      </c>
      <c r="H1827" t="s">
        <v>86</v>
      </c>
      <c r="I1827" t="s">
        <v>29</v>
      </c>
      <c r="J1827" s="2">
        <v>3</v>
      </c>
      <c r="K1827" s="3">
        <v>1827.94</v>
      </c>
      <c r="L1827" s="3">
        <v>1157.33</v>
      </c>
      <c r="M1827" s="4">
        <v>6.7900000000000002E-2</v>
      </c>
      <c r="N1827" s="3">
        <f t="shared" si="140"/>
        <v>5483.82</v>
      </c>
      <c r="O1827" s="3">
        <f t="shared" si="141"/>
        <v>5111.47</v>
      </c>
      <c r="P1827" s="3">
        <f t="shared" si="142"/>
        <v>3471.99</v>
      </c>
      <c r="Q1827" s="3">
        <f t="shared" si="143"/>
        <v>1639.48</v>
      </c>
      <c r="R1827" s="4">
        <f t="shared" si="144"/>
        <v>0.32069999999999999</v>
      </c>
      <c r="S1827" s="2">
        <v>30</v>
      </c>
      <c r="T1827" t="s">
        <v>30</v>
      </c>
      <c r="U1827">
        <v>1</v>
      </c>
      <c r="V1827" t="s">
        <v>208</v>
      </c>
    </row>
    <row r="1828" spans="1:22" x14ac:dyDescent="0.25">
      <c r="A1828" s="1">
        <v>46170</v>
      </c>
      <c r="B1828" t="s">
        <v>2020</v>
      </c>
      <c r="C1828" t="s">
        <v>62</v>
      </c>
      <c r="D1828" t="s">
        <v>97</v>
      </c>
      <c r="E1828" t="s">
        <v>57</v>
      </c>
      <c r="F1828" t="s">
        <v>58</v>
      </c>
      <c r="G1828" t="s">
        <v>44</v>
      </c>
      <c r="H1828" t="s">
        <v>124</v>
      </c>
      <c r="I1828" t="s">
        <v>65</v>
      </c>
      <c r="J1828" s="2">
        <v>2</v>
      </c>
      <c r="K1828" s="3">
        <v>5812.89</v>
      </c>
      <c r="L1828" s="3">
        <v>4190.6499999999996</v>
      </c>
      <c r="M1828" s="4">
        <v>5.8799999999999998E-2</v>
      </c>
      <c r="N1828" s="3">
        <f t="shared" si="140"/>
        <v>11625.78</v>
      </c>
      <c r="O1828" s="3">
        <f t="shared" si="141"/>
        <v>10942.18</v>
      </c>
      <c r="P1828" s="3">
        <f t="shared" si="142"/>
        <v>8381.2999999999993</v>
      </c>
      <c r="Q1828" s="3">
        <f t="shared" si="143"/>
        <v>2560.88</v>
      </c>
      <c r="R1828" s="4">
        <f t="shared" si="144"/>
        <v>0.23400000000000001</v>
      </c>
      <c r="S1828" s="2">
        <v>13</v>
      </c>
      <c r="T1828" t="s">
        <v>30</v>
      </c>
      <c r="U1828">
        <v>2</v>
      </c>
    </row>
    <row r="1829" spans="1:22" x14ac:dyDescent="0.25">
      <c r="A1829" s="1">
        <v>46062</v>
      </c>
      <c r="B1829" t="s">
        <v>2021</v>
      </c>
      <c r="C1829" t="s">
        <v>294</v>
      </c>
      <c r="D1829" t="s">
        <v>24</v>
      </c>
      <c r="E1829" t="s">
        <v>25</v>
      </c>
      <c r="F1829" t="s">
        <v>64</v>
      </c>
      <c r="G1829" t="s">
        <v>51</v>
      </c>
      <c r="H1829" t="s">
        <v>59</v>
      </c>
      <c r="I1829" t="s">
        <v>77</v>
      </c>
      <c r="J1829" s="2">
        <v>1</v>
      </c>
      <c r="K1829" s="3">
        <v>2161.42</v>
      </c>
      <c r="L1829" s="3">
        <v>1492.46</v>
      </c>
      <c r="M1829" s="4">
        <v>0.1148</v>
      </c>
      <c r="N1829" s="3">
        <f t="shared" si="140"/>
        <v>2161.42</v>
      </c>
      <c r="O1829" s="3">
        <f t="shared" si="141"/>
        <v>1913.29</v>
      </c>
      <c r="P1829" s="3">
        <f t="shared" si="142"/>
        <v>1492.46</v>
      </c>
      <c r="Q1829" s="3">
        <f t="shared" si="143"/>
        <v>420.83</v>
      </c>
      <c r="R1829" s="4">
        <f t="shared" si="144"/>
        <v>0.22</v>
      </c>
      <c r="S1829" s="2">
        <v>7</v>
      </c>
      <c r="T1829" t="s">
        <v>46</v>
      </c>
      <c r="U1829">
        <v>5</v>
      </c>
    </row>
    <row r="1830" spans="1:22" x14ac:dyDescent="0.25">
      <c r="A1830" s="1">
        <v>46104</v>
      </c>
      <c r="B1830" t="s">
        <v>2022</v>
      </c>
      <c r="C1830" t="s">
        <v>157</v>
      </c>
      <c r="D1830" t="s">
        <v>130</v>
      </c>
      <c r="E1830" t="s">
        <v>72</v>
      </c>
      <c r="F1830" t="s">
        <v>64</v>
      </c>
      <c r="G1830" t="s">
        <v>51</v>
      </c>
      <c r="H1830" t="s">
        <v>59</v>
      </c>
      <c r="I1830" t="s">
        <v>94</v>
      </c>
      <c r="J1830" s="2">
        <v>1</v>
      </c>
      <c r="K1830" s="3">
        <v>2311.2800000000002</v>
      </c>
      <c r="L1830" s="3">
        <v>1498.84</v>
      </c>
      <c r="M1830" s="4">
        <v>6.1499999999999999E-2</v>
      </c>
      <c r="N1830" s="3">
        <f t="shared" si="140"/>
        <v>2311.2800000000002</v>
      </c>
      <c r="O1830" s="3">
        <f t="shared" si="141"/>
        <v>2169.14</v>
      </c>
      <c r="P1830" s="3">
        <f t="shared" si="142"/>
        <v>1498.84</v>
      </c>
      <c r="Q1830" s="3">
        <f t="shared" si="143"/>
        <v>670.3</v>
      </c>
      <c r="R1830" s="4">
        <f t="shared" si="144"/>
        <v>0.309</v>
      </c>
      <c r="S1830" s="2">
        <v>11</v>
      </c>
      <c r="T1830" t="s">
        <v>30</v>
      </c>
      <c r="U1830">
        <v>4</v>
      </c>
    </row>
    <row r="1831" spans="1:22" x14ac:dyDescent="0.25">
      <c r="A1831" s="1">
        <v>46122</v>
      </c>
      <c r="B1831" t="s">
        <v>2023</v>
      </c>
      <c r="C1831" t="s">
        <v>275</v>
      </c>
      <c r="D1831" t="s">
        <v>207</v>
      </c>
      <c r="E1831" t="s">
        <v>35</v>
      </c>
      <c r="F1831" t="s">
        <v>26</v>
      </c>
      <c r="G1831" t="s">
        <v>27</v>
      </c>
      <c r="H1831" t="s">
        <v>86</v>
      </c>
      <c r="I1831" t="s">
        <v>53</v>
      </c>
      <c r="J1831" s="2">
        <v>5</v>
      </c>
      <c r="K1831" s="3">
        <v>1974.87</v>
      </c>
      <c r="L1831" s="3">
        <v>1199.54</v>
      </c>
      <c r="M1831" s="4">
        <v>0</v>
      </c>
      <c r="N1831" s="3">
        <f t="shared" si="140"/>
        <v>9874.35</v>
      </c>
      <c r="O1831" s="3">
        <f t="shared" si="141"/>
        <v>9874.35</v>
      </c>
      <c r="P1831" s="3">
        <f t="shared" si="142"/>
        <v>5997.7</v>
      </c>
      <c r="Q1831" s="3">
        <f t="shared" si="143"/>
        <v>3876.65</v>
      </c>
      <c r="R1831" s="4">
        <f t="shared" si="144"/>
        <v>0.3926</v>
      </c>
      <c r="S1831" s="2">
        <v>5</v>
      </c>
      <c r="T1831" t="s">
        <v>46</v>
      </c>
      <c r="U1831">
        <v>3</v>
      </c>
    </row>
    <row r="1832" spans="1:22" x14ac:dyDescent="0.25">
      <c r="A1832" s="1">
        <v>46134</v>
      </c>
      <c r="B1832" t="s">
        <v>2024</v>
      </c>
      <c r="C1832" t="s">
        <v>514</v>
      </c>
      <c r="D1832" t="s">
        <v>43</v>
      </c>
      <c r="E1832" t="s">
        <v>25</v>
      </c>
      <c r="F1832" t="s">
        <v>26</v>
      </c>
      <c r="G1832" t="s">
        <v>51</v>
      </c>
      <c r="H1832" t="s">
        <v>52</v>
      </c>
      <c r="I1832" t="s">
        <v>65</v>
      </c>
      <c r="J1832" s="2">
        <v>1</v>
      </c>
      <c r="K1832" s="3">
        <v>256.91000000000003</v>
      </c>
      <c r="L1832" s="3">
        <v>124.45</v>
      </c>
      <c r="M1832" s="4">
        <v>0</v>
      </c>
      <c r="N1832" s="3">
        <f t="shared" si="140"/>
        <v>256.91000000000003</v>
      </c>
      <c r="O1832" s="3">
        <f t="shared" si="141"/>
        <v>256.91000000000003</v>
      </c>
      <c r="P1832" s="3">
        <f t="shared" si="142"/>
        <v>124.45</v>
      </c>
      <c r="Q1832" s="3">
        <f t="shared" si="143"/>
        <v>132.46</v>
      </c>
      <c r="R1832" s="4">
        <f t="shared" si="144"/>
        <v>0.51559999999999995</v>
      </c>
      <c r="S1832" s="2">
        <v>14</v>
      </c>
      <c r="T1832" t="s">
        <v>30</v>
      </c>
      <c r="U1832">
        <v>4</v>
      </c>
    </row>
    <row r="1833" spans="1:22" x14ac:dyDescent="0.25">
      <c r="A1833" s="1">
        <v>46089</v>
      </c>
      <c r="B1833" t="s">
        <v>2025</v>
      </c>
      <c r="C1833" t="s">
        <v>466</v>
      </c>
      <c r="D1833" t="s">
        <v>43</v>
      </c>
      <c r="E1833" t="s">
        <v>25</v>
      </c>
      <c r="F1833" t="s">
        <v>36</v>
      </c>
      <c r="G1833" t="s">
        <v>27</v>
      </c>
      <c r="H1833" t="s">
        <v>28</v>
      </c>
      <c r="I1833" t="s">
        <v>60</v>
      </c>
      <c r="J1833" s="2">
        <v>1</v>
      </c>
      <c r="K1833" s="3">
        <v>765.21</v>
      </c>
      <c r="L1833" s="3">
        <v>486.95</v>
      </c>
      <c r="M1833" s="4">
        <v>0</v>
      </c>
      <c r="N1833" s="3">
        <f t="shared" si="140"/>
        <v>765.21</v>
      </c>
      <c r="O1833" s="3">
        <f t="shared" si="141"/>
        <v>765.21</v>
      </c>
      <c r="P1833" s="3">
        <f t="shared" si="142"/>
        <v>486.95</v>
      </c>
      <c r="Q1833" s="3">
        <f t="shared" si="143"/>
        <v>278.26</v>
      </c>
      <c r="R1833" s="4">
        <f t="shared" si="144"/>
        <v>0.36359999999999998</v>
      </c>
      <c r="S1833" s="2">
        <v>2</v>
      </c>
      <c r="T1833" t="s">
        <v>46</v>
      </c>
      <c r="U1833">
        <v>2</v>
      </c>
    </row>
    <row r="1834" spans="1:22" x14ac:dyDescent="0.25">
      <c r="A1834" s="1">
        <v>46131</v>
      </c>
      <c r="B1834" t="s">
        <v>2026</v>
      </c>
      <c r="C1834" t="s">
        <v>138</v>
      </c>
      <c r="D1834" t="s">
        <v>43</v>
      </c>
      <c r="E1834" t="s">
        <v>25</v>
      </c>
      <c r="F1834" t="s">
        <v>64</v>
      </c>
      <c r="G1834" t="s">
        <v>44</v>
      </c>
      <c r="H1834" t="s">
        <v>45</v>
      </c>
      <c r="I1834" t="s">
        <v>74</v>
      </c>
      <c r="J1834" s="2">
        <v>3</v>
      </c>
      <c r="K1834" s="3">
        <v>412.58</v>
      </c>
      <c r="L1834" s="3">
        <v>225.79</v>
      </c>
      <c r="M1834" s="4">
        <v>0</v>
      </c>
      <c r="N1834" s="3">
        <f t="shared" si="140"/>
        <v>1237.74</v>
      </c>
      <c r="O1834" s="3">
        <f t="shared" si="141"/>
        <v>1237.74</v>
      </c>
      <c r="P1834" s="3">
        <f t="shared" si="142"/>
        <v>677.37</v>
      </c>
      <c r="Q1834" s="3">
        <f t="shared" si="143"/>
        <v>560.37</v>
      </c>
      <c r="R1834" s="4">
        <f t="shared" si="144"/>
        <v>0.45269999999999999</v>
      </c>
      <c r="S1834" s="2">
        <v>9</v>
      </c>
      <c r="T1834" t="s">
        <v>46</v>
      </c>
      <c r="U1834">
        <v>4</v>
      </c>
    </row>
    <row r="1835" spans="1:22" x14ac:dyDescent="0.25">
      <c r="A1835" s="1">
        <v>46044</v>
      </c>
      <c r="B1835" t="s">
        <v>2027</v>
      </c>
      <c r="C1835" t="s">
        <v>134</v>
      </c>
      <c r="D1835" t="s">
        <v>113</v>
      </c>
      <c r="E1835" t="s">
        <v>50</v>
      </c>
      <c r="F1835" t="s">
        <v>58</v>
      </c>
      <c r="G1835" t="s">
        <v>51</v>
      </c>
      <c r="H1835" t="s">
        <v>116</v>
      </c>
      <c r="I1835" t="s">
        <v>92</v>
      </c>
      <c r="J1835" s="2">
        <v>3</v>
      </c>
      <c r="K1835" s="3">
        <v>2628</v>
      </c>
      <c r="L1835" s="3">
        <v>1799.96</v>
      </c>
      <c r="M1835" s="4">
        <v>0.1095</v>
      </c>
      <c r="N1835" s="3">
        <f t="shared" si="140"/>
        <v>7884</v>
      </c>
      <c r="O1835" s="3">
        <f t="shared" si="141"/>
        <v>7020.7</v>
      </c>
      <c r="P1835" s="3">
        <f t="shared" si="142"/>
        <v>5399.88</v>
      </c>
      <c r="Q1835" s="3">
        <f t="shared" si="143"/>
        <v>1620.82</v>
      </c>
      <c r="R1835" s="4">
        <f t="shared" si="144"/>
        <v>0.23089999999999999</v>
      </c>
      <c r="S1835" s="2">
        <v>4</v>
      </c>
      <c r="T1835" t="s">
        <v>46</v>
      </c>
      <c r="U1835">
        <v>4</v>
      </c>
    </row>
    <row r="1836" spans="1:22" x14ac:dyDescent="0.25">
      <c r="A1836" s="1">
        <v>46148</v>
      </c>
      <c r="B1836" t="s">
        <v>2028</v>
      </c>
      <c r="C1836" t="s">
        <v>329</v>
      </c>
      <c r="D1836" t="s">
        <v>71</v>
      </c>
      <c r="E1836" t="s">
        <v>72</v>
      </c>
      <c r="F1836" t="s">
        <v>26</v>
      </c>
      <c r="G1836" t="s">
        <v>51</v>
      </c>
      <c r="H1836" t="s">
        <v>116</v>
      </c>
      <c r="I1836" t="s">
        <v>77</v>
      </c>
      <c r="J1836" s="2">
        <v>3</v>
      </c>
      <c r="K1836" s="3">
        <v>2702.79</v>
      </c>
      <c r="L1836" s="3">
        <v>1912.06</v>
      </c>
      <c r="M1836" s="4">
        <v>0</v>
      </c>
      <c r="N1836" s="3">
        <f t="shared" si="140"/>
        <v>8108.37</v>
      </c>
      <c r="O1836" s="3">
        <f t="shared" si="141"/>
        <v>8108.37</v>
      </c>
      <c r="P1836" s="3">
        <f t="shared" si="142"/>
        <v>5736.18</v>
      </c>
      <c r="Q1836" s="3">
        <f t="shared" si="143"/>
        <v>2372.19</v>
      </c>
      <c r="R1836" s="4">
        <f t="shared" si="144"/>
        <v>0.29260000000000003</v>
      </c>
      <c r="S1836" s="2">
        <v>6</v>
      </c>
      <c r="T1836" t="s">
        <v>46</v>
      </c>
      <c r="U1836">
        <v>5</v>
      </c>
    </row>
    <row r="1837" spans="1:22" x14ac:dyDescent="0.25">
      <c r="A1837" s="1">
        <v>46220</v>
      </c>
      <c r="B1837" t="s">
        <v>2029</v>
      </c>
      <c r="C1837" t="s">
        <v>67</v>
      </c>
      <c r="D1837" t="s">
        <v>113</v>
      </c>
      <c r="E1837" t="s">
        <v>50</v>
      </c>
      <c r="F1837" t="s">
        <v>26</v>
      </c>
      <c r="G1837" t="s">
        <v>44</v>
      </c>
      <c r="H1837" t="s">
        <v>73</v>
      </c>
      <c r="I1837" t="s">
        <v>74</v>
      </c>
      <c r="J1837" s="2">
        <v>8</v>
      </c>
      <c r="K1837" s="3">
        <v>1609.75</v>
      </c>
      <c r="L1837" s="3">
        <v>1039.6300000000001</v>
      </c>
      <c r="M1837" s="4">
        <v>2.0400000000000001E-2</v>
      </c>
      <c r="N1837" s="3">
        <f t="shared" si="140"/>
        <v>12878</v>
      </c>
      <c r="O1837" s="3">
        <f t="shared" si="141"/>
        <v>12615.29</v>
      </c>
      <c r="P1837" s="3">
        <f t="shared" si="142"/>
        <v>8317.0400000000009</v>
      </c>
      <c r="Q1837" s="3">
        <f t="shared" si="143"/>
        <v>4298.25</v>
      </c>
      <c r="R1837" s="4">
        <f t="shared" si="144"/>
        <v>0.3407</v>
      </c>
      <c r="S1837" s="2">
        <v>5</v>
      </c>
      <c r="T1837" t="s">
        <v>46</v>
      </c>
      <c r="U1837">
        <v>2</v>
      </c>
    </row>
    <row r="1838" spans="1:22" x14ac:dyDescent="0.25">
      <c r="A1838" s="1">
        <v>46172</v>
      </c>
      <c r="B1838" t="s">
        <v>2030</v>
      </c>
      <c r="C1838" t="s">
        <v>523</v>
      </c>
      <c r="D1838" t="s">
        <v>56</v>
      </c>
      <c r="E1838" t="s">
        <v>57</v>
      </c>
      <c r="F1838" t="s">
        <v>26</v>
      </c>
      <c r="G1838" t="s">
        <v>44</v>
      </c>
      <c r="H1838" t="s">
        <v>45</v>
      </c>
      <c r="I1838" t="s">
        <v>53</v>
      </c>
      <c r="J1838" s="2">
        <v>4</v>
      </c>
      <c r="K1838" s="3">
        <v>366.94</v>
      </c>
      <c r="L1838" s="3">
        <v>206.63</v>
      </c>
      <c r="M1838" s="4">
        <v>0</v>
      </c>
      <c r="N1838" s="3">
        <f t="shared" si="140"/>
        <v>1467.76</v>
      </c>
      <c r="O1838" s="3">
        <f t="shared" si="141"/>
        <v>1467.76</v>
      </c>
      <c r="P1838" s="3">
        <f t="shared" si="142"/>
        <v>826.52</v>
      </c>
      <c r="Q1838" s="3">
        <f t="shared" si="143"/>
        <v>641.24</v>
      </c>
      <c r="R1838" s="4">
        <f t="shared" si="144"/>
        <v>0.43690000000000001</v>
      </c>
      <c r="S1838" s="2">
        <v>11</v>
      </c>
      <c r="T1838" t="s">
        <v>30</v>
      </c>
      <c r="U1838">
        <v>5</v>
      </c>
    </row>
    <row r="1839" spans="1:22" x14ac:dyDescent="0.25">
      <c r="A1839" s="1">
        <v>46151</v>
      </c>
      <c r="B1839" t="s">
        <v>2031</v>
      </c>
      <c r="C1839" t="s">
        <v>180</v>
      </c>
      <c r="D1839" t="s">
        <v>113</v>
      </c>
      <c r="E1839" t="s">
        <v>50</v>
      </c>
      <c r="F1839" t="s">
        <v>58</v>
      </c>
      <c r="G1839" t="s">
        <v>51</v>
      </c>
      <c r="H1839" t="s">
        <v>52</v>
      </c>
      <c r="I1839" t="s">
        <v>87</v>
      </c>
      <c r="J1839" s="2">
        <v>7</v>
      </c>
      <c r="K1839" s="3">
        <v>251.56</v>
      </c>
      <c r="L1839" s="3">
        <v>121.23</v>
      </c>
      <c r="M1839" s="4">
        <v>3.5099999999999999E-2</v>
      </c>
      <c r="N1839" s="3">
        <f t="shared" si="140"/>
        <v>1760.92</v>
      </c>
      <c r="O1839" s="3">
        <f t="shared" si="141"/>
        <v>1699.11</v>
      </c>
      <c r="P1839" s="3">
        <f t="shared" si="142"/>
        <v>848.61</v>
      </c>
      <c r="Q1839" s="3">
        <f t="shared" si="143"/>
        <v>850.5</v>
      </c>
      <c r="R1839" s="4">
        <f t="shared" si="144"/>
        <v>0.50060000000000004</v>
      </c>
      <c r="S1839" s="2">
        <v>3</v>
      </c>
      <c r="T1839" t="s">
        <v>46</v>
      </c>
      <c r="U1839">
        <v>3</v>
      </c>
    </row>
    <row r="1840" spans="1:22" x14ac:dyDescent="0.25">
      <c r="A1840" s="1">
        <v>46094</v>
      </c>
      <c r="B1840" t="s">
        <v>2032</v>
      </c>
      <c r="C1840" t="s">
        <v>520</v>
      </c>
      <c r="D1840" t="s">
        <v>43</v>
      </c>
      <c r="E1840" t="s">
        <v>25</v>
      </c>
      <c r="F1840" t="s">
        <v>64</v>
      </c>
      <c r="G1840" t="s">
        <v>44</v>
      </c>
      <c r="H1840" t="s">
        <v>73</v>
      </c>
      <c r="I1840" t="s">
        <v>92</v>
      </c>
      <c r="J1840" s="2">
        <v>5</v>
      </c>
      <c r="K1840" s="3">
        <v>1639.66</v>
      </c>
      <c r="L1840" s="3">
        <v>1129.54</v>
      </c>
      <c r="M1840" s="4">
        <v>0.11020000000000001</v>
      </c>
      <c r="N1840" s="3">
        <f t="shared" si="140"/>
        <v>8198.2999999999993</v>
      </c>
      <c r="O1840" s="3">
        <f t="shared" si="141"/>
        <v>7294.85</v>
      </c>
      <c r="P1840" s="3">
        <f t="shared" si="142"/>
        <v>5647.7</v>
      </c>
      <c r="Q1840" s="3">
        <f t="shared" si="143"/>
        <v>1647.15</v>
      </c>
      <c r="R1840" s="4">
        <f t="shared" si="144"/>
        <v>0.2258</v>
      </c>
      <c r="S1840" s="2">
        <v>2</v>
      </c>
      <c r="T1840" t="s">
        <v>46</v>
      </c>
      <c r="U1840">
        <v>5</v>
      </c>
    </row>
    <row r="1841" spans="1:21" x14ac:dyDescent="0.25">
      <c r="A1841" s="1">
        <v>46146</v>
      </c>
      <c r="B1841" t="s">
        <v>2033</v>
      </c>
      <c r="C1841" t="s">
        <v>123</v>
      </c>
      <c r="D1841" t="s">
        <v>101</v>
      </c>
      <c r="E1841" t="s">
        <v>35</v>
      </c>
      <c r="F1841" t="s">
        <v>36</v>
      </c>
      <c r="G1841" t="s">
        <v>44</v>
      </c>
      <c r="H1841" t="s">
        <v>124</v>
      </c>
      <c r="I1841" t="s">
        <v>39</v>
      </c>
      <c r="J1841" s="2">
        <v>1</v>
      </c>
      <c r="K1841" s="3">
        <v>5919.13</v>
      </c>
      <c r="L1841" s="3">
        <v>4274.12</v>
      </c>
      <c r="M1841" s="4">
        <v>0</v>
      </c>
      <c r="N1841" s="3">
        <f t="shared" si="140"/>
        <v>5919.13</v>
      </c>
      <c r="O1841" s="3">
        <f t="shared" si="141"/>
        <v>5919.13</v>
      </c>
      <c r="P1841" s="3">
        <f t="shared" si="142"/>
        <v>4274.12</v>
      </c>
      <c r="Q1841" s="3">
        <f t="shared" si="143"/>
        <v>1645.01</v>
      </c>
      <c r="R1841" s="4">
        <f t="shared" si="144"/>
        <v>0.27789999999999998</v>
      </c>
      <c r="S1841" s="2">
        <v>8</v>
      </c>
      <c r="T1841" t="s">
        <v>46</v>
      </c>
      <c r="U1841">
        <v>2</v>
      </c>
    </row>
    <row r="1842" spans="1:21" x14ac:dyDescent="0.25">
      <c r="A1842" s="1">
        <v>46062</v>
      </c>
      <c r="B1842" t="s">
        <v>2034</v>
      </c>
      <c r="C1842" t="s">
        <v>100</v>
      </c>
      <c r="D1842" t="s">
        <v>43</v>
      </c>
      <c r="E1842" t="s">
        <v>25</v>
      </c>
      <c r="F1842" t="s">
        <v>36</v>
      </c>
      <c r="G1842" t="s">
        <v>44</v>
      </c>
      <c r="H1842" t="s">
        <v>73</v>
      </c>
      <c r="I1842" t="s">
        <v>65</v>
      </c>
      <c r="J1842" s="2">
        <v>5</v>
      </c>
      <c r="K1842" s="3">
        <v>1605.52</v>
      </c>
      <c r="L1842" s="3">
        <v>1101.18</v>
      </c>
      <c r="M1842" s="4">
        <v>8.4000000000000005E-2</v>
      </c>
      <c r="N1842" s="3">
        <f t="shared" si="140"/>
        <v>8027.6</v>
      </c>
      <c r="O1842" s="3">
        <f t="shared" si="141"/>
        <v>7353.28</v>
      </c>
      <c r="P1842" s="3">
        <f t="shared" si="142"/>
        <v>5505.9</v>
      </c>
      <c r="Q1842" s="3">
        <f t="shared" si="143"/>
        <v>1847.38</v>
      </c>
      <c r="R1842" s="4">
        <f t="shared" si="144"/>
        <v>0.25119999999999998</v>
      </c>
      <c r="S1842" s="2">
        <v>7</v>
      </c>
      <c r="T1842" t="s">
        <v>46</v>
      </c>
      <c r="U1842">
        <v>3</v>
      </c>
    </row>
    <row r="1843" spans="1:21" x14ac:dyDescent="0.25">
      <c r="A1843" s="1">
        <v>46053</v>
      </c>
      <c r="B1843" t="s">
        <v>2035</v>
      </c>
      <c r="C1843" t="s">
        <v>514</v>
      </c>
      <c r="D1843" t="s">
        <v>49</v>
      </c>
      <c r="E1843" t="s">
        <v>50</v>
      </c>
      <c r="F1843" t="s">
        <v>36</v>
      </c>
      <c r="G1843" t="s">
        <v>51</v>
      </c>
      <c r="H1843" t="s">
        <v>116</v>
      </c>
      <c r="I1843" t="s">
        <v>39</v>
      </c>
      <c r="J1843" s="2">
        <v>4</v>
      </c>
      <c r="K1843" s="3">
        <v>2627.55</v>
      </c>
      <c r="L1843" s="3">
        <v>1810.26</v>
      </c>
      <c r="M1843" s="4">
        <v>0.1123</v>
      </c>
      <c r="N1843" s="3">
        <f t="shared" si="140"/>
        <v>10510.2</v>
      </c>
      <c r="O1843" s="3">
        <f t="shared" si="141"/>
        <v>9329.9</v>
      </c>
      <c r="P1843" s="3">
        <f t="shared" si="142"/>
        <v>7241.04</v>
      </c>
      <c r="Q1843" s="3">
        <f t="shared" si="143"/>
        <v>2088.86</v>
      </c>
      <c r="R1843" s="4">
        <f t="shared" si="144"/>
        <v>0.22389999999999999</v>
      </c>
      <c r="S1843" s="2">
        <v>7</v>
      </c>
      <c r="T1843" t="s">
        <v>46</v>
      </c>
      <c r="U1843">
        <v>2</v>
      </c>
    </row>
    <row r="1844" spans="1:21" x14ac:dyDescent="0.25">
      <c r="A1844" s="1">
        <v>46040</v>
      </c>
      <c r="B1844" t="s">
        <v>2036</v>
      </c>
      <c r="C1844" t="s">
        <v>148</v>
      </c>
      <c r="D1844" t="s">
        <v>85</v>
      </c>
      <c r="E1844" t="s">
        <v>50</v>
      </c>
      <c r="F1844" t="s">
        <v>64</v>
      </c>
      <c r="G1844" t="s">
        <v>44</v>
      </c>
      <c r="H1844" t="s">
        <v>124</v>
      </c>
      <c r="I1844" t="s">
        <v>77</v>
      </c>
      <c r="J1844" s="2">
        <v>3</v>
      </c>
      <c r="K1844" s="3">
        <v>5567.07</v>
      </c>
      <c r="L1844" s="3">
        <v>4307.68</v>
      </c>
      <c r="M1844" s="4">
        <v>0</v>
      </c>
      <c r="N1844" s="3">
        <f t="shared" si="140"/>
        <v>16701.21</v>
      </c>
      <c r="O1844" s="3">
        <f t="shared" si="141"/>
        <v>16701.21</v>
      </c>
      <c r="P1844" s="3">
        <f t="shared" si="142"/>
        <v>12923.04</v>
      </c>
      <c r="Q1844" s="3">
        <f t="shared" si="143"/>
        <v>3778.17</v>
      </c>
      <c r="R1844" s="4">
        <f t="shared" si="144"/>
        <v>0.22620000000000001</v>
      </c>
      <c r="S1844" s="2">
        <v>12</v>
      </c>
      <c r="T1844" t="s">
        <v>30</v>
      </c>
      <c r="U1844">
        <v>3</v>
      </c>
    </row>
    <row r="1845" spans="1:21" x14ac:dyDescent="0.25">
      <c r="A1845" s="1">
        <v>46044</v>
      </c>
      <c r="B1845" t="s">
        <v>2037</v>
      </c>
      <c r="C1845" t="s">
        <v>266</v>
      </c>
      <c r="D1845" t="s">
        <v>43</v>
      </c>
      <c r="E1845" t="s">
        <v>25</v>
      </c>
      <c r="F1845" t="s">
        <v>26</v>
      </c>
      <c r="G1845" t="s">
        <v>44</v>
      </c>
      <c r="H1845" t="s">
        <v>73</v>
      </c>
      <c r="I1845" t="s">
        <v>77</v>
      </c>
      <c r="J1845" s="2">
        <v>1</v>
      </c>
      <c r="K1845" s="3">
        <v>1588.7</v>
      </c>
      <c r="L1845" s="3">
        <v>1170.22</v>
      </c>
      <c r="M1845" s="4">
        <v>7.3800000000000004E-2</v>
      </c>
      <c r="N1845" s="3">
        <f t="shared" si="140"/>
        <v>1588.7</v>
      </c>
      <c r="O1845" s="3">
        <f t="shared" si="141"/>
        <v>1471.45</v>
      </c>
      <c r="P1845" s="3">
        <f t="shared" si="142"/>
        <v>1170.22</v>
      </c>
      <c r="Q1845" s="3">
        <f t="shared" si="143"/>
        <v>301.23</v>
      </c>
      <c r="R1845" s="4">
        <f t="shared" si="144"/>
        <v>0.20469999999999999</v>
      </c>
      <c r="S1845" s="2">
        <v>4</v>
      </c>
      <c r="T1845" t="s">
        <v>46</v>
      </c>
      <c r="U1845">
        <v>3</v>
      </c>
    </row>
    <row r="1846" spans="1:21" x14ac:dyDescent="0.25">
      <c r="A1846" s="1">
        <v>46214</v>
      </c>
      <c r="B1846" t="s">
        <v>2038</v>
      </c>
      <c r="C1846" t="s">
        <v>204</v>
      </c>
      <c r="D1846" t="s">
        <v>101</v>
      </c>
      <c r="E1846" t="s">
        <v>35</v>
      </c>
      <c r="F1846" t="s">
        <v>26</v>
      </c>
      <c r="G1846" t="s">
        <v>44</v>
      </c>
      <c r="H1846" t="s">
        <v>124</v>
      </c>
      <c r="I1846" t="s">
        <v>60</v>
      </c>
      <c r="J1846" s="2">
        <v>1</v>
      </c>
      <c r="K1846" s="3">
        <v>5692.34</v>
      </c>
      <c r="L1846" s="3">
        <v>4297.78</v>
      </c>
      <c r="M1846" s="4">
        <v>0.1081</v>
      </c>
      <c r="N1846" s="3">
        <f t="shared" si="140"/>
        <v>5692.34</v>
      </c>
      <c r="O1846" s="3">
        <f t="shared" si="141"/>
        <v>5077</v>
      </c>
      <c r="P1846" s="3">
        <f t="shared" si="142"/>
        <v>4297.78</v>
      </c>
      <c r="Q1846" s="3">
        <f t="shared" si="143"/>
        <v>779.22</v>
      </c>
      <c r="R1846" s="4">
        <f t="shared" si="144"/>
        <v>0.1535</v>
      </c>
      <c r="S1846" s="2">
        <v>14</v>
      </c>
      <c r="T1846" t="s">
        <v>30</v>
      </c>
      <c r="U1846">
        <v>3</v>
      </c>
    </row>
    <row r="1847" spans="1:21" x14ac:dyDescent="0.25">
      <c r="A1847" s="1">
        <v>46113</v>
      </c>
      <c r="B1847" t="s">
        <v>2039</v>
      </c>
      <c r="C1847" t="s">
        <v>349</v>
      </c>
      <c r="D1847" t="s">
        <v>126</v>
      </c>
      <c r="E1847" t="s">
        <v>57</v>
      </c>
      <c r="F1847" t="s">
        <v>64</v>
      </c>
      <c r="G1847" t="s">
        <v>51</v>
      </c>
      <c r="H1847" t="s">
        <v>52</v>
      </c>
      <c r="I1847" t="s">
        <v>87</v>
      </c>
      <c r="J1847" s="2">
        <v>7</v>
      </c>
      <c r="K1847" s="3">
        <v>272.45</v>
      </c>
      <c r="L1847" s="3">
        <v>120.03</v>
      </c>
      <c r="M1847" s="4">
        <v>5.3199999999999997E-2</v>
      </c>
      <c r="N1847" s="3">
        <f t="shared" si="140"/>
        <v>1907.15</v>
      </c>
      <c r="O1847" s="3">
        <f t="shared" si="141"/>
        <v>1805.69</v>
      </c>
      <c r="P1847" s="3">
        <f t="shared" si="142"/>
        <v>840.21</v>
      </c>
      <c r="Q1847" s="3">
        <f t="shared" si="143"/>
        <v>965.48</v>
      </c>
      <c r="R1847" s="4">
        <f t="shared" si="144"/>
        <v>0.53469999999999995</v>
      </c>
      <c r="S1847" s="2">
        <v>9</v>
      </c>
      <c r="T1847" t="s">
        <v>46</v>
      </c>
      <c r="U1847">
        <v>2</v>
      </c>
    </row>
    <row r="1848" spans="1:21" x14ac:dyDescent="0.25">
      <c r="A1848" s="1">
        <v>46106</v>
      </c>
      <c r="B1848" t="s">
        <v>2040</v>
      </c>
      <c r="C1848" t="s">
        <v>76</v>
      </c>
      <c r="D1848" t="s">
        <v>71</v>
      </c>
      <c r="E1848" t="s">
        <v>72</v>
      </c>
      <c r="F1848" t="s">
        <v>64</v>
      </c>
      <c r="G1848" t="s">
        <v>37</v>
      </c>
      <c r="H1848" t="s">
        <v>38</v>
      </c>
      <c r="I1848" t="s">
        <v>77</v>
      </c>
      <c r="J1848" s="2">
        <v>2</v>
      </c>
      <c r="K1848" s="3">
        <v>422.21</v>
      </c>
      <c r="L1848" s="3">
        <v>198.17</v>
      </c>
      <c r="M1848" s="4">
        <v>0</v>
      </c>
      <c r="N1848" s="3">
        <f t="shared" si="140"/>
        <v>844.42</v>
      </c>
      <c r="O1848" s="3">
        <f t="shared" si="141"/>
        <v>844.42</v>
      </c>
      <c r="P1848" s="3">
        <f t="shared" si="142"/>
        <v>396.34</v>
      </c>
      <c r="Q1848" s="3">
        <f t="shared" si="143"/>
        <v>448.08</v>
      </c>
      <c r="R1848" s="4">
        <f t="shared" si="144"/>
        <v>0.53059999999999996</v>
      </c>
      <c r="S1848" s="2">
        <v>3</v>
      </c>
      <c r="T1848" t="s">
        <v>46</v>
      </c>
      <c r="U1848">
        <v>5</v>
      </c>
    </row>
    <row r="1849" spans="1:21" x14ac:dyDescent="0.25">
      <c r="A1849" s="1">
        <v>46125</v>
      </c>
      <c r="B1849" t="s">
        <v>2041</v>
      </c>
      <c r="C1849" t="s">
        <v>214</v>
      </c>
      <c r="D1849" t="s">
        <v>113</v>
      </c>
      <c r="E1849" t="s">
        <v>50</v>
      </c>
      <c r="F1849" t="s">
        <v>64</v>
      </c>
      <c r="G1849" t="s">
        <v>51</v>
      </c>
      <c r="H1849" t="s">
        <v>52</v>
      </c>
      <c r="I1849" t="s">
        <v>74</v>
      </c>
      <c r="J1849" s="2">
        <v>3</v>
      </c>
      <c r="K1849" s="3">
        <v>272.86</v>
      </c>
      <c r="L1849" s="3">
        <v>121.49</v>
      </c>
      <c r="M1849" s="4">
        <v>8.0000000000000002E-3</v>
      </c>
      <c r="N1849" s="3">
        <f t="shared" si="140"/>
        <v>818.58</v>
      </c>
      <c r="O1849" s="3">
        <f t="shared" si="141"/>
        <v>812.03</v>
      </c>
      <c r="P1849" s="3">
        <f t="shared" si="142"/>
        <v>364.47</v>
      </c>
      <c r="Q1849" s="3">
        <f t="shared" si="143"/>
        <v>447.56</v>
      </c>
      <c r="R1849" s="4">
        <f t="shared" si="144"/>
        <v>0.55120000000000002</v>
      </c>
      <c r="S1849" s="2">
        <v>7</v>
      </c>
      <c r="T1849" t="s">
        <v>40</v>
      </c>
    </row>
    <row r="1850" spans="1:21" x14ac:dyDescent="0.25">
      <c r="A1850" s="1">
        <v>46174</v>
      </c>
      <c r="B1850" t="s">
        <v>2042</v>
      </c>
      <c r="C1850" t="s">
        <v>520</v>
      </c>
      <c r="D1850" t="s">
        <v>126</v>
      </c>
      <c r="E1850" t="s">
        <v>57</v>
      </c>
      <c r="F1850" t="s">
        <v>58</v>
      </c>
      <c r="G1850" t="s">
        <v>37</v>
      </c>
      <c r="H1850" t="s">
        <v>104</v>
      </c>
      <c r="I1850" t="s">
        <v>92</v>
      </c>
      <c r="J1850" s="2">
        <v>1</v>
      </c>
      <c r="K1850" s="3">
        <v>329.05</v>
      </c>
      <c r="L1850" s="3">
        <v>129.99</v>
      </c>
      <c r="M1850" s="4">
        <v>3.5000000000000003E-2</v>
      </c>
      <c r="N1850" s="3">
        <f t="shared" si="140"/>
        <v>329.05</v>
      </c>
      <c r="O1850" s="3">
        <f t="shared" si="141"/>
        <v>317.52999999999997</v>
      </c>
      <c r="P1850" s="3">
        <f t="shared" si="142"/>
        <v>129.99</v>
      </c>
      <c r="Q1850" s="3">
        <f t="shared" si="143"/>
        <v>187.54</v>
      </c>
      <c r="R1850" s="4">
        <f t="shared" si="144"/>
        <v>0.59060000000000001</v>
      </c>
      <c r="S1850" s="2">
        <v>5</v>
      </c>
      <c r="T1850" t="s">
        <v>46</v>
      </c>
      <c r="U1850">
        <v>2</v>
      </c>
    </row>
    <row r="1851" spans="1:21" x14ac:dyDescent="0.25">
      <c r="A1851" s="1">
        <v>46187</v>
      </c>
      <c r="B1851" t="s">
        <v>2043</v>
      </c>
      <c r="C1851" t="s">
        <v>206</v>
      </c>
      <c r="D1851" t="s">
        <v>34</v>
      </c>
      <c r="E1851" t="s">
        <v>35</v>
      </c>
      <c r="F1851" t="s">
        <v>36</v>
      </c>
      <c r="G1851" t="s">
        <v>44</v>
      </c>
      <c r="H1851" t="s">
        <v>45</v>
      </c>
      <c r="I1851" t="s">
        <v>39</v>
      </c>
      <c r="J1851" s="2">
        <v>8</v>
      </c>
      <c r="K1851" s="3">
        <v>405.48</v>
      </c>
      <c r="L1851" s="3">
        <v>214.72</v>
      </c>
      <c r="M1851" s="4">
        <v>0</v>
      </c>
      <c r="N1851" s="3">
        <f t="shared" si="140"/>
        <v>3243.84</v>
      </c>
      <c r="O1851" s="3">
        <f t="shared" si="141"/>
        <v>3243.84</v>
      </c>
      <c r="P1851" s="3">
        <f t="shared" si="142"/>
        <v>1717.76</v>
      </c>
      <c r="Q1851" s="3">
        <f t="shared" si="143"/>
        <v>1526.08</v>
      </c>
      <c r="R1851" s="4">
        <f t="shared" si="144"/>
        <v>0.47049999999999997</v>
      </c>
      <c r="S1851" s="2">
        <v>12</v>
      </c>
      <c r="T1851" t="s">
        <v>30</v>
      </c>
      <c r="U1851">
        <v>5</v>
      </c>
    </row>
    <row r="1852" spans="1:21" x14ac:dyDescent="0.25">
      <c r="A1852" s="1">
        <v>46026</v>
      </c>
      <c r="B1852" t="s">
        <v>2044</v>
      </c>
      <c r="C1852" t="s">
        <v>170</v>
      </c>
      <c r="D1852" t="s">
        <v>85</v>
      </c>
      <c r="E1852" t="s">
        <v>50</v>
      </c>
      <c r="F1852" t="s">
        <v>36</v>
      </c>
      <c r="G1852" t="s">
        <v>51</v>
      </c>
      <c r="H1852" t="s">
        <v>52</v>
      </c>
      <c r="I1852" t="s">
        <v>29</v>
      </c>
      <c r="J1852" s="2">
        <v>5</v>
      </c>
      <c r="K1852" s="3">
        <v>260.8</v>
      </c>
      <c r="L1852" s="3">
        <v>121.96</v>
      </c>
      <c r="M1852" s="4">
        <v>3.6200000000000003E-2</v>
      </c>
      <c r="N1852" s="3">
        <f t="shared" si="140"/>
        <v>1304</v>
      </c>
      <c r="O1852" s="3">
        <f t="shared" si="141"/>
        <v>1256.8</v>
      </c>
      <c r="P1852" s="3">
        <f t="shared" si="142"/>
        <v>609.79999999999995</v>
      </c>
      <c r="Q1852" s="3">
        <f t="shared" si="143"/>
        <v>647</v>
      </c>
      <c r="R1852" s="4">
        <f t="shared" si="144"/>
        <v>0.51480000000000004</v>
      </c>
      <c r="S1852" s="2">
        <v>7</v>
      </c>
      <c r="T1852" t="s">
        <v>46</v>
      </c>
      <c r="U1852">
        <v>3</v>
      </c>
    </row>
    <row r="1853" spans="1:21" x14ac:dyDescent="0.25">
      <c r="A1853" s="1">
        <v>46131</v>
      </c>
      <c r="B1853" t="s">
        <v>2045</v>
      </c>
      <c r="C1853" t="s">
        <v>23</v>
      </c>
      <c r="D1853" t="s">
        <v>121</v>
      </c>
      <c r="E1853" t="s">
        <v>72</v>
      </c>
      <c r="F1853" t="s">
        <v>64</v>
      </c>
      <c r="G1853" t="s">
        <v>51</v>
      </c>
      <c r="H1853" t="s">
        <v>116</v>
      </c>
      <c r="I1853" t="s">
        <v>77</v>
      </c>
      <c r="J1853" s="2">
        <v>6</v>
      </c>
      <c r="K1853" s="3">
        <v>2791.11</v>
      </c>
      <c r="L1853" s="3">
        <v>1941.1</v>
      </c>
      <c r="M1853" s="4">
        <v>2.0000000000000001E-4</v>
      </c>
      <c r="N1853" s="3">
        <f t="shared" si="140"/>
        <v>16746.66</v>
      </c>
      <c r="O1853" s="3">
        <f t="shared" si="141"/>
        <v>16743.310000000001</v>
      </c>
      <c r="P1853" s="3">
        <f t="shared" si="142"/>
        <v>11646.6</v>
      </c>
      <c r="Q1853" s="3">
        <f t="shared" si="143"/>
        <v>5096.71</v>
      </c>
      <c r="R1853" s="4">
        <f t="shared" si="144"/>
        <v>0.3044</v>
      </c>
      <c r="S1853" s="2">
        <v>7</v>
      </c>
      <c r="T1853" t="s">
        <v>46</v>
      </c>
      <c r="U1853">
        <v>3</v>
      </c>
    </row>
    <row r="1854" spans="1:21" x14ac:dyDescent="0.25">
      <c r="A1854" s="1">
        <v>46092</v>
      </c>
      <c r="B1854" t="s">
        <v>2046</v>
      </c>
      <c r="C1854" t="s">
        <v>590</v>
      </c>
      <c r="D1854" t="s">
        <v>24</v>
      </c>
      <c r="E1854" t="s">
        <v>25</v>
      </c>
      <c r="F1854" t="s">
        <v>36</v>
      </c>
      <c r="G1854" t="s">
        <v>51</v>
      </c>
      <c r="H1854" t="s">
        <v>116</v>
      </c>
      <c r="I1854" t="s">
        <v>29</v>
      </c>
      <c r="J1854" s="2">
        <v>8</v>
      </c>
      <c r="K1854" s="3">
        <v>2868.89</v>
      </c>
      <c r="L1854" s="3">
        <v>1929.25</v>
      </c>
      <c r="M1854" s="4">
        <v>0</v>
      </c>
      <c r="N1854" s="3">
        <f t="shared" si="140"/>
        <v>22951.119999999999</v>
      </c>
      <c r="O1854" s="3">
        <f t="shared" si="141"/>
        <v>22951.119999999999</v>
      </c>
      <c r="P1854" s="3">
        <f t="shared" si="142"/>
        <v>15434</v>
      </c>
      <c r="Q1854" s="3">
        <f t="shared" si="143"/>
        <v>7517.12</v>
      </c>
      <c r="R1854" s="4">
        <f t="shared" si="144"/>
        <v>0.32750000000000001</v>
      </c>
      <c r="S1854" s="2">
        <v>3</v>
      </c>
      <c r="T1854" t="s">
        <v>46</v>
      </c>
      <c r="U1854">
        <v>5</v>
      </c>
    </row>
    <row r="1855" spans="1:21" x14ac:dyDescent="0.25">
      <c r="A1855" s="1">
        <v>46186</v>
      </c>
      <c r="B1855" t="s">
        <v>2047</v>
      </c>
      <c r="C1855" t="s">
        <v>317</v>
      </c>
      <c r="D1855" t="s">
        <v>34</v>
      </c>
      <c r="E1855" t="s">
        <v>35</v>
      </c>
      <c r="F1855" t="s">
        <v>64</v>
      </c>
      <c r="G1855" t="s">
        <v>27</v>
      </c>
      <c r="H1855" t="s">
        <v>68</v>
      </c>
      <c r="I1855" t="s">
        <v>53</v>
      </c>
      <c r="J1855" s="2">
        <v>6</v>
      </c>
      <c r="K1855" s="3">
        <v>1299.42</v>
      </c>
      <c r="L1855" s="3">
        <v>784.65</v>
      </c>
      <c r="M1855" s="4">
        <v>0</v>
      </c>
      <c r="N1855" s="3">
        <f t="shared" si="140"/>
        <v>7796.52</v>
      </c>
      <c r="O1855" s="3">
        <f t="shared" si="141"/>
        <v>7796.52</v>
      </c>
      <c r="P1855" s="3">
        <f t="shared" si="142"/>
        <v>4707.8999999999996</v>
      </c>
      <c r="Q1855" s="3">
        <f t="shared" si="143"/>
        <v>3088.62</v>
      </c>
      <c r="R1855" s="4">
        <f t="shared" si="144"/>
        <v>0.3962</v>
      </c>
      <c r="S1855" s="2">
        <v>12</v>
      </c>
      <c r="T1855" t="s">
        <v>30</v>
      </c>
      <c r="U1855">
        <v>2</v>
      </c>
    </row>
    <row r="1856" spans="1:21" x14ac:dyDescent="0.25">
      <c r="A1856" s="1">
        <v>46110</v>
      </c>
      <c r="B1856" t="s">
        <v>2048</v>
      </c>
      <c r="C1856" t="s">
        <v>349</v>
      </c>
      <c r="D1856" t="s">
        <v>43</v>
      </c>
      <c r="E1856" t="s">
        <v>25</v>
      </c>
      <c r="F1856" t="s">
        <v>26</v>
      </c>
      <c r="G1856" t="s">
        <v>37</v>
      </c>
      <c r="H1856" t="s">
        <v>178</v>
      </c>
      <c r="I1856" t="s">
        <v>65</v>
      </c>
      <c r="J1856" s="2">
        <v>7</v>
      </c>
      <c r="K1856" s="3">
        <v>504.37</v>
      </c>
      <c r="L1856" s="3">
        <v>252.73</v>
      </c>
      <c r="M1856" s="4">
        <v>0.10589999999999999</v>
      </c>
      <c r="N1856" s="3">
        <f t="shared" si="140"/>
        <v>3530.59</v>
      </c>
      <c r="O1856" s="3">
        <f t="shared" si="141"/>
        <v>3156.7</v>
      </c>
      <c r="P1856" s="3">
        <f t="shared" si="142"/>
        <v>1769.11</v>
      </c>
      <c r="Q1856" s="3">
        <f t="shared" si="143"/>
        <v>1387.59</v>
      </c>
      <c r="R1856" s="4">
        <f t="shared" si="144"/>
        <v>0.43959999999999999</v>
      </c>
      <c r="S1856" s="2">
        <v>11</v>
      </c>
      <c r="T1856" t="s">
        <v>30</v>
      </c>
      <c r="U1856">
        <v>4</v>
      </c>
    </row>
    <row r="1857" spans="1:21" x14ac:dyDescent="0.25">
      <c r="A1857" s="1">
        <v>46151</v>
      </c>
      <c r="B1857" t="s">
        <v>2049</v>
      </c>
      <c r="C1857" t="s">
        <v>204</v>
      </c>
      <c r="D1857" t="s">
        <v>24</v>
      </c>
      <c r="E1857" t="s">
        <v>25</v>
      </c>
      <c r="F1857" t="s">
        <v>26</v>
      </c>
      <c r="G1857" t="s">
        <v>27</v>
      </c>
      <c r="H1857" t="s">
        <v>28</v>
      </c>
      <c r="I1857" t="s">
        <v>65</v>
      </c>
      <c r="J1857" s="2">
        <v>3</v>
      </c>
      <c r="K1857" s="3">
        <v>783.94</v>
      </c>
      <c r="L1857" s="3">
        <v>479.72</v>
      </c>
      <c r="M1857" s="4">
        <v>5.8900000000000001E-2</v>
      </c>
      <c r="N1857" s="3">
        <f t="shared" si="140"/>
        <v>2351.8200000000002</v>
      </c>
      <c r="O1857" s="3">
        <f t="shared" si="141"/>
        <v>2213.3000000000002</v>
      </c>
      <c r="P1857" s="3">
        <f t="shared" si="142"/>
        <v>1439.16</v>
      </c>
      <c r="Q1857" s="3">
        <f t="shared" si="143"/>
        <v>774.14</v>
      </c>
      <c r="R1857" s="4">
        <f t="shared" si="144"/>
        <v>0.3498</v>
      </c>
      <c r="S1857" s="2">
        <v>8</v>
      </c>
      <c r="T1857" t="s">
        <v>46</v>
      </c>
      <c r="U1857">
        <v>4</v>
      </c>
    </row>
    <row r="1858" spans="1:21" x14ac:dyDescent="0.25">
      <c r="A1858" s="1">
        <v>46065</v>
      </c>
      <c r="B1858" t="s">
        <v>2050</v>
      </c>
      <c r="C1858" t="s">
        <v>96</v>
      </c>
      <c r="D1858" t="s">
        <v>126</v>
      </c>
      <c r="E1858" t="s">
        <v>57</v>
      </c>
      <c r="F1858" t="s">
        <v>58</v>
      </c>
      <c r="G1858" t="s">
        <v>51</v>
      </c>
      <c r="H1858" t="s">
        <v>59</v>
      </c>
      <c r="I1858" t="s">
        <v>77</v>
      </c>
      <c r="J1858" s="2">
        <v>4</v>
      </c>
      <c r="K1858" s="3">
        <v>2136.5100000000002</v>
      </c>
      <c r="L1858" s="3">
        <v>1392.53</v>
      </c>
      <c r="M1858" s="4">
        <v>0.14249999999999999</v>
      </c>
      <c r="N1858" s="3">
        <f t="shared" ref="N1858:N1921" si="145">ROUND(J1858*K1858,2)</f>
        <v>8546.0400000000009</v>
      </c>
      <c r="O1858" s="3">
        <f t="shared" ref="O1858:O1921" si="146">ROUND(N1858*(1-M1858),2)</f>
        <v>7328.23</v>
      </c>
      <c r="P1858" s="3">
        <f t="shared" ref="P1858:P1921" si="147">ROUND(J1858*L1858,2)</f>
        <v>5570.12</v>
      </c>
      <c r="Q1858" s="3">
        <f t="shared" ref="Q1858:Q1921" si="148">ROUND(O1858-P1858,2)</f>
        <v>1758.11</v>
      </c>
      <c r="R1858" s="4">
        <f t="shared" ref="R1858:R1921" si="149">IF(O1858=0,0,ROUND(Q1858/O1858,4))</f>
        <v>0.2399</v>
      </c>
      <c r="S1858" s="2">
        <v>6</v>
      </c>
      <c r="T1858" t="s">
        <v>46</v>
      </c>
      <c r="U1858">
        <v>3</v>
      </c>
    </row>
    <row r="1859" spans="1:21" x14ac:dyDescent="0.25">
      <c r="A1859" s="1">
        <v>46224</v>
      </c>
      <c r="B1859" t="s">
        <v>2051</v>
      </c>
      <c r="C1859" t="s">
        <v>251</v>
      </c>
      <c r="D1859" t="s">
        <v>121</v>
      </c>
      <c r="E1859" t="s">
        <v>72</v>
      </c>
      <c r="F1859" t="s">
        <v>26</v>
      </c>
      <c r="G1859" t="s">
        <v>51</v>
      </c>
      <c r="H1859" t="s">
        <v>52</v>
      </c>
      <c r="I1859" t="s">
        <v>53</v>
      </c>
      <c r="J1859" s="2">
        <v>5</v>
      </c>
      <c r="K1859" s="3">
        <v>258.08</v>
      </c>
      <c r="L1859" s="3">
        <v>117.87</v>
      </c>
      <c r="M1859" s="4">
        <v>0</v>
      </c>
      <c r="N1859" s="3">
        <f t="shared" si="145"/>
        <v>1290.4000000000001</v>
      </c>
      <c r="O1859" s="3">
        <f t="shared" si="146"/>
        <v>1290.4000000000001</v>
      </c>
      <c r="P1859" s="3">
        <f t="shared" si="147"/>
        <v>589.35</v>
      </c>
      <c r="Q1859" s="3">
        <f t="shared" si="148"/>
        <v>701.05</v>
      </c>
      <c r="R1859" s="4">
        <f t="shared" si="149"/>
        <v>0.54330000000000001</v>
      </c>
      <c r="S1859" s="2">
        <v>11</v>
      </c>
      <c r="T1859" t="s">
        <v>30</v>
      </c>
      <c r="U1859">
        <v>3</v>
      </c>
    </row>
    <row r="1860" spans="1:21" x14ac:dyDescent="0.25">
      <c r="A1860" s="1">
        <v>46048</v>
      </c>
      <c r="B1860" t="s">
        <v>2052</v>
      </c>
      <c r="C1860" t="s">
        <v>687</v>
      </c>
      <c r="D1860" t="s">
        <v>126</v>
      </c>
      <c r="E1860" t="s">
        <v>57</v>
      </c>
      <c r="F1860" t="s">
        <v>36</v>
      </c>
      <c r="G1860" t="s">
        <v>44</v>
      </c>
      <c r="H1860" t="s">
        <v>45</v>
      </c>
      <c r="I1860" t="s">
        <v>92</v>
      </c>
      <c r="J1860" s="2">
        <v>2</v>
      </c>
      <c r="K1860" s="3">
        <v>401.24</v>
      </c>
      <c r="L1860" s="3">
        <v>218</v>
      </c>
      <c r="M1860" s="4">
        <v>0</v>
      </c>
      <c r="N1860" s="3">
        <f t="shared" si="145"/>
        <v>802.48</v>
      </c>
      <c r="O1860" s="3">
        <f t="shared" si="146"/>
        <v>802.48</v>
      </c>
      <c r="P1860" s="3">
        <f t="shared" si="147"/>
        <v>436</v>
      </c>
      <c r="Q1860" s="3">
        <f t="shared" si="148"/>
        <v>366.48</v>
      </c>
      <c r="R1860" s="4">
        <f t="shared" si="149"/>
        <v>0.45669999999999999</v>
      </c>
      <c r="S1860" s="2">
        <v>10</v>
      </c>
      <c r="T1860" t="s">
        <v>46</v>
      </c>
      <c r="U1860">
        <v>4</v>
      </c>
    </row>
    <row r="1861" spans="1:21" x14ac:dyDescent="0.25">
      <c r="A1861" s="1">
        <v>46110</v>
      </c>
      <c r="B1861" t="s">
        <v>2053</v>
      </c>
      <c r="C1861" t="s">
        <v>214</v>
      </c>
      <c r="D1861" t="s">
        <v>130</v>
      </c>
      <c r="E1861" t="s">
        <v>72</v>
      </c>
      <c r="F1861" t="s">
        <v>58</v>
      </c>
      <c r="G1861" t="s">
        <v>51</v>
      </c>
      <c r="H1861" t="s">
        <v>52</v>
      </c>
      <c r="I1861" t="s">
        <v>87</v>
      </c>
      <c r="J1861" s="2">
        <v>3</v>
      </c>
      <c r="K1861" s="3">
        <v>269.57</v>
      </c>
      <c r="L1861" s="3">
        <v>126.68</v>
      </c>
      <c r="M1861" s="4">
        <v>3.5000000000000003E-2</v>
      </c>
      <c r="N1861" s="3">
        <f t="shared" si="145"/>
        <v>808.71</v>
      </c>
      <c r="O1861" s="3">
        <f t="shared" si="146"/>
        <v>780.41</v>
      </c>
      <c r="P1861" s="3">
        <f t="shared" si="147"/>
        <v>380.04</v>
      </c>
      <c r="Q1861" s="3">
        <f t="shared" si="148"/>
        <v>400.37</v>
      </c>
      <c r="R1861" s="4">
        <f t="shared" si="149"/>
        <v>0.51300000000000001</v>
      </c>
      <c r="S1861" s="2">
        <v>11</v>
      </c>
      <c r="T1861" t="s">
        <v>30</v>
      </c>
      <c r="U1861">
        <v>3</v>
      </c>
    </row>
    <row r="1862" spans="1:21" x14ac:dyDescent="0.25">
      <c r="A1862" s="1">
        <v>46068</v>
      </c>
      <c r="B1862" t="s">
        <v>2054</v>
      </c>
      <c r="C1862" t="s">
        <v>609</v>
      </c>
      <c r="D1862" t="s">
        <v>71</v>
      </c>
      <c r="E1862" t="s">
        <v>72</v>
      </c>
      <c r="F1862" t="s">
        <v>36</v>
      </c>
      <c r="G1862" t="s">
        <v>27</v>
      </c>
      <c r="H1862" t="s">
        <v>28</v>
      </c>
      <c r="I1862" t="s">
        <v>94</v>
      </c>
      <c r="J1862" s="2">
        <v>5</v>
      </c>
      <c r="K1862" s="3">
        <v>826.45</v>
      </c>
      <c r="L1862" s="3">
        <v>464.38</v>
      </c>
      <c r="M1862" s="4">
        <v>0</v>
      </c>
      <c r="N1862" s="3">
        <f t="shared" si="145"/>
        <v>4132.25</v>
      </c>
      <c r="O1862" s="3">
        <f t="shared" si="146"/>
        <v>4132.25</v>
      </c>
      <c r="P1862" s="3">
        <f t="shared" si="147"/>
        <v>2321.9</v>
      </c>
      <c r="Q1862" s="3">
        <f t="shared" si="148"/>
        <v>1810.35</v>
      </c>
      <c r="R1862" s="4">
        <f t="shared" si="149"/>
        <v>0.43809999999999999</v>
      </c>
      <c r="S1862" s="2">
        <v>5</v>
      </c>
      <c r="T1862" t="s">
        <v>46</v>
      </c>
      <c r="U1862">
        <v>5</v>
      </c>
    </row>
    <row r="1863" spans="1:21" x14ac:dyDescent="0.25">
      <c r="A1863" s="1">
        <v>46220</v>
      </c>
      <c r="B1863" t="s">
        <v>2055</v>
      </c>
      <c r="C1863" t="s">
        <v>201</v>
      </c>
      <c r="D1863" t="s">
        <v>113</v>
      </c>
      <c r="E1863" t="s">
        <v>50</v>
      </c>
      <c r="F1863" t="s">
        <v>26</v>
      </c>
      <c r="G1863" t="s">
        <v>37</v>
      </c>
      <c r="H1863" t="s">
        <v>178</v>
      </c>
      <c r="I1863" t="s">
        <v>60</v>
      </c>
      <c r="J1863" s="2">
        <v>4</v>
      </c>
      <c r="K1863" s="3">
        <v>506.37</v>
      </c>
      <c r="L1863" s="3">
        <v>248.08</v>
      </c>
      <c r="M1863" s="4">
        <v>0</v>
      </c>
      <c r="N1863" s="3">
        <f t="shared" si="145"/>
        <v>2025.48</v>
      </c>
      <c r="O1863" s="3">
        <f t="shared" si="146"/>
        <v>2025.48</v>
      </c>
      <c r="P1863" s="3">
        <f t="shared" si="147"/>
        <v>992.32</v>
      </c>
      <c r="Q1863" s="3">
        <f t="shared" si="148"/>
        <v>1033.1600000000001</v>
      </c>
      <c r="R1863" s="4">
        <f t="shared" si="149"/>
        <v>0.5101</v>
      </c>
      <c r="S1863" s="2">
        <v>5</v>
      </c>
      <c r="T1863" t="s">
        <v>40</v>
      </c>
    </row>
    <row r="1864" spans="1:21" x14ac:dyDescent="0.25">
      <c r="A1864" s="1">
        <v>46148</v>
      </c>
      <c r="B1864" t="s">
        <v>2056</v>
      </c>
      <c r="C1864" t="s">
        <v>112</v>
      </c>
      <c r="D1864" t="s">
        <v>34</v>
      </c>
      <c r="E1864" t="s">
        <v>35</v>
      </c>
      <c r="F1864" t="s">
        <v>36</v>
      </c>
      <c r="G1864" t="s">
        <v>51</v>
      </c>
      <c r="H1864" t="s">
        <v>52</v>
      </c>
      <c r="I1864" t="s">
        <v>87</v>
      </c>
      <c r="J1864" s="2">
        <v>2</v>
      </c>
      <c r="K1864" s="3">
        <v>254.28</v>
      </c>
      <c r="L1864" s="3">
        <v>119.02</v>
      </c>
      <c r="M1864" s="4">
        <v>0</v>
      </c>
      <c r="N1864" s="3">
        <f t="shared" si="145"/>
        <v>508.56</v>
      </c>
      <c r="O1864" s="3">
        <f t="shared" si="146"/>
        <v>508.56</v>
      </c>
      <c r="P1864" s="3">
        <f t="shared" si="147"/>
        <v>238.04</v>
      </c>
      <c r="Q1864" s="3">
        <f t="shared" si="148"/>
        <v>270.52</v>
      </c>
      <c r="R1864" s="4">
        <f t="shared" si="149"/>
        <v>0.53190000000000004</v>
      </c>
      <c r="S1864" s="2">
        <v>12</v>
      </c>
      <c r="T1864" t="s">
        <v>30</v>
      </c>
      <c r="U1864">
        <v>2</v>
      </c>
    </row>
    <row r="1865" spans="1:21" x14ac:dyDescent="0.25">
      <c r="A1865" s="1">
        <v>46099</v>
      </c>
      <c r="B1865" t="s">
        <v>2057</v>
      </c>
      <c r="C1865" t="s">
        <v>294</v>
      </c>
      <c r="D1865" t="s">
        <v>126</v>
      </c>
      <c r="E1865" t="s">
        <v>57</v>
      </c>
      <c r="F1865" t="s">
        <v>36</v>
      </c>
      <c r="G1865" t="s">
        <v>44</v>
      </c>
      <c r="H1865" t="s">
        <v>124</v>
      </c>
      <c r="I1865" t="s">
        <v>60</v>
      </c>
      <c r="J1865" s="2">
        <v>2</v>
      </c>
      <c r="K1865" s="3">
        <v>5739.52</v>
      </c>
      <c r="L1865" s="3">
        <v>4362.92</v>
      </c>
      <c r="M1865" s="4">
        <v>0</v>
      </c>
      <c r="N1865" s="3">
        <f t="shared" si="145"/>
        <v>11479.04</v>
      </c>
      <c r="O1865" s="3">
        <f t="shared" si="146"/>
        <v>11479.04</v>
      </c>
      <c r="P1865" s="3">
        <f t="shared" si="147"/>
        <v>8725.84</v>
      </c>
      <c r="Q1865" s="3">
        <f t="shared" si="148"/>
        <v>2753.2</v>
      </c>
      <c r="R1865" s="4">
        <f t="shared" si="149"/>
        <v>0.23980000000000001</v>
      </c>
      <c r="S1865" s="2">
        <v>8</v>
      </c>
      <c r="T1865" t="s">
        <v>46</v>
      </c>
      <c r="U1865">
        <v>3</v>
      </c>
    </row>
    <row r="1866" spans="1:21" x14ac:dyDescent="0.25">
      <c r="A1866" s="1">
        <v>46054</v>
      </c>
      <c r="B1866" t="s">
        <v>2058</v>
      </c>
      <c r="C1866" t="s">
        <v>172</v>
      </c>
      <c r="D1866" t="s">
        <v>121</v>
      </c>
      <c r="E1866" t="s">
        <v>72</v>
      </c>
      <c r="F1866" t="s">
        <v>36</v>
      </c>
      <c r="G1866" t="s">
        <v>27</v>
      </c>
      <c r="H1866" t="s">
        <v>68</v>
      </c>
      <c r="I1866" t="s">
        <v>60</v>
      </c>
      <c r="J1866" s="2">
        <v>6</v>
      </c>
      <c r="K1866" s="3">
        <v>1356.05</v>
      </c>
      <c r="L1866" s="3">
        <v>832.56</v>
      </c>
      <c r="M1866" s="4">
        <v>0.1195</v>
      </c>
      <c r="N1866" s="3">
        <f t="shared" si="145"/>
        <v>8136.3</v>
      </c>
      <c r="O1866" s="3">
        <f t="shared" si="146"/>
        <v>7164.01</v>
      </c>
      <c r="P1866" s="3">
        <f t="shared" si="147"/>
        <v>4995.3599999999997</v>
      </c>
      <c r="Q1866" s="3">
        <f t="shared" si="148"/>
        <v>2168.65</v>
      </c>
      <c r="R1866" s="4">
        <f t="shared" si="149"/>
        <v>0.30270000000000002</v>
      </c>
      <c r="S1866" s="2">
        <v>5</v>
      </c>
      <c r="T1866" t="s">
        <v>46</v>
      </c>
      <c r="U1866">
        <v>2</v>
      </c>
    </row>
    <row r="1867" spans="1:21" x14ac:dyDescent="0.25">
      <c r="A1867" s="1">
        <v>46197</v>
      </c>
      <c r="B1867" t="s">
        <v>2059</v>
      </c>
      <c r="C1867" t="s">
        <v>67</v>
      </c>
      <c r="D1867" t="s">
        <v>85</v>
      </c>
      <c r="E1867" t="s">
        <v>50</v>
      </c>
      <c r="F1867" t="s">
        <v>26</v>
      </c>
      <c r="G1867" t="s">
        <v>44</v>
      </c>
      <c r="H1867" t="s">
        <v>73</v>
      </c>
      <c r="I1867" t="s">
        <v>39</v>
      </c>
      <c r="J1867" s="2">
        <v>7</v>
      </c>
      <c r="K1867" s="3">
        <v>1667.88</v>
      </c>
      <c r="L1867" s="3">
        <v>1066.99</v>
      </c>
      <c r="M1867" s="4">
        <v>0</v>
      </c>
      <c r="N1867" s="3">
        <f t="shared" si="145"/>
        <v>11675.16</v>
      </c>
      <c r="O1867" s="3">
        <f t="shared" si="146"/>
        <v>11675.16</v>
      </c>
      <c r="P1867" s="3">
        <f t="shared" si="147"/>
        <v>7468.93</v>
      </c>
      <c r="Q1867" s="3">
        <f t="shared" si="148"/>
        <v>4206.2299999999996</v>
      </c>
      <c r="R1867" s="4">
        <f t="shared" si="149"/>
        <v>0.36030000000000001</v>
      </c>
      <c r="S1867" s="2">
        <v>13</v>
      </c>
      <c r="T1867" t="s">
        <v>30</v>
      </c>
      <c r="U1867">
        <v>3</v>
      </c>
    </row>
    <row r="1868" spans="1:21" x14ac:dyDescent="0.25">
      <c r="A1868" s="1">
        <v>46211</v>
      </c>
      <c r="B1868" t="s">
        <v>2060</v>
      </c>
      <c r="C1868" t="s">
        <v>231</v>
      </c>
      <c r="D1868" t="s">
        <v>126</v>
      </c>
      <c r="E1868" t="s">
        <v>57</v>
      </c>
      <c r="F1868" t="s">
        <v>58</v>
      </c>
      <c r="G1868" t="s">
        <v>37</v>
      </c>
      <c r="H1868" t="s">
        <v>104</v>
      </c>
      <c r="I1868" t="s">
        <v>77</v>
      </c>
      <c r="J1868" s="2">
        <v>6</v>
      </c>
      <c r="K1868" s="3">
        <v>307.89999999999998</v>
      </c>
      <c r="L1868" s="3">
        <v>129.88999999999999</v>
      </c>
      <c r="M1868" s="4">
        <v>3.5000000000000003E-2</v>
      </c>
      <c r="N1868" s="3">
        <f t="shared" si="145"/>
        <v>1847.4</v>
      </c>
      <c r="O1868" s="3">
        <f t="shared" si="146"/>
        <v>1782.74</v>
      </c>
      <c r="P1868" s="3">
        <f t="shared" si="147"/>
        <v>779.34</v>
      </c>
      <c r="Q1868" s="3">
        <f t="shared" si="148"/>
        <v>1003.4</v>
      </c>
      <c r="R1868" s="4">
        <f t="shared" si="149"/>
        <v>0.56279999999999997</v>
      </c>
      <c r="S1868" s="2">
        <v>5</v>
      </c>
      <c r="T1868" t="s">
        <v>46</v>
      </c>
      <c r="U1868">
        <v>2</v>
      </c>
    </row>
    <row r="1869" spans="1:21" x14ac:dyDescent="0.25">
      <c r="A1869" s="1">
        <v>46067</v>
      </c>
      <c r="B1869" t="s">
        <v>2061</v>
      </c>
      <c r="C1869" t="s">
        <v>144</v>
      </c>
      <c r="D1869" t="s">
        <v>126</v>
      </c>
      <c r="E1869" t="s">
        <v>57</v>
      </c>
      <c r="F1869" t="s">
        <v>26</v>
      </c>
      <c r="G1869" t="s">
        <v>37</v>
      </c>
      <c r="H1869" t="s">
        <v>38</v>
      </c>
      <c r="I1869" t="s">
        <v>53</v>
      </c>
      <c r="J1869" s="2">
        <v>4</v>
      </c>
      <c r="K1869" s="3">
        <v>407.47</v>
      </c>
      <c r="L1869" s="3">
        <v>189.81</v>
      </c>
      <c r="M1869" s="4">
        <v>1.32E-2</v>
      </c>
      <c r="N1869" s="3">
        <f t="shared" si="145"/>
        <v>1629.88</v>
      </c>
      <c r="O1869" s="3">
        <f t="shared" si="146"/>
        <v>1608.37</v>
      </c>
      <c r="P1869" s="3">
        <f t="shared" si="147"/>
        <v>759.24</v>
      </c>
      <c r="Q1869" s="3">
        <f t="shared" si="148"/>
        <v>849.13</v>
      </c>
      <c r="R1869" s="4">
        <f t="shared" si="149"/>
        <v>0.52790000000000004</v>
      </c>
      <c r="S1869" s="2">
        <v>10</v>
      </c>
      <c r="T1869" t="s">
        <v>46</v>
      </c>
      <c r="U1869">
        <v>4</v>
      </c>
    </row>
    <row r="1870" spans="1:21" x14ac:dyDescent="0.25">
      <c r="A1870" s="1">
        <v>46026</v>
      </c>
      <c r="B1870" t="s">
        <v>2062</v>
      </c>
      <c r="C1870" t="s">
        <v>418</v>
      </c>
      <c r="D1870" t="s">
        <v>113</v>
      </c>
      <c r="E1870" t="s">
        <v>50</v>
      </c>
      <c r="F1870" t="s">
        <v>36</v>
      </c>
      <c r="G1870" t="s">
        <v>27</v>
      </c>
      <c r="H1870" t="s">
        <v>68</v>
      </c>
      <c r="I1870" t="s">
        <v>94</v>
      </c>
      <c r="J1870" s="2">
        <v>6</v>
      </c>
      <c r="K1870" s="3">
        <v>1288.75</v>
      </c>
      <c r="L1870" s="3">
        <v>782.26</v>
      </c>
      <c r="M1870" s="4">
        <v>0</v>
      </c>
      <c r="N1870" s="3">
        <f t="shared" si="145"/>
        <v>7732.5</v>
      </c>
      <c r="O1870" s="3">
        <f t="shared" si="146"/>
        <v>7732.5</v>
      </c>
      <c r="P1870" s="3">
        <f t="shared" si="147"/>
        <v>4693.5600000000004</v>
      </c>
      <c r="Q1870" s="3">
        <f t="shared" si="148"/>
        <v>3038.94</v>
      </c>
      <c r="R1870" s="4">
        <f t="shared" si="149"/>
        <v>0.39300000000000002</v>
      </c>
      <c r="S1870" s="2">
        <v>5</v>
      </c>
      <c r="T1870" t="s">
        <v>46</v>
      </c>
      <c r="U1870">
        <v>3</v>
      </c>
    </row>
    <row r="1871" spans="1:21" x14ac:dyDescent="0.25">
      <c r="A1871" s="1">
        <v>46152</v>
      </c>
      <c r="B1871" t="s">
        <v>2063</v>
      </c>
      <c r="C1871" t="s">
        <v>153</v>
      </c>
      <c r="D1871" t="s">
        <v>34</v>
      </c>
      <c r="E1871" t="s">
        <v>35</v>
      </c>
      <c r="F1871" t="s">
        <v>58</v>
      </c>
      <c r="G1871" t="s">
        <v>51</v>
      </c>
      <c r="H1871" t="s">
        <v>59</v>
      </c>
      <c r="I1871" t="s">
        <v>53</v>
      </c>
      <c r="J1871" s="2">
        <v>2</v>
      </c>
      <c r="K1871" s="3">
        <v>2271.3200000000002</v>
      </c>
      <c r="L1871" s="3">
        <v>1357.6</v>
      </c>
      <c r="M1871" s="4">
        <v>0.1265</v>
      </c>
      <c r="N1871" s="3">
        <f t="shared" si="145"/>
        <v>4542.6400000000003</v>
      </c>
      <c r="O1871" s="3">
        <f t="shared" si="146"/>
        <v>3968</v>
      </c>
      <c r="P1871" s="3">
        <f t="shared" si="147"/>
        <v>2715.2</v>
      </c>
      <c r="Q1871" s="3">
        <f t="shared" si="148"/>
        <v>1252.8</v>
      </c>
      <c r="R1871" s="4">
        <f t="shared" si="149"/>
        <v>0.31569999999999998</v>
      </c>
      <c r="S1871" s="2">
        <v>3</v>
      </c>
      <c r="T1871" t="s">
        <v>46</v>
      </c>
      <c r="U1871">
        <v>3</v>
      </c>
    </row>
    <row r="1872" spans="1:21" x14ac:dyDescent="0.25">
      <c r="A1872" s="1">
        <v>46114</v>
      </c>
      <c r="B1872" t="s">
        <v>2064</v>
      </c>
      <c r="C1872" t="s">
        <v>129</v>
      </c>
      <c r="D1872" t="s">
        <v>126</v>
      </c>
      <c r="E1872" t="s">
        <v>57</v>
      </c>
      <c r="F1872" t="s">
        <v>36</v>
      </c>
      <c r="G1872" t="s">
        <v>37</v>
      </c>
      <c r="H1872" t="s">
        <v>178</v>
      </c>
      <c r="I1872" t="s">
        <v>39</v>
      </c>
      <c r="J1872" s="2">
        <v>1</v>
      </c>
      <c r="K1872" s="3">
        <v>483.73</v>
      </c>
      <c r="L1872" s="3">
        <v>230.55</v>
      </c>
      <c r="M1872" s="4">
        <v>5.0599999999999999E-2</v>
      </c>
      <c r="N1872" s="3">
        <f t="shared" si="145"/>
        <v>483.73</v>
      </c>
      <c r="O1872" s="3">
        <f t="shared" si="146"/>
        <v>459.25</v>
      </c>
      <c r="P1872" s="3">
        <f t="shared" si="147"/>
        <v>230.55</v>
      </c>
      <c r="Q1872" s="3">
        <f t="shared" si="148"/>
        <v>228.7</v>
      </c>
      <c r="R1872" s="4">
        <f t="shared" si="149"/>
        <v>0.498</v>
      </c>
      <c r="S1872" s="2">
        <v>8</v>
      </c>
      <c r="T1872" t="s">
        <v>46</v>
      </c>
      <c r="U1872">
        <v>2</v>
      </c>
    </row>
    <row r="1873" spans="1:21" x14ac:dyDescent="0.25">
      <c r="A1873" s="1">
        <v>46206</v>
      </c>
      <c r="B1873" t="s">
        <v>2065</v>
      </c>
      <c r="C1873" t="s">
        <v>123</v>
      </c>
      <c r="D1873" t="s">
        <v>139</v>
      </c>
      <c r="E1873" t="s">
        <v>72</v>
      </c>
      <c r="F1873" t="s">
        <v>58</v>
      </c>
      <c r="G1873" t="s">
        <v>37</v>
      </c>
      <c r="H1873" t="s">
        <v>38</v>
      </c>
      <c r="I1873" t="s">
        <v>65</v>
      </c>
      <c r="J1873" s="2">
        <v>3</v>
      </c>
      <c r="K1873" s="3">
        <v>451.84</v>
      </c>
      <c r="L1873" s="3">
        <v>192.38</v>
      </c>
      <c r="M1873" s="4">
        <v>0.1203</v>
      </c>
      <c r="N1873" s="3">
        <f t="shared" si="145"/>
        <v>1355.52</v>
      </c>
      <c r="O1873" s="3">
        <f t="shared" si="146"/>
        <v>1192.45</v>
      </c>
      <c r="P1873" s="3">
        <f t="shared" si="147"/>
        <v>577.14</v>
      </c>
      <c r="Q1873" s="3">
        <f t="shared" si="148"/>
        <v>615.30999999999995</v>
      </c>
      <c r="R1873" s="4">
        <f t="shared" si="149"/>
        <v>0.51600000000000001</v>
      </c>
      <c r="S1873" s="2">
        <v>2</v>
      </c>
      <c r="T1873" t="s">
        <v>46</v>
      </c>
      <c r="U1873">
        <v>3</v>
      </c>
    </row>
    <row r="1874" spans="1:21" x14ac:dyDescent="0.25">
      <c r="A1874" s="1">
        <v>46053</v>
      </c>
      <c r="B1874" t="s">
        <v>2066</v>
      </c>
      <c r="C1874" t="s">
        <v>195</v>
      </c>
      <c r="D1874" t="s">
        <v>34</v>
      </c>
      <c r="E1874" t="s">
        <v>35</v>
      </c>
      <c r="F1874" t="s">
        <v>58</v>
      </c>
      <c r="G1874" t="s">
        <v>51</v>
      </c>
      <c r="H1874" t="s">
        <v>59</v>
      </c>
      <c r="I1874" t="s">
        <v>74</v>
      </c>
      <c r="J1874" s="2">
        <v>2</v>
      </c>
      <c r="K1874" s="3">
        <v>2083.5100000000002</v>
      </c>
      <c r="L1874" s="3">
        <v>1415.32</v>
      </c>
      <c r="M1874" s="4">
        <v>3.5000000000000003E-2</v>
      </c>
      <c r="N1874" s="3">
        <f t="shared" si="145"/>
        <v>4167.0200000000004</v>
      </c>
      <c r="O1874" s="3">
        <f t="shared" si="146"/>
        <v>4021.17</v>
      </c>
      <c r="P1874" s="3">
        <f t="shared" si="147"/>
        <v>2830.64</v>
      </c>
      <c r="Q1874" s="3">
        <f t="shared" si="148"/>
        <v>1190.53</v>
      </c>
      <c r="R1874" s="4">
        <f t="shared" si="149"/>
        <v>0.29609999999999997</v>
      </c>
      <c r="S1874" s="2">
        <v>12</v>
      </c>
      <c r="T1874" t="s">
        <v>30</v>
      </c>
      <c r="U1874">
        <v>5</v>
      </c>
    </row>
    <row r="1875" spans="1:21" x14ac:dyDescent="0.25">
      <c r="A1875" s="1">
        <v>46198</v>
      </c>
      <c r="B1875" t="s">
        <v>2067</v>
      </c>
      <c r="C1875" t="s">
        <v>91</v>
      </c>
      <c r="D1875" t="s">
        <v>139</v>
      </c>
      <c r="E1875" t="s">
        <v>72</v>
      </c>
      <c r="F1875" t="s">
        <v>36</v>
      </c>
      <c r="G1875" t="s">
        <v>51</v>
      </c>
      <c r="H1875" t="s">
        <v>59</v>
      </c>
      <c r="I1875" t="s">
        <v>29</v>
      </c>
      <c r="J1875" s="2">
        <v>3</v>
      </c>
      <c r="K1875" s="3">
        <v>2238.8200000000002</v>
      </c>
      <c r="L1875" s="3">
        <v>1474.87</v>
      </c>
      <c r="M1875" s="4">
        <v>0</v>
      </c>
      <c r="N1875" s="3">
        <f t="shared" si="145"/>
        <v>6716.46</v>
      </c>
      <c r="O1875" s="3">
        <f t="shared" si="146"/>
        <v>6716.46</v>
      </c>
      <c r="P1875" s="3">
        <f t="shared" si="147"/>
        <v>4424.6099999999997</v>
      </c>
      <c r="Q1875" s="3">
        <f t="shared" si="148"/>
        <v>2291.85</v>
      </c>
      <c r="R1875" s="4">
        <f t="shared" si="149"/>
        <v>0.3412</v>
      </c>
      <c r="S1875" s="2">
        <v>4</v>
      </c>
      <c r="T1875" t="s">
        <v>46</v>
      </c>
      <c r="U1875">
        <v>3</v>
      </c>
    </row>
    <row r="1876" spans="1:21" x14ac:dyDescent="0.25">
      <c r="A1876" s="1">
        <v>46122</v>
      </c>
      <c r="B1876" t="s">
        <v>2068</v>
      </c>
      <c r="C1876" t="s">
        <v>136</v>
      </c>
      <c r="D1876" t="s">
        <v>85</v>
      </c>
      <c r="E1876" t="s">
        <v>50</v>
      </c>
      <c r="F1876" t="s">
        <v>26</v>
      </c>
      <c r="G1876" t="s">
        <v>44</v>
      </c>
      <c r="H1876" t="s">
        <v>73</v>
      </c>
      <c r="I1876" t="s">
        <v>92</v>
      </c>
      <c r="J1876" s="2">
        <v>4</v>
      </c>
      <c r="K1876" s="3">
        <v>1773.02</v>
      </c>
      <c r="L1876" s="3">
        <v>1108.01</v>
      </c>
      <c r="M1876" s="4">
        <v>4.1599999999999998E-2</v>
      </c>
      <c r="N1876" s="3">
        <f t="shared" si="145"/>
        <v>7092.08</v>
      </c>
      <c r="O1876" s="3">
        <f t="shared" si="146"/>
        <v>6797.05</v>
      </c>
      <c r="P1876" s="3">
        <f t="shared" si="147"/>
        <v>4432.04</v>
      </c>
      <c r="Q1876" s="3">
        <f t="shared" si="148"/>
        <v>2365.0100000000002</v>
      </c>
      <c r="R1876" s="4">
        <f t="shared" si="149"/>
        <v>0.34789999999999999</v>
      </c>
      <c r="S1876" s="2">
        <v>12</v>
      </c>
      <c r="T1876" t="s">
        <v>30</v>
      </c>
      <c r="U1876">
        <v>3</v>
      </c>
    </row>
    <row r="1877" spans="1:21" x14ac:dyDescent="0.25">
      <c r="A1877" s="1">
        <v>46137</v>
      </c>
      <c r="B1877" t="s">
        <v>2069</v>
      </c>
      <c r="C1877" t="s">
        <v>381</v>
      </c>
      <c r="D1877" t="s">
        <v>121</v>
      </c>
      <c r="E1877" t="s">
        <v>72</v>
      </c>
      <c r="F1877" t="s">
        <v>58</v>
      </c>
      <c r="G1877" t="s">
        <v>27</v>
      </c>
      <c r="H1877" t="s">
        <v>68</v>
      </c>
      <c r="I1877" t="s">
        <v>74</v>
      </c>
      <c r="J1877" s="2">
        <v>1</v>
      </c>
      <c r="K1877" s="3">
        <v>1213.9000000000001</v>
      </c>
      <c r="L1877" s="3">
        <v>782.91</v>
      </c>
      <c r="M1877" s="4">
        <v>3.5000000000000003E-2</v>
      </c>
      <c r="N1877" s="3">
        <f t="shared" si="145"/>
        <v>1213.9000000000001</v>
      </c>
      <c r="O1877" s="3">
        <f t="shared" si="146"/>
        <v>1171.4100000000001</v>
      </c>
      <c r="P1877" s="3">
        <f t="shared" si="147"/>
        <v>782.91</v>
      </c>
      <c r="Q1877" s="3">
        <f t="shared" si="148"/>
        <v>388.5</v>
      </c>
      <c r="R1877" s="4">
        <f t="shared" si="149"/>
        <v>0.33169999999999999</v>
      </c>
      <c r="S1877" s="2">
        <v>6</v>
      </c>
      <c r="T1877" t="s">
        <v>46</v>
      </c>
      <c r="U1877">
        <v>3</v>
      </c>
    </row>
    <row r="1878" spans="1:21" x14ac:dyDescent="0.25">
      <c r="A1878" s="1">
        <v>46186</v>
      </c>
      <c r="B1878" t="s">
        <v>2070</v>
      </c>
      <c r="C1878" t="s">
        <v>82</v>
      </c>
      <c r="D1878" t="s">
        <v>126</v>
      </c>
      <c r="E1878" t="s">
        <v>57</v>
      </c>
      <c r="F1878" t="s">
        <v>58</v>
      </c>
      <c r="G1878" t="s">
        <v>27</v>
      </c>
      <c r="H1878" t="s">
        <v>68</v>
      </c>
      <c r="I1878" t="s">
        <v>53</v>
      </c>
      <c r="J1878" s="2">
        <v>2</v>
      </c>
      <c r="K1878" s="3">
        <v>1323.17</v>
      </c>
      <c r="L1878" s="3">
        <v>806.8</v>
      </c>
      <c r="M1878" s="4">
        <v>0.1492</v>
      </c>
      <c r="N1878" s="3">
        <f t="shared" si="145"/>
        <v>2646.34</v>
      </c>
      <c r="O1878" s="3">
        <f t="shared" si="146"/>
        <v>2251.5100000000002</v>
      </c>
      <c r="P1878" s="3">
        <f t="shared" si="147"/>
        <v>1613.6</v>
      </c>
      <c r="Q1878" s="3">
        <f t="shared" si="148"/>
        <v>637.91</v>
      </c>
      <c r="R1878" s="4">
        <f t="shared" si="149"/>
        <v>0.2833</v>
      </c>
      <c r="S1878" s="2">
        <v>13</v>
      </c>
      <c r="T1878" t="s">
        <v>30</v>
      </c>
      <c r="U1878">
        <v>3</v>
      </c>
    </row>
    <row r="1879" spans="1:21" x14ac:dyDescent="0.25">
      <c r="A1879" s="1">
        <v>46163</v>
      </c>
      <c r="B1879" t="s">
        <v>2071</v>
      </c>
      <c r="C1879" t="s">
        <v>220</v>
      </c>
      <c r="D1879" t="s">
        <v>43</v>
      </c>
      <c r="E1879" t="s">
        <v>25</v>
      </c>
      <c r="F1879" t="s">
        <v>36</v>
      </c>
      <c r="G1879" t="s">
        <v>51</v>
      </c>
      <c r="H1879" t="s">
        <v>116</v>
      </c>
      <c r="I1879" t="s">
        <v>74</v>
      </c>
      <c r="J1879" s="2">
        <v>8</v>
      </c>
      <c r="K1879" s="3">
        <v>2724.15</v>
      </c>
      <c r="L1879" s="3">
        <v>1923.27</v>
      </c>
      <c r="M1879" s="4">
        <v>0</v>
      </c>
      <c r="N1879" s="3">
        <f t="shared" si="145"/>
        <v>21793.200000000001</v>
      </c>
      <c r="O1879" s="3">
        <f t="shared" si="146"/>
        <v>21793.200000000001</v>
      </c>
      <c r="P1879" s="3">
        <f t="shared" si="147"/>
        <v>15386.16</v>
      </c>
      <c r="Q1879" s="3">
        <f t="shared" si="148"/>
        <v>6407.04</v>
      </c>
      <c r="R1879" s="4">
        <f t="shared" si="149"/>
        <v>0.29399999999999998</v>
      </c>
      <c r="S1879" s="2">
        <v>13</v>
      </c>
      <c r="T1879" t="s">
        <v>30</v>
      </c>
      <c r="U1879">
        <v>4</v>
      </c>
    </row>
    <row r="1880" spans="1:21" x14ac:dyDescent="0.25">
      <c r="A1880" s="1">
        <v>46168</v>
      </c>
      <c r="B1880" t="s">
        <v>2072</v>
      </c>
      <c r="C1880" t="s">
        <v>79</v>
      </c>
      <c r="D1880" t="s">
        <v>34</v>
      </c>
      <c r="E1880" t="s">
        <v>35</v>
      </c>
      <c r="F1880" t="s">
        <v>64</v>
      </c>
      <c r="G1880" t="s">
        <v>27</v>
      </c>
      <c r="H1880" t="s">
        <v>86</v>
      </c>
      <c r="I1880" t="s">
        <v>60</v>
      </c>
      <c r="J1880" s="2">
        <v>1</v>
      </c>
      <c r="K1880" s="3">
        <v>1791.8</v>
      </c>
      <c r="L1880" s="3">
        <v>1175.46</v>
      </c>
      <c r="M1880" s="4">
        <v>4.82E-2</v>
      </c>
      <c r="N1880" s="3">
        <f t="shared" si="145"/>
        <v>1791.8</v>
      </c>
      <c r="O1880" s="3">
        <f t="shared" si="146"/>
        <v>1705.44</v>
      </c>
      <c r="P1880" s="3">
        <f t="shared" si="147"/>
        <v>1175.46</v>
      </c>
      <c r="Q1880" s="3">
        <f t="shared" si="148"/>
        <v>529.98</v>
      </c>
      <c r="R1880" s="4">
        <f t="shared" si="149"/>
        <v>0.31080000000000002</v>
      </c>
      <c r="S1880" s="2">
        <v>13</v>
      </c>
      <c r="T1880" t="s">
        <v>30</v>
      </c>
      <c r="U1880">
        <v>4</v>
      </c>
    </row>
    <row r="1881" spans="1:21" x14ac:dyDescent="0.25">
      <c r="A1881" s="1">
        <v>46222</v>
      </c>
      <c r="B1881" t="s">
        <v>2073</v>
      </c>
      <c r="C1881" t="s">
        <v>159</v>
      </c>
      <c r="D1881" t="s">
        <v>56</v>
      </c>
      <c r="E1881" t="s">
        <v>57</v>
      </c>
      <c r="F1881" t="s">
        <v>58</v>
      </c>
      <c r="G1881" t="s">
        <v>44</v>
      </c>
      <c r="H1881" t="s">
        <v>124</v>
      </c>
      <c r="I1881" t="s">
        <v>77</v>
      </c>
      <c r="J1881" s="2">
        <v>8</v>
      </c>
      <c r="K1881" s="3">
        <v>5925.93</v>
      </c>
      <c r="L1881" s="3">
        <v>4210.1499999999996</v>
      </c>
      <c r="M1881" s="4">
        <v>9.9299999999999999E-2</v>
      </c>
      <c r="N1881" s="3">
        <f t="shared" si="145"/>
        <v>47407.44</v>
      </c>
      <c r="O1881" s="3">
        <f t="shared" si="146"/>
        <v>42699.88</v>
      </c>
      <c r="P1881" s="3">
        <f t="shared" si="147"/>
        <v>33681.199999999997</v>
      </c>
      <c r="Q1881" s="3">
        <f t="shared" si="148"/>
        <v>9018.68</v>
      </c>
      <c r="R1881" s="4">
        <f t="shared" si="149"/>
        <v>0.2112</v>
      </c>
      <c r="S1881" s="2">
        <v>10</v>
      </c>
      <c r="T1881" t="s">
        <v>46</v>
      </c>
      <c r="U1881">
        <v>3</v>
      </c>
    </row>
    <row r="1882" spans="1:21" x14ac:dyDescent="0.25">
      <c r="A1882" s="1">
        <v>46131</v>
      </c>
      <c r="B1882" t="s">
        <v>2074</v>
      </c>
      <c r="C1882" t="s">
        <v>329</v>
      </c>
      <c r="D1882" t="s">
        <v>139</v>
      </c>
      <c r="E1882" t="s">
        <v>72</v>
      </c>
      <c r="F1882" t="s">
        <v>36</v>
      </c>
      <c r="G1882" t="s">
        <v>44</v>
      </c>
      <c r="H1882" t="s">
        <v>124</v>
      </c>
      <c r="I1882" t="s">
        <v>29</v>
      </c>
      <c r="J1882" s="2">
        <v>5</v>
      </c>
      <c r="K1882" s="3">
        <v>5942.07</v>
      </c>
      <c r="L1882" s="3">
        <v>4444.72</v>
      </c>
      <c r="M1882" s="4">
        <v>4.7399999999999998E-2</v>
      </c>
      <c r="N1882" s="3">
        <f t="shared" si="145"/>
        <v>29710.35</v>
      </c>
      <c r="O1882" s="3">
        <f t="shared" si="146"/>
        <v>28302.080000000002</v>
      </c>
      <c r="P1882" s="3">
        <f t="shared" si="147"/>
        <v>22223.599999999999</v>
      </c>
      <c r="Q1882" s="3">
        <f t="shared" si="148"/>
        <v>6078.48</v>
      </c>
      <c r="R1882" s="4">
        <f t="shared" si="149"/>
        <v>0.21479999999999999</v>
      </c>
      <c r="S1882" s="2">
        <v>11</v>
      </c>
      <c r="T1882" t="s">
        <v>30</v>
      </c>
      <c r="U1882">
        <v>5</v>
      </c>
    </row>
    <row r="1883" spans="1:21" x14ac:dyDescent="0.25">
      <c r="A1883" s="1">
        <v>46043</v>
      </c>
      <c r="B1883" t="s">
        <v>2075</v>
      </c>
      <c r="C1883" t="s">
        <v>243</v>
      </c>
      <c r="D1883" t="s">
        <v>101</v>
      </c>
      <c r="E1883" t="s">
        <v>35</v>
      </c>
      <c r="F1883" t="s">
        <v>36</v>
      </c>
      <c r="G1883" t="s">
        <v>51</v>
      </c>
      <c r="H1883" t="s">
        <v>52</v>
      </c>
      <c r="I1883" t="s">
        <v>65</v>
      </c>
      <c r="J1883" s="2">
        <v>6</v>
      </c>
      <c r="K1883" s="3">
        <v>267.16000000000003</v>
      </c>
      <c r="L1883" s="3">
        <v>116.21</v>
      </c>
      <c r="M1883" s="4">
        <v>0</v>
      </c>
      <c r="N1883" s="3">
        <f t="shared" si="145"/>
        <v>1602.96</v>
      </c>
      <c r="O1883" s="3">
        <f t="shared" si="146"/>
        <v>1602.96</v>
      </c>
      <c r="P1883" s="3">
        <f t="shared" si="147"/>
        <v>697.26</v>
      </c>
      <c r="Q1883" s="3">
        <f t="shared" si="148"/>
        <v>905.7</v>
      </c>
      <c r="R1883" s="4">
        <f t="shared" si="149"/>
        <v>0.56499999999999995</v>
      </c>
      <c r="S1883" s="2">
        <v>7</v>
      </c>
      <c r="T1883" t="s">
        <v>46</v>
      </c>
      <c r="U1883">
        <v>2</v>
      </c>
    </row>
    <row r="1884" spans="1:21" x14ac:dyDescent="0.25">
      <c r="A1884" s="1">
        <v>46103</v>
      </c>
      <c r="B1884" t="s">
        <v>2076</v>
      </c>
      <c r="C1884" t="s">
        <v>433</v>
      </c>
      <c r="D1884" t="s">
        <v>121</v>
      </c>
      <c r="E1884" t="s">
        <v>72</v>
      </c>
      <c r="F1884" t="s">
        <v>36</v>
      </c>
      <c r="G1884" t="s">
        <v>51</v>
      </c>
      <c r="H1884" t="s">
        <v>116</v>
      </c>
      <c r="I1884" t="s">
        <v>65</v>
      </c>
      <c r="J1884" s="2">
        <v>3</v>
      </c>
      <c r="K1884" s="3">
        <v>2627.62</v>
      </c>
      <c r="L1884" s="3">
        <v>1825.14</v>
      </c>
      <c r="M1884" s="4">
        <v>0.04</v>
      </c>
      <c r="N1884" s="3">
        <f t="shared" si="145"/>
        <v>7882.86</v>
      </c>
      <c r="O1884" s="3">
        <f t="shared" si="146"/>
        <v>7567.55</v>
      </c>
      <c r="P1884" s="3">
        <f t="shared" si="147"/>
        <v>5475.42</v>
      </c>
      <c r="Q1884" s="3">
        <f t="shared" si="148"/>
        <v>2092.13</v>
      </c>
      <c r="R1884" s="4">
        <f t="shared" si="149"/>
        <v>0.27650000000000002</v>
      </c>
      <c r="S1884" s="2">
        <v>10</v>
      </c>
      <c r="T1884" t="s">
        <v>46</v>
      </c>
      <c r="U1884">
        <v>3</v>
      </c>
    </row>
    <row r="1885" spans="1:21" x14ac:dyDescent="0.25">
      <c r="A1885" s="1">
        <v>46042</v>
      </c>
      <c r="B1885" t="s">
        <v>2077</v>
      </c>
      <c r="C1885" t="s">
        <v>103</v>
      </c>
      <c r="D1885" t="s">
        <v>101</v>
      </c>
      <c r="E1885" t="s">
        <v>35</v>
      </c>
      <c r="F1885" t="s">
        <v>36</v>
      </c>
      <c r="G1885" t="s">
        <v>44</v>
      </c>
      <c r="H1885" t="s">
        <v>73</v>
      </c>
      <c r="I1885" t="s">
        <v>60</v>
      </c>
      <c r="J1885" s="2">
        <v>3</v>
      </c>
      <c r="K1885" s="3">
        <v>1670.53</v>
      </c>
      <c r="L1885" s="3">
        <v>1047.48</v>
      </c>
      <c r="M1885" s="4">
        <v>9.5899999999999999E-2</v>
      </c>
      <c r="N1885" s="3">
        <f t="shared" si="145"/>
        <v>5011.59</v>
      </c>
      <c r="O1885" s="3">
        <f t="shared" si="146"/>
        <v>4530.9799999999996</v>
      </c>
      <c r="P1885" s="3">
        <f t="shared" si="147"/>
        <v>3142.44</v>
      </c>
      <c r="Q1885" s="3">
        <f t="shared" si="148"/>
        <v>1388.54</v>
      </c>
      <c r="R1885" s="4">
        <f t="shared" si="149"/>
        <v>0.30649999999999999</v>
      </c>
      <c r="S1885" s="2">
        <v>13</v>
      </c>
      <c r="T1885" t="s">
        <v>30</v>
      </c>
      <c r="U1885">
        <v>4</v>
      </c>
    </row>
    <row r="1886" spans="1:21" x14ac:dyDescent="0.25">
      <c r="A1886" s="1">
        <v>46163</v>
      </c>
      <c r="B1886" t="s">
        <v>2078</v>
      </c>
      <c r="C1886" t="s">
        <v>174</v>
      </c>
      <c r="D1886" t="s">
        <v>113</v>
      </c>
      <c r="E1886" t="s">
        <v>50</v>
      </c>
      <c r="F1886" t="s">
        <v>36</v>
      </c>
      <c r="G1886" t="s">
        <v>37</v>
      </c>
      <c r="H1886" t="s">
        <v>178</v>
      </c>
      <c r="I1886" t="s">
        <v>29</v>
      </c>
      <c r="J1886" s="2">
        <v>8</v>
      </c>
      <c r="K1886" s="3">
        <v>494</v>
      </c>
      <c r="L1886" s="3">
        <v>247.26</v>
      </c>
      <c r="M1886" s="4">
        <v>0</v>
      </c>
      <c r="N1886" s="3">
        <f t="shared" si="145"/>
        <v>3952</v>
      </c>
      <c r="O1886" s="3">
        <f t="shared" si="146"/>
        <v>3952</v>
      </c>
      <c r="P1886" s="3">
        <f t="shared" si="147"/>
        <v>1978.08</v>
      </c>
      <c r="Q1886" s="3">
        <f t="shared" si="148"/>
        <v>1973.92</v>
      </c>
      <c r="R1886" s="4">
        <f t="shared" si="149"/>
        <v>0.4995</v>
      </c>
      <c r="S1886" s="2">
        <v>10</v>
      </c>
      <c r="T1886" t="s">
        <v>46</v>
      </c>
      <c r="U1886">
        <v>3</v>
      </c>
    </row>
    <row r="1887" spans="1:21" x14ac:dyDescent="0.25">
      <c r="A1887" s="1">
        <v>46148</v>
      </c>
      <c r="B1887" t="s">
        <v>2079</v>
      </c>
      <c r="C1887" t="s">
        <v>146</v>
      </c>
      <c r="D1887" t="s">
        <v>43</v>
      </c>
      <c r="E1887" t="s">
        <v>25</v>
      </c>
      <c r="F1887" t="s">
        <v>64</v>
      </c>
      <c r="G1887" t="s">
        <v>44</v>
      </c>
      <c r="H1887" t="s">
        <v>45</v>
      </c>
      <c r="I1887" t="s">
        <v>77</v>
      </c>
      <c r="J1887" s="2">
        <v>5</v>
      </c>
      <c r="K1887" s="3">
        <v>375.56</v>
      </c>
      <c r="L1887" s="3">
        <v>212.76</v>
      </c>
      <c r="M1887" s="4">
        <v>0</v>
      </c>
      <c r="N1887" s="3">
        <f t="shared" si="145"/>
        <v>1877.8</v>
      </c>
      <c r="O1887" s="3">
        <f t="shared" si="146"/>
        <v>1877.8</v>
      </c>
      <c r="P1887" s="3">
        <f t="shared" si="147"/>
        <v>1063.8</v>
      </c>
      <c r="Q1887" s="3">
        <f t="shared" si="148"/>
        <v>814</v>
      </c>
      <c r="R1887" s="4">
        <f t="shared" si="149"/>
        <v>0.4335</v>
      </c>
      <c r="S1887" s="2">
        <v>3</v>
      </c>
      <c r="T1887" t="s">
        <v>46</v>
      </c>
      <c r="U1887">
        <v>3</v>
      </c>
    </row>
    <row r="1888" spans="1:21" x14ac:dyDescent="0.25">
      <c r="A1888" s="1">
        <v>46228</v>
      </c>
      <c r="B1888" t="s">
        <v>2080</v>
      </c>
      <c r="C1888" t="s">
        <v>182</v>
      </c>
      <c r="D1888" t="s">
        <v>85</v>
      </c>
      <c r="E1888" t="s">
        <v>50</v>
      </c>
      <c r="F1888" t="s">
        <v>36</v>
      </c>
      <c r="G1888" t="s">
        <v>44</v>
      </c>
      <c r="H1888" t="s">
        <v>124</v>
      </c>
      <c r="I1888" t="s">
        <v>29</v>
      </c>
      <c r="J1888" s="2">
        <v>5</v>
      </c>
      <c r="K1888" s="3">
        <v>5882.47</v>
      </c>
      <c r="L1888" s="3">
        <v>4526.38</v>
      </c>
      <c r="M1888" s="4">
        <v>9.7999999999999997E-3</v>
      </c>
      <c r="N1888" s="3">
        <f t="shared" si="145"/>
        <v>29412.35</v>
      </c>
      <c r="O1888" s="3">
        <f t="shared" si="146"/>
        <v>29124.11</v>
      </c>
      <c r="P1888" s="3">
        <f t="shared" si="147"/>
        <v>22631.9</v>
      </c>
      <c r="Q1888" s="3">
        <f t="shared" si="148"/>
        <v>6492.21</v>
      </c>
      <c r="R1888" s="4">
        <f t="shared" si="149"/>
        <v>0.22289999999999999</v>
      </c>
      <c r="S1888" s="2">
        <v>9</v>
      </c>
      <c r="T1888" t="s">
        <v>46</v>
      </c>
      <c r="U1888">
        <v>5</v>
      </c>
    </row>
    <row r="1889" spans="1:22" x14ac:dyDescent="0.25">
      <c r="A1889" s="1">
        <v>46099</v>
      </c>
      <c r="B1889" t="s">
        <v>2081</v>
      </c>
      <c r="C1889" t="s">
        <v>286</v>
      </c>
      <c r="D1889" t="s">
        <v>113</v>
      </c>
      <c r="E1889" t="s">
        <v>50</v>
      </c>
      <c r="F1889" t="s">
        <v>26</v>
      </c>
      <c r="G1889" t="s">
        <v>51</v>
      </c>
      <c r="H1889" t="s">
        <v>59</v>
      </c>
      <c r="I1889" t="s">
        <v>77</v>
      </c>
      <c r="J1889" s="2">
        <v>2</v>
      </c>
      <c r="K1889" s="3">
        <v>2078.7199999999998</v>
      </c>
      <c r="L1889" s="3">
        <v>1400.07</v>
      </c>
      <c r="M1889" s="4">
        <v>0</v>
      </c>
      <c r="N1889" s="3">
        <f t="shared" si="145"/>
        <v>4157.4399999999996</v>
      </c>
      <c r="O1889" s="3">
        <f t="shared" si="146"/>
        <v>4157.4399999999996</v>
      </c>
      <c r="P1889" s="3">
        <f t="shared" si="147"/>
        <v>2800.14</v>
      </c>
      <c r="Q1889" s="3">
        <f t="shared" si="148"/>
        <v>1357.3</v>
      </c>
      <c r="R1889" s="4">
        <f t="shared" si="149"/>
        <v>0.32650000000000001</v>
      </c>
      <c r="S1889" s="2">
        <v>2</v>
      </c>
      <c r="T1889" t="s">
        <v>40</v>
      </c>
    </row>
    <row r="1890" spans="1:22" x14ac:dyDescent="0.25">
      <c r="A1890" s="1">
        <v>46172</v>
      </c>
      <c r="B1890" t="s">
        <v>2082</v>
      </c>
      <c r="C1890" t="s">
        <v>112</v>
      </c>
      <c r="D1890" t="s">
        <v>34</v>
      </c>
      <c r="E1890" t="s">
        <v>35</v>
      </c>
      <c r="F1890" t="s">
        <v>36</v>
      </c>
      <c r="G1890" t="s">
        <v>27</v>
      </c>
      <c r="H1890" t="s">
        <v>68</v>
      </c>
      <c r="I1890" t="s">
        <v>74</v>
      </c>
      <c r="J1890" s="2">
        <v>5</v>
      </c>
      <c r="K1890" s="3">
        <v>1363.28</v>
      </c>
      <c r="L1890" s="3">
        <v>807.98</v>
      </c>
      <c r="M1890" s="4">
        <v>0</v>
      </c>
      <c r="N1890" s="3">
        <f t="shared" si="145"/>
        <v>6816.4</v>
      </c>
      <c r="O1890" s="3">
        <f t="shared" si="146"/>
        <v>6816.4</v>
      </c>
      <c r="P1890" s="3">
        <f t="shared" si="147"/>
        <v>4039.9</v>
      </c>
      <c r="Q1890" s="3">
        <f t="shared" si="148"/>
        <v>2776.5</v>
      </c>
      <c r="R1890" s="4">
        <f t="shared" si="149"/>
        <v>0.4073</v>
      </c>
      <c r="S1890" s="2">
        <v>5</v>
      </c>
      <c r="T1890" t="s">
        <v>46</v>
      </c>
      <c r="U1890">
        <v>5</v>
      </c>
    </row>
    <row r="1891" spans="1:22" x14ac:dyDescent="0.25">
      <c r="A1891" s="1">
        <v>46154</v>
      </c>
      <c r="B1891" t="s">
        <v>2083</v>
      </c>
      <c r="C1891" t="s">
        <v>220</v>
      </c>
      <c r="D1891" t="s">
        <v>71</v>
      </c>
      <c r="E1891" t="s">
        <v>72</v>
      </c>
      <c r="F1891" t="s">
        <v>58</v>
      </c>
      <c r="G1891" t="s">
        <v>37</v>
      </c>
      <c r="H1891" t="s">
        <v>38</v>
      </c>
      <c r="I1891" t="s">
        <v>87</v>
      </c>
      <c r="J1891" s="2">
        <v>1</v>
      </c>
      <c r="K1891" s="3">
        <v>444.01</v>
      </c>
      <c r="L1891" s="3">
        <v>201.4</v>
      </c>
      <c r="M1891" s="4">
        <v>3.5000000000000003E-2</v>
      </c>
      <c r="N1891" s="3">
        <f t="shared" si="145"/>
        <v>444.01</v>
      </c>
      <c r="O1891" s="3">
        <f t="shared" si="146"/>
        <v>428.47</v>
      </c>
      <c r="P1891" s="3">
        <f t="shared" si="147"/>
        <v>201.4</v>
      </c>
      <c r="Q1891" s="3">
        <f t="shared" si="148"/>
        <v>227.07</v>
      </c>
      <c r="R1891" s="4">
        <f t="shared" si="149"/>
        <v>0.53</v>
      </c>
      <c r="S1891" s="2">
        <v>3</v>
      </c>
      <c r="T1891" t="s">
        <v>46</v>
      </c>
      <c r="U1891">
        <v>5</v>
      </c>
    </row>
    <row r="1892" spans="1:22" x14ac:dyDescent="0.25">
      <c r="A1892" s="1">
        <v>46166</v>
      </c>
      <c r="B1892" t="s">
        <v>2084</v>
      </c>
      <c r="C1892" t="s">
        <v>204</v>
      </c>
      <c r="D1892" t="s">
        <v>101</v>
      </c>
      <c r="E1892" t="s">
        <v>35</v>
      </c>
      <c r="F1892" t="s">
        <v>36</v>
      </c>
      <c r="G1892" t="s">
        <v>44</v>
      </c>
      <c r="H1892" t="s">
        <v>73</v>
      </c>
      <c r="I1892" t="s">
        <v>94</v>
      </c>
      <c r="J1892" s="2">
        <v>6</v>
      </c>
      <c r="K1892" s="3">
        <v>1661.81</v>
      </c>
      <c r="L1892" s="3">
        <v>1044.2</v>
      </c>
      <c r="M1892" s="4">
        <v>3.3599999999999998E-2</v>
      </c>
      <c r="N1892" s="3">
        <f t="shared" si="145"/>
        <v>9970.86</v>
      </c>
      <c r="O1892" s="3">
        <f t="shared" si="146"/>
        <v>9635.84</v>
      </c>
      <c r="P1892" s="3">
        <f t="shared" si="147"/>
        <v>6265.2</v>
      </c>
      <c r="Q1892" s="3">
        <f t="shared" si="148"/>
        <v>3370.64</v>
      </c>
      <c r="R1892" s="4">
        <f t="shared" si="149"/>
        <v>0.3498</v>
      </c>
      <c r="S1892" s="2">
        <v>14</v>
      </c>
      <c r="T1892" t="s">
        <v>30</v>
      </c>
      <c r="U1892">
        <v>5</v>
      </c>
    </row>
    <row r="1893" spans="1:22" x14ac:dyDescent="0.25">
      <c r="A1893" s="1">
        <v>46044</v>
      </c>
      <c r="B1893" t="s">
        <v>2085</v>
      </c>
      <c r="C1893" t="s">
        <v>560</v>
      </c>
      <c r="D1893" t="s">
        <v>71</v>
      </c>
      <c r="E1893" t="s">
        <v>72</v>
      </c>
      <c r="F1893" t="s">
        <v>36</v>
      </c>
      <c r="G1893" t="s">
        <v>51</v>
      </c>
      <c r="H1893" t="s">
        <v>59</v>
      </c>
      <c r="I1893" t="s">
        <v>92</v>
      </c>
      <c r="J1893" s="2">
        <v>2</v>
      </c>
      <c r="K1893" s="3">
        <v>2291.3000000000002</v>
      </c>
      <c r="L1893" s="3">
        <v>1435.11</v>
      </c>
      <c r="M1893" s="4">
        <v>0</v>
      </c>
      <c r="N1893" s="3">
        <f t="shared" si="145"/>
        <v>4582.6000000000004</v>
      </c>
      <c r="O1893" s="3">
        <f t="shared" si="146"/>
        <v>4582.6000000000004</v>
      </c>
      <c r="P1893" s="3">
        <f t="shared" si="147"/>
        <v>2870.22</v>
      </c>
      <c r="Q1893" s="3">
        <f t="shared" si="148"/>
        <v>1712.38</v>
      </c>
      <c r="R1893" s="4">
        <f t="shared" si="149"/>
        <v>0.37369999999999998</v>
      </c>
      <c r="S1893" s="2">
        <v>8</v>
      </c>
      <c r="T1893" t="s">
        <v>46</v>
      </c>
      <c r="U1893">
        <v>5</v>
      </c>
    </row>
    <row r="1894" spans="1:22" x14ac:dyDescent="0.25">
      <c r="A1894" s="1">
        <v>46142</v>
      </c>
      <c r="B1894" t="s">
        <v>2086</v>
      </c>
      <c r="C1894" t="s">
        <v>33</v>
      </c>
      <c r="D1894" t="s">
        <v>85</v>
      </c>
      <c r="E1894" t="s">
        <v>50</v>
      </c>
      <c r="F1894" t="s">
        <v>26</v>
      </c>
      <c r="G1894" t="s">
        <v>51</v>
      </c>
      <c r="H1894" t="s">
        <v>116</v>
      </c>
      <c r="I1894" t="s">
        <v>77</v>
      </c>
      <c r="J1894" s="2">
        <v>5</v>
      </c>
      <c r="K1894" s="3">
        <v>2954.81</v>
      </c>
      <c r="L1894" s="3">
        <v>1764.08</v>
      </c>
      <c r="M1894" s="4">
        <v>7.3300000000000004E-2</v>
      </c>
      <c r="N1894" s="3">
        <f t="shared" si="145"/>
        <v>14774.05</v>
      </c>
      <c r="O1894" s="3">
        <f t="shared" si="146"/>
        <v>13691.11</v>
      </c>
      <c r="P1894" s="3">
        <f t="shared" si="147"/>
        <v>8820.4</v>
      </c>
      <c r="Q1894" s="3">
        <f t="shared" si="148"/>
        <v>4870.71</v>
      </c>
      <c r="R1894" s="4">
        <f t="shared" si="149"/>
        <v>0.35580000000000001</v>
      </c>
      <c r="S1894" s="2">
        <v>8</v>
      </c>
      <c r="T1894" t="s">
        <v>46</v>
      </c>
      <c r="U1894">
        <v>3</v>
      </c>
    </row>
    <row r="1895" spans="1:22" x14ac:dyDescent="0.25">
      <c r="A1895" s="1">
        <v>46201</v>
      </c>
      <c r="B1895" t="s">
        <v>2087</v>
      </c>
      <c r="C1895" t="s">
        <v>132</v>
      </c>
      <c r="D1895" t="s">
        <v>71</v>
      </c>
      <c r="E1895" t="s">
        <v>72</v>
      </c>
      <c r="F1895" t="s">
        <v>58</v>
      </c>
      <c r="G1895" t="s">
        <v>27</v>
      </c>
      <c r="H1895" t="s">
        <v>28</v>
      </c>
      <c r="I1895" t="s">
        <v>87</v>
      </c>
      <c r="J1895" s="2">
        <v>8</v>
      </c>
      <c r="K1895" s="3">
        <v>775.36</v>
      </c>
      <c r="L1895" s="3">
        <v>483.48</v>
      </c>
      <c r="M1895" s="4">
        <v>8.0399999999999999E-2</v>
      </c>
      <c r="N1895" s="3">
        <f t="shared" si="145"/>
        <v>6202.88</v>
      </c>
      <c r="O1895" s="3">
        <f t="shared" si="146"/>
        <v>5704.17</v>
      </c>
      <c r="P1895" s="3">
        <f t="shared" si="147"/>
        <v>3867.84</v>
      </c>
      <c r="Q1895" s="3">
        <f t="shared" si="148"/>
        <v>1836.33</v>
      </c>
      <c r="R1895" s="4">
        <f t="shared" si="149"/>
        <v>0.32190000000000002</v>
      </c>
      <c r="S1895" s="2">
        <v>5</v>
      </c>
      <c r="T1895" t="s">
        <v>46</v>
      </c>
      <c r="U1895">
        <v>4</v>
      </c>
    </row>
    <row r="1896" spans="1:22" x14ac:dyDescent="0.25">
      <c r="A1896" s="1">
        <v>46044</v>
      </c>
      <c r="B1896" t="s">
        <v>2088</v>
      </c>
      <c r="C1896" t="s">
        <v>187</v>
      </c>
      <c r="D1896" t="s">
        <v>130</v>
      </c>
      <c r="E1896" t="s">
        <v>72</v>
      </c>
      <c r="F1896" t="s">
        <v>64</v>
      </c>
      <c r="G1896" t="s">
        <v>44</v>
      </c>
      <c r="H1896" t="s">
        <v>124</v>
      </c>
      <c r="I1896" t="s">
        <v>39</v>
      </c>
      <c r="J1896" s="2">
        <v>2</v>
      </c>
      <c r="K1896" s="3">
        <v>6230.12</v>
      </c>
      <c r="L1896" s="3">
        <v>4308.24</v>
      </c>
      <c r="M1896" s="4">
        <v>0.1032</v>
      </c>
      <c r="N1896" s="3">
        <f t="shared" si="145"/>
        <v>12460.24</v>
      </c>
      <c r="O1896" s="3">
        <f t="shared" si="146"/>
        <v>11174.34</v>
      </c>
      <c r="P1896" s="3">
        <f t="shared" si="147"/>
        <v>8616.48</v>
      </c>
      <c r="Q1896" s="3">
        <f t="shared" si="148"/>
        <v>2557.86</v>
      </c>
      <c r="R1896" s="4">
        <f t="shared" si="149"/>
        <v>0.22889999999999999</v>
      </c>
      <c r="S1896" s="2">
        <v>6</v>
      </c>
      <c r="T1896" t="s">
        <v>46</v>
      </c>
      <c r="U1896">
        <v>2</v>
      </c>
    </row>
    <row r="1897" spans="1:22" x14ac:dyDescent="0.25">
      <c r="A1897" s="1">
        <v>46031</v>
      </c>
      <c r="B1897" t="s">
        <v>2089</v>
      </c>
      <c r="C1897" t="s">
        <v>284</v>
      </c>
      <c r="D1897" t="s">
        <v>97</v>
      </c>
      <c r="E1897" t="s">
        <v>57</v>
      </c>
      <c r="F1897" t="s">
        <v>36</v>
      </c>
      <c r="G1897" t="s">
        <v>27</v>
      </c>
      <c r="H1897" t="s">
        <v>86</v>
      </c>
      <c r="I1897" t="s">
        <v>77</v>
      </c>
      <c r="J1897" s="2">
        <v>6</v>
      </c>
      <c r="K1897" s="3">
        <v>1948.54</v>
      </c>
      <c r="L1897" s="3">
        <v>1194.17</v>
      </c>
      <c r="M1897" s="4">
        <v>6.5000000000000002E-2</v>
      </c>
      <c r="N1897" s="3">
        <f t="shared" si="145"/>
        <v>11691.24</v>
      </c>
      <c r="O1897" s="3">
        <f t="shared" si="146"/>
        <v>10931.31</v>
      </c>
      <c r="P1897" s="3">
        <f t="shared" si="147"/>
        <v>7165.02</v>
      </c>
      <c r="Q1897" s="3">
        <f t="shared" si="148"/>
        <v>3766.29</v>
      </c>
      <c r="R1897" s="4">
        <f t="shared" si="149"/>
        <v>0.34449999999999997</v>
      </c>
      <c r="S1897" s="2">
        <v>4</v>
      </c>
      <c r="T1897" t="s">
        <v>40</v>
      </c>
    </row>
    <row r="1898" spans="1:22" x14ac:dyDescent="0.25">
      <c r="A1898" s="1">
        <v>46214</v>
      </c>
      <c r="B1898" t="s">
        <v>2090</v>
      </c>
      <c r="C1898" t="s">
        <v>520</v>
      </c>
      <c r="D1898" t="s">
        <v>130</v>
      </c>
      <c r="E1898" t="s">
        <v>72</v>
      </c>
      <c r="F1898" t="s">
        <v>36</v>
      </c>
      <c r="G1898" t="s">
        <v>37</v>
      </c>
      <c r="H1898" t="s">
        <v>104</v>
      </c>
      <c r="I1898" t="s">
        <v>94</v>
      </c>
      <c r="J1898" s="2">
        <v>8</v>
      </c>
      <c r="K1898" s="3">
        <v>300.97000000000003</v>
      </c>
      <c r="L1898" s="3">
        <v>135.63999999999999</v>
      </c>
      <c r="M1898" s="4">
        <v>5.4000000000000003E-3</v>
      </c>
      <c r="N1898" s="3">
        <f t="shared" si="145"/>
        <v>2407.7600000000002</v>
      </c>
      <c r="O1898" s="3">
        <f t="shared" si="146"/>
        <v>2394.7600000000002</v>
      </c>
      <c r="P1898" s="3">
        <f t="shared" si="147"/>
        <v>1085.1199999999999</v>
      </c>
      <c r="Q1898" s="3">
        <f t="shared" si="148"/>
        <v>1309.6400000000001</v>
      </c>
      <c r="R1898" s="4">
        <f t="shared" si="149"/>
        <v>0.54690000000000005</v>
      </c>
      <c r="S1898" s="2">
        <v>11</v>
      </c>
      <c r="T1898" t="s">
        <v>30</v>
      </c>
      <c r="U1898">
        <v>2</v>
      </c>
    </row>
    <row r="1899" spans="1:22" x14ac:dyDescent="0.25">
      <c r="A1899" s="1">
        <v>46111</v>
      </c>
      <c r="B1899" t="s">
        <v>2091</v>
      </c>
      <c r="C1899" t="s">
        <v>401</v>
      </c>
      <c r="D1899" t="s">
        <v>71</v>
      </c>
      <c r="E1899" t="s">
        <v>72</v>
      </c>
      <c r="F1899" t="s">
        <v>36</v>
      </c>
      <c r="G1899" t="s">
        <v>44</v>
      </c>
      <c r="H1899" t="s">
        <v>124</v>
      </c>
      <c r="I1899" t="s">
        <v>74</v>
      </c>
      <c r="J1899" s="2">
        <v>8</v>
      </c>
      <c r="K1899" s="3">
        <v>5752.85</v>
      </c>
      <c r="L1899" s="3">
        <v>4411.95</v>
      </c>
      <c r="M1899" s="4">
        <v>0</v>
      </c>
      <c r="N1899" s="3">
        <f t="shared" si="145"/>
        <v>46022.8</v>
      </c>
      <c r="O1899" s="3">
        <f t="shared" si="146"/>
        <v>46022.8</v>
      </c>
      <c r="P1899" s="3">
        <f t="shared" si="147"/>
        <v>35295.599999999999</v>
      </c>
      <c r="Q1899" s="3">
        <f t="shared" si="148"/>
        <v>10727.2</v>
      </c>
      <c r="R1899" s="4">
        <f t="shared" si="149"/>
        <v>0.2331</v>
      </c>
      <c r="S1899" s="2">
        <v>11</v>
      </c>
      <c r="T1899" t="s">
        <v>30</v>
      </c>
      <c r="U1899">
        <v>5</v>
      </c>
    </row>
    <row r="1900" spans="1:22" x14ac:dyDescent="0.25">
      <c r="A1900" s="1">
        <v>46187</v>
      </c>
      <c r="B1900" t="s">
        <v>2092</v>
      </c>
      <c r="C1900" t="s">
        <v>260</v>
      </c>
      <c r="D1900" t="s">
        <v>85</v>
      </c>
      <c r="E1900" t="s">
        <v>50</v>
      </c>
      <c r="F1900" t="s">
        <v>26</v>
      </c>
      <c r="G1900" t="s">
        <v>37</v>
      </c>
      <c r="H1900" t="s">
        <v>104</v>
      </c>
      <c r="I1900" t="s">
        <v>53</v>
      </c>
      <c r="J1900" s="2">
        <v>1</v>
      </c>
      <c r="K1900" s="3">
        <v>326.23</v>
      </c>
      <c r="L1900" s="3">
        <v>136.19</v>
      </c>
      <c r="M1900" s="4">
        <v>5.33E-2</v>
      </c>
      <c r="N1900" s="3">
        <f t="shared" si="145"/>
        <v>326.23</v>
      </c>
      <c r="O1900" s="3">
        <f t="shared" si="146"/>
        <v>308.83999999999997</v>
      </c>
      <c r="P1900" s="3">
        <f t="shared" si="147"/>
        <v>136.19</v>
      </c>
      <c r="Q1900" s="3">
        <f t="shared" si="148"/>
        <v>172.65</v>
      </c>
      <c r="R1900" s="4">
        <f t="shared" si="149"/>
        <v>0.55900000000000005</v>
      </c>
      <c r="S1900" s="2">
        <v>31</v>
      </c>
      <c r="T1900" t="s">
        <v>30</v>
      </c>
      <c r="U1900">
        <v>1</v>
      </c>
      <c r="V1900" t="s">
        <v>208</v>
      </c>
    </row>
    <row r="1901" spans="1:22" x14ac:dyDescent="0.25">
      <c r="A1901" s="1">
        <v>46220</v>
      </c>
      <c r="B1901" t="s">
        <v>2093</v>
      </c>
      <c r="C1901" t="s">
        <v>384</v>
      </c>
      <c r="D1901" t="s">
        <v>63</v>
      </c>
      <c r="E1901" t="s">
        <v>35</v>
      </c>
      <c r="F1901" t="s">
        <v>26</v>
      </c>
      <c r="G1901" t="s">
        <v>51</v>
      </c>
      <c r="H1901" t="s">
        <v>52</v>
      </c>
      <c r="I1901" t="s">
        <v>65</v>
      </c>
      <c r="J1901" s="2">
        <v>7</v>
      </c>
      <c r="K1901" s="3">
        <v>251.75</v>
      </c>
      <c r="L1901" s="3">
        <v>271.48</v>
      </c>
      <c r="M1901" s="4">
        <v>0</v>
      </c>
      <c r="N1901" s="3">
        <f t="shared" si="145"/>
        <v>1762.25</v>
      </c>
      <c r="O1901" s="3">
        <f t="shared" si="146"/>
        <v>1762.25</v>
      </c>
      <c r="P1901" s="3">
        <f t="shared" si="147"/>
        <v>1900.36</v>
      </c>
      <c r="Q1901" s="3">
        <f t="shared" si="148"/>
        <v>-138.11000000000001</v>
      </c>
      <c r="R1901" s="4">
        <f t="shared" si="149"/>
        <v>-7.8399999999999997E-2</v>
      </c>
      <c r="S1901" s="2">
        <v>6</v>
      </c>
      <c r="T1901" t="s">
        <v>46</v>
      </c>
      <c r="U1901">
        <v>3</v>
      </c>
      <c r="V1901" t="s">
        <v>388</v>
      </c>
    </row>
    <row r="1902" spans="1:22" x14ac:dyDescent="0.25">
      <c r="A1902" s="1">
        <v>46121</v>
      </c>
      <c r="B1902" t="s">
        <v>2094</v>
      </c>
      <c r="C1902" t="s">
        <v>187</v>
      </c>
      <c r="D1902" t="s">
        <v>121</v>
      </c>
      <c r="E1902" t="s">
        <v>72</v>
      </c>
      <c r="F1902" t="s">
        <v>58</v>
      </c>
      <c r="G1902" t="s">
        <v>27</v>
      </c>
      <c r="H1902" t="s">
        <v>86</v>
      </c>
      <c r="I1902" t="s">
        <v>65</v>
      </c>
      <c r="J1902" s="2">
        <v>5</v>
      </c>
      <c r="K1902" s="3">
        <v>1861.99</v>
      </c>
      <c r="L1902" s="3">
        <v>1282.6199999999999</v>
      </c>
      <c r="M1902" s="4">
        <v>3.5000000000000003E-2</v>
      </c>
      <c r="N1902" s="3">
        <f t="shared" si="145"/>
        <v>9309.9500000000007</v>
      </c>
      <c r="O1902" s="3">
        <f t="shared" si="146"/>
        <v>8984.1</v>
      </c>
      <c r="P1902" s="3">
        <f t="shared" si="147"/>
        <v>6413.1</v>
      </c>
      <c r="Q1902" s="3">
        <f t="shared" si="148"/>
        <v>2571</v>
      </c>
      <c r="R1902" s="4">
        <f t="shared" si="149"/>
        <v>0.28620000000000001</v>
      </c>
      <c r="S1902" s="2">
        <v>6</v>
      </c>
      <c r="T1902" t="s">
        <v>46</v>
      </c>
      <c r="U1902">
        <v>3</v>
      </c>
    </row>
    <row r="1903" spans="1:22" x14ac:dyDescent="0.25">
      <c r="A1903" s="1">
        <v>46083</v>
      </c>
      <c r="B1903" t="s">
        <v>2095</v>
      </c>
      <c r="C1903" t="s">
        <v>112</v>
      </c>
      <c r="D1903" t="s">
        <v>49</v>
      </c>
      <c r="E1903" t="s">
        <v>50</v>
      </c>
      <c r="F1903" t="s">
        <v>58</v>
      </c>
      <c r="G1903" t="s">
        <v>44</v>
      </c>
      <c r="H1903" t="s">
        <v>73</v>
      </c>
      <c r="I1903" t="s">
        <v>92</v>
      </c>
      <c r="J1903" s="2">
        <v>5</v>
      </c>
      <c r="K1903" s="3">
        <v>1603.36</v>
      </c>
      <c r="L1903" s="3">
        <v>1113.8499999999999</v>
      </c>
      <c r="M1903" s="4">
        <v>7.0999999999999994E-2</v>
      </c>
      <c r="N1903" s="3">
        <f t="shared" si="145"/>
        <v>8016.8</v>
      </c>
      <c r="O1903" s="3">
        <f t="shared" si="146"/>
        <v>7447.61</v>
      </c>
      <c r="P1903" s="3">
        <f t="shared" si="147"/>
        <v>5569.25</v>
      </c>
      <c r="Q1903" s="3">
        <f t="shared" si="148"/>
        <v>1878.36</v>
      </c>
      <c r="R1903" s="4">
        <f t="shared" si="149"/>
        <v>0.25219999999999998</v>
      </c>
      <c r="S1903" s="2">
        <v>9</v>
      </c>
      <c r="T1903" t="s">
        <v>46</v>
      </c>
      <c r="U1903">
        <v>5</v>
      </c>
    </row>
    <row r="1904" spans="1:22" x14ac:dyDescent="0.25">
      <c r="A1904" s="1">
        <v>46232</v>
      </c>
      <c r="B1904" t="s">
        <v>2096</v>
      </c>
      <c r="C1904" t="s">
        <v>428</v>
      </c>
      <c r="D1904" t="s">
        <v>85</v>
      </c>
      <c r="E1904" t="s">
        <v>50</v>
      </c>
      <c r="F1904" t="s">
        <v>58</v>
      </c>
      <c r="G1904" t="s">
        <v>44</v>
      </c>
      <c r="H1904" t="s">
        <v>73</v>
      </c>
      <c r="I1904" t="s">
        <v>74</v>
      </c>
      <c r="J1904" s="2">
        <v>6</v>
      </c>
      <c r="K1904" s="3">
        <v>1714.43</v>
      </c>
      <c r="L1904" s="3">
        <v>1116.26</v>
      </c>
      <c r="M1904" s="4">
        <v>3.5000000000000003E-2</v>
      </c>
      <c r="N1904" s="3">
        <f t="shared" si="145"/>
        <v>10286.58</v>
      </c>
      <c r="O1904" s="3">
        <f t="shared" si="146"/>
        <v>9926.5499999999993</v>
      </c>
      <c r="P1904" s="3">
        <f t="shared" si="147"/>
        <v>6697.56</v>
      </c>
      <c r="Q1904" s="3">
        <f t="shared" si="148"/>
        <v>3228.99</v>
      </c>
      <c r="R1904" s="4">
        <f t="shared" si="149"/>
        <v>0.32529999999999998</v>
      </c>
      <c r="S1904" s="2">
        <v>6</v>
      </c>
      <c r="T1904" t="s">
        <v>46</v>
      </c>
      <c r="U1904">
        <v>5</v>
      </c>
    </row>
    <row r="1905" spans="1:21" x14ac:dyDescent="0.25">
      <c r="A1905" s="1">
        <v>46092</v>
      </c>
      <c r="B1905" t="s">
        <v>2097</v>
      </c>
      <c r="C1905" t="s">
        <v>120</v>
      </c>
      <c r="D1905" t="s">
        <v>113</v>
      </c>
      <c r="E1905" t="s">
        <v>50</v>
      </c>
      <c r="F1905" t="s">
        <v>26</v>
      </c>
      <c r="G1905" t="s">
        <v>37</v>
      </c>
      <c r="H1905" t="s">
        <v>104</v>
      </c>
      <c r="I1905" t="s">
        <v>53</v>
      </c>
      <c r="J1905" s="2">
        <v>6</v>
      </c>
      <c r="K1905" s="3">
        <v>304.68</v>
      </c>
      <c r="L1905" s="3">
        <v>140.44999999999999</v>
      </c>
      <c r="M1905" s="4">
        <v>0</v>
      </c>
      <c r="N1905" s="3">
        <f t="shared" si="145"/>
        <v>1828.08</v>
      </c>
      <c r="O1905" s="3">
        <f t="shared" si="146"/>
        <v>1828.08</v>
      </c>
      <c r="P1905" s="3">
        <f t="shared" si="147"/>
        <v>842.7</v>
      </c>
      <c r="Q1905" s="3">
        <f t="shared" si="148"/>
        <v>985.38</v>
      </c>
      <c r="R1905" s="4">
        <f t="shared" si="149"/>
        <v>0.53900000000000003</v>
      </c>
      <c r="S1905" s="2">
        <v>13</v>
      </c>
      <c r="T1905" t="s">
        <v>30</v>
      </c>
      <c r="U1905">
        <v>2</v>
      </c>
    </row>
    <row r="1906" spans="1:21" x14ac:dyDescent="0.25">
      <c r="A1906" s="1">
        <v>46048</v>
      </c>
      <c r="B1906" t="s">
        <v>2098</v>
      </c>
      <c r="C1906" t="s">
        <v>103</v>
      </c>
      <c r="D1906" t="s">
        <v>139</v>
      </c>
      <c r="E1906" t="s">
        <v>72</v>
      </c>
      <c r="F1906" t="s">
        <v>64</v>
      </c>
      <c r="G1906" t="s">
        <v>27</v>
      </c>
      <c r="H1906" t="s">
        <v>68</v>
      </c>
      <c r="I1906" t="s">
        <v>39</v>
      </c>
      <c r="J1906" s="2">
        <v>8</v>
      </c>
      <c r="K1906" s="3">
        <v>1216.8800000000001</v>
      </c>
      <c r="L1906" s="3">
        <v>836.46</v>
      </c>
      <c r="M1906" s="4">
        <v>7.1800000000000003E-2</v>
      </c>
      <c r="N1906" s="3">
        <f t="shared" si="145"/>
        <v>9735.0400000000009</v>
      </c>
      <c r="O1906" s="3">
        <f t="shared" si="146"/>
        <v>9036.06</v>
      </c>
      <c r="P1906" s="3">
        <f t="shared" si="147"/>
        <v>6691.68</v>
      </c>
      <c r="Q1906" s="3">
        <f t="shared" si="148"/>
        <v>2344.38</v>
      </c>
      <c r="R1906" s="4">
        <f t="shared" si="149"/>
        <v>0.25940000000000002</v>
      </c>
      <c r="S1906" s="2">
        <v>14</v>
      </c>
      <c r="T1906" t="s">
        <v>30</v>
      </c>
      <c r="U1906">
        <v>3</v>
      </c>
    </row>
    <row r="1907" spans="1:21" x14ac:dyDescent="0.25">
      <c r="A1907" s="1">
        <v>46060</v>
      </c>
      <c r="B1907" t="s">
        <v>2099</v>
      </c>
      <c r="C1907" t="s">
        <v>466</v>
      </c>
      <c r="D1907" t="s">
        <v>63</v>
      </c>
      <c r="E1907" t="s">
        <v>35</v>
      </c>
      <c r="F1907" t="s">
        <v>26</v>
      </c>
      <c r="G1907" t="s">
        <v>27</v>
      </c>
      <c r="H1907" t="s">
        <v>86</v>
      </c>
      <c r="I1907" t="s">
        <v>29</v>
      </c>
      <c r="J1907" s="2">
        <v>4</v>
      </c>
      <c r="K1907" s="3">
        <v>1799.2</v>
      </c>
      <c r="L1907" s="3">
        <v>1181.49</v>
      </c>
      <c r="M1907" s="4">
        <v>5.9299999999999999E-2</v>
      </c>
      <c r="N1907" s="3">
        <f t="shared" si="145"/>
        <v>7196.8</v>
      </c>
      <c r="O1907" s="3">
        <f t="shared" si="146"/>
        <v>6770.03</v>
      </c>
      <c r="P1907" s="3">
        <f t="shared" si="147"/>
        <v>4725.96</v>
      </c>
      <c r="Q1907" s="3">
        <f t="shared" si="148"/>
        <v>2044.07</v>
      </c>
      <c r="R1907" s="4">
        <f t="shared" si="149"/>
        <v>0.3019</v>
      </c>
      <c r="S1907" s="2">
        <v>4</v>
      </c>
      <c r="T1907" t="s">
        <v>46</v>
      </c>
      <c r="U1907">
        <v>2</v>
      </c>
    </row>
    <row r="1908" spans="1:21" x14ac:dyDescent="0.25">
      <c r="A1908" s="1">
        <v>46161</v>
      </c>
      <c r="B1908" t="s">
        <v>2100</v>
      </c>
      <c r="C1908" t="s">
        <v>76</v>
      </c>
      <c r="D1908" t="s">
        <v>126</v>
      </c>
      <c r="E1908" t="s">
        <v>57</v>
      </c>
      <c r="F1908" t="s">
        <v>36</v>
      </c>
      <c r="G1908" t="s">
        <v>27</v>
      </c>
      <c r="H1908" t="s">
        <v>68</v>
      </c>
      <c r="I1908" t="s">
        <v>29</v>
      </c>
      <c r="J1908" s="2">
        <v>5</v>
      </c>
      <c r="K1908" s="3">
        <v>1340.98</v>
      </c>
      <c r="L1908" s="3">
        <v>757.53</v>
      </c>
      <c r="M1908" s="4">
        <v>0</v>
      </c>
      <c r="N1908" s="3">
        <f t="shared" si="145"/>
        <v>6704.9</v>
      </c>
      <c r="O1908" s="3">
        <f t="shared" si="146"/>
        <v>6704.9</v>
      </c>
      <c r="P1908" s="3">
        <f t="shared" si="147"/>
        <v>3787.65</v>
      </c>
      <c r="Q1908" s="3">
        <f t="shared" si="148"/>
        <v>2917.25</v>
      </c>
      <c r="R1908" s="4">
        <f t="shared" si="149"/>
        <v>0.43509999999999999</v>
      </c>
      <c r="S1908" s="2">
        <v>9</v>
      </c>
      <c r="T1908" t="s">
        <v>46</v>
      </c>
      <c r="U1908">
        <v>2</v>
      </c>
    </row>
    <row r="1909" spans="1:21" x14ac:dyDescent="0.25">
      <c r="A1909" s="1">
        <v>46223</v>
      </c>
      <c r="B1909" t="s">
        <v>2101</v>
      </c>
      <c r="C1909" t="s">
        <v>168</v>
      </c>
      <c r="D1909" t="s">
        <v>85</v>
      </c>
      <c r="E1909" t="s">
        <v>50</v>
      </c>
      <c r="F1909" t="s">
        <v>64</v>
      </c>
      <c r="G1909" t="s">
        <v>44</v>
      </c>
      <c r="H1909" t="s">
        <v>73</v>
      </c>
      <c r="I1909" t="s">
        <v>92</v>
      </c>
      <c r="J1909" s="2">
        <v>2</v>
      </c>
      <c r="K1909" s="3">
        <v>1710.17</v>
      </c>
      <c r="L1909" s="3">
        <v>1104.52</v>
      </c>
      <c r="M1909" s="4">
        <v>4.0000000000000001E-3</v>
      </c>
      <c r="N1909" s="3">
        <f t="shared" si="145"/>
        <v>3420.34</v>
      </c>
      <c r="O1909" s="3">
        <f t="shared" si="146"/>
        <v>3406.66</v>
      </c>
      <c r="P1909" s="3">
        <f t="shared" si="147"/>
        <v>2209.04</v>
      </c>
      <c r="Q1909" s="3">
        <f t="shared" si="148"/>
        <v>1197.6199999999999</v>
      </c>
      <c r="R1909" s="4">
        <f t="shared" si="149"/>
        <v>0.35160000000000002</v>
      </c>
      <c r="S1909" s="2">
        <v>2</v>
      </c>
      <c r="T1909" t="s">
        <v>46</v>
      </c>
      <c r="U1909">
        <v>4</v>
      </c>
    </row>
    <row r="1910" spans="1:21" x14ac:dyDescent="0.25">
      <c r="A1910" s="1">
        <v>46114</v>
      </c>
      <c r="B1910" t="s">
        <v>2102</v>
      </c>
      <c r="C1910" t="s">
        <v>358</v>
      </c>
      <c r="D1910" t="s">
        <v>56</v>
      </c>
      <c r="E1910" t="s">
        <v>57</v>
      </c>
      <c r="F1910" t="s">
        <v>36</v>
      </c>
      <c r="G1910" t="s">
        <v>27</v>
      </c>
      <c r="H1910" t="s">
        <v>68</v>
      </c>
      <c r="I1910" t="s">
        <v>53</v>
      </c>
      <c r="J1910" s="2">
        <v>5</v>
      </c>
      <c r="K1910" s="3">
        <v>1249.54</v>
      </c>
      <c r="L1910" s="3">
        <v>768.75</v>
      </c>
      <c r="M1910" s="4">
        <v>0</v>
      </c>
      <c r="N1910" s="3">
        <f t="shared" si="145"/>
        <v>6247.7</v>
      </c>
      <c r="O1910" s="3">
        <f t="shared" si="146"/>
        <v>6247.7</v>
      </c>
      <c r="P1910" s="3">
        <f t="shared" si="147"/>
        <v>3843.75</v>
      </c>
      <c r="Q1910" s="3">
        <f t="shared" si="148"/>
        <v>2403.9499999999998</v>
      </c>
      <c r="R1910" s="4">
        <f t="shared" si="149"/>
        <v>0.38479999999999998</v>
      </c>
      <c r="S1910" s="2">
        <v>8</v>
      </c>
      <c r="T1910" t="s">
        <v>46</v>
      </c>
      <c r="U1910">
        <v>4</v>
      </c>
    </row>
    <row r="1911" spans="1:21" x14ac:dyDescent="0.25">
      <c r="A1911" s="1">
        <v>46231</v>
      </c>
      <c r="B1911" t="s">
        <v>2103</v>
      </c>
      <c r="C1911" t="s">
        <v>172</v>
      </c>
      <c r="D1911" t="s">
        <v>49</v>
      </c>
      <c r="E1911" t="s">
        <v>50</v>
      </c>
      <c r="F1911" t="s">
        <v>58</v>
      </c>
      <c r="G1911" t="s">
        <v>27</v>
      </c>
      <c r="H1911" t="s">
        <v>28</v>
      </c>
      <c r="I1911" t="s">
        <v>29</v>
      </c>
      <c r="J1911" s="2">
        <v>3</v>
      </c>
      <c r="K1911" s="3">
        <v>832.25</v>
      </c>
      <c r="L1911" s="3">
        <v>466.26</v>
      </c>
      <c r="M1911" s="4">
        <v>5.3699999999999998E-2</v>
      </c>
      <c r="N1911" s="3">
        <f t="shared" si="145"/>
        <v>2496.75</v>
      </c>
      <c r="O1911" s="3">
        <f t="shared" si="146"/>
        <v>2362.67</v>
      </c>
      <c r="P1911" s="3">
        <f t="shared" si="147"/>
        <v>1398.78</v>
      </c>
      <c r="Q1911" s="3">
        <f t="shared" si="148"/>
        <v>963.89</v>
      </c>
      <c r="R1911" s="4">
        <f t="shared" si="149"/>
        <v>0.40799999999999997</v>
      </c>
      <c r="S1911" s="2">
        <v>8</v>
      </c>
      <c r="T1911" t="s">
        <v>46</v>
      </c>
      <c r="U1911">
        <v>5</v>
      </c>
    </row>
    <row r="1912" spans="1:21" x14ac:dyDescent="0.25">
      <c r="A1912" s="1">
        <v>46197</v>
      </c>
      <c r="B1912" t="s">
        <v>2104</v>
      </c>
      <c r="C1912" t="s">
        <v>187</v>
      </c>
      <c r="D1912" t="s">
        <v>63</v>
      </c>
      <c r="E1912" t="s">
        <v>35</v>
      </c>
      <c r="F1912" t="s">
        <v>58</v>
      </c>
      <c r="G1912" t="s">
        <v>51</v>
      </c>
      <c r="H1912" t="s">
        <v>52</v>
      </c>
      <c r="I1912" t="s">
        <v>29</v>
      </c>
      <c r="J1912" s="2">
        <v>8</v>
      </c>
      <c r="K1912" s="3">
        <v>268.70999999999998</v>
      </c>
      <c r="L1912" s="3">
        <v>123.37</v>
      </c>
      <c r="M1912" s="4">
        <v>5.5599999999999997E-2</v>
      </c>
      <c r="N1912" s="3">
        <f t="shared" si="145"/>
        <v>2149.6799999999998</v>
      </c>
      <c r="O1912" s="3">
        <f t="shared" si="146"/>
        <v>2030.16</v>
      </c>
      <c r="P1912" s="3">
        <f t="shared" si="147"/>
        <v>986.96</v>
      </c>
      <c r="Q1912" s="3">
        <f t="shared" si="148"/>
        <v>1043.2</v>
      </c>
      <c r="R1912" s="4">
        <f t="shared" si="149"/>
        <v>0.51390000000000002</v>
      </c>
      <c r="S1912" s="2">
        <v>9</v>
      </c>
      <c r="T1912" t="s">
        <v>46</v>
      </c>
      <c r="U1912">
        <v>2</v>
      </c>
    </row>
    <row r="1913" spans="1:21" x14ac:dyDescent="0.25">
      <c r="A1913" s="1">
        <v>46177</v>
      </c>
      <c r="B1913" t="s">
        <v>2105</v>
      </c>
      <c r="C1913" t="s">
        <v>153</v>
      </c>
      <c r="D1913" t="s">
        <v>207</v>
      </c>
      <c r="E1913" t="s">
        <v>35</v>
      </c>
      <c r="F1913" t="s">
        <v>36</v>
      </c>
      <c r="G1913" t="s">
        <v>51</v>
      </c>
      <c r="H1913" t="s">
        <v>116</v>
      </c>
      <c r="I1913" t="s">
        <v>65</v>
      </c>
      <c r="J1913" s="2">
        <v>3</v>
      </c>
      <c r="K1913" s="3">
        <v>2849.36</v>
      </c>
      <c r="L1913" s="3">
        <v>1743.73</v>
      </c>
      <c r="M1913" s="4">
        <v>0</v>
      </c>
      <c r="N1913" s="3">
        <f t="shared" si="145"/>
        <v>8548.08</v>
      </c>
      <c r="O1913" s="3">
        <f t="shared" si="146"/>
        <v>8548.08</v>
      </c>
      <c r="P1913" s="3">
        <f t="shared" si="147"/>
        <v>5231.1899999999996</v>
      </c>
      <c r="Q1913" s="3">
        <f t="shared" si="148"/>
        <v>3316.89</v>
      </c>
      <c r="R1913" s="4">
        <f t="shared" si="149"/>
        <v>0.38800000000000001</v>
      </c>
      <c r="S1913" s="2">
        <v>9</v>
      </c>
      <c r="T1913" t="s">
        <v>46</v>
      </c>
      <c r="U1913">
        <v>4</v>
      </c>
    </row>
    <row r="1914" spans="1:21" x14ac:dyDescent="0.25">
      <c r="A1914" s="1">
        <v>46153</v>
      </c>
      <c r="B1914" t="s">
        <v>2106</v>
      </c>
      <c r="C1914" t="s">
        <v>297</v>
      </c>
      <c r="D1914" t="s">
        <v>24</v>
      </c>
      <c r="E1914" t="s">
        <v>25</v>
      </c>
      <c r="F1914" t="s">
        <v>26</v>
      </c>
      <c r="G1914" t="s">
        <v>44</v>
      </c>
      <c r="H1914" t="s">
        <v>73</v>
      </c>
      <c r="I1914" t="s">
        <v>92</v>
      </c>
      <c r="J1914" s="2">
        <v>3</v>
      </c>
      <c r="K1914" s="3">
        <v>1590.24</v>
      </c>
      <c r="L1914" s="3">
        <v>1141.6500000000001</v>
      </c>
      <c r="M1914" s="4">
        <v>0</v>
      </c>
      <c r="N1914" s="3">
        <f t="shared" si="145"/>
        <v>4770.72</v>
      </c>
      <c r="O1914" s="3">
        <f t="shared" si="146"/>
        <v>4770.72</v>
      </c>
      <c r="P1914" s="3">
        <f t="shared" si="147"/>
        <v>3424.95</v>
      </c>
      <c r="Q1914" s="3">
        <f t="shared" si="148"/>
        <v>1345.77</v>
      </c>
      <c r="R1914" s="4">
        <f t="shared" si="149"/>
        <v>0.28210000000000002</v>
      </c>
      <c r="S1914" s="2">
        <v>14</v>
      </c>
      <c r="T1914" t="s">
        <v>30</v>
      </c>
      <c r="U1914">
        <v>5</v>
      </c>
    </row>
    <row r="1915" spans="1:21" x14ac:dyDescent="0.25">
      <c r="A1915" s="1">
        <v>46062</v>
      </c>
      <c r="B1915" t="s">
        <v>2107</v>
      </c>
      <c r="C1915" t="s">
        <v>464</v>
      </c>
      <c r="D1915" t="s">
        <v>126</v>
      </c>
      <c r="E1915" t="s">
        <v>57</v>
      </c>
      <c r="F1915" t="s">
        <v>26</v>
      </c>
      <c r="G1915" t="s">
        <v>44</v>
      </c>
      <c r="H1915" t="s">
        <v>124</v>
      </c>
      <c r="I1915" t="s">
        <v>77</v>
      </c>
      <c r="J1915" s="2">
        <v>6</v>
      </c>
      <c r="K1915" s="3">
        <v>6195.37</v>
      </c>
      <c r="L1915" s="3">
        <v>4496.3900000000003</v>
      </c>
      <c r="M1915" s="4">
        <v>0.1216</v>
      </c>
      <c r="N1915" s="3">
        <f t="shared" si="145"/>
        <v>37172.22</v>
      </c>
      <c r="O1915" s="3">
        <f t="shared" si="146"/>
        <v>32652.080000000002</v>
      </c>
      <c r="P1915" s="3">
        <f t="shared" si="147"/>
        <v>26978.34</v>
      </c>
      <c r="Q1915" s="3">
        <f t="shared" si="148"/>
        <v>5673.74</v>
      </c>
      <c r="R1915" s="4">
        <f t="shared" si="149"/>
        <v>0.17380000000000001</v>
      </c>
      <c r="S1915" s="2">
        <v>2</v>
      </c>
      <c r="T1915" t="s">
        <v>46</v>
      </c>
      <c r="U1915">
        <v>5</v>
      </c>
    </row>
    <row r="1916" spans="1:21" x14ac:dyDescent="0.25">
      <c r="A1916" s="1">
        <v>46112</v>
      </c>
      <c r="B1916" t="s">
        <v>2108</v>
      </c>
      <c r="C1916" t="s">
        <v>144</v>
      </c>
      <c r="D1916" t="s">
        <v>101</v>
      </c>
      <c r="E1916" t="s">
        <v>35</v>
      </c>
      <c r="F1916" t="s">
        <v>36</v>
      </c>
      <c r="G1916" t="s">
        <v>51</v>
      </c>
      <c r="H1916" t="s">
        <v>59</v>
      </c>
      <c r="I1916" t="s">
        <v>29</v>
      </c>
      <c r="J1916" s="2">
        <v>6</v>
      </c>
      <c r="K1916" s="3">
        <v>2215.09</v>
      </c>
      <c r="L1916" s="3">
        <v>1389.54</v>
      </c>
      <c r="M1916" s="4">
        <v>0</v>
      </c>
      <c r="N1916" s="3">
        <f t="shared" si="145"/>
        <v>13290.54</v>
      </c>
      <c r="O1916" s="3">
        <f t="shared" si="146"/>
        <v>13290.54</v>
      </c>
      <c r="P1916" s="3">
        <f t="shared" si="147"/>
        <v>8337.24</v>
      </c>
      <c r="Q1916" s="3">
        <f t="shared" si="148"/>
        <v>4953.3</v>
      </c>
      <c r="R1916" s="4">
        <f t="shared" si="149"/>
        <v>0.37269999999999998</v>
      </c>
      <c r="S1916" s="2">
        <v>3</v>
      </c>
      <c r="T1916" t="s">
        <v>46</v>
      </c>
      <c r="U1916">
        <v>4</v>
      </c>
    </row>
    <row r="1917" spans="1:21" x14ac:dyDescent="0.25">
      <c r="A1917" s="1">
        <v>46024</v>
      </c>
      <c r="B1917" t="s">
        <v>2109</v>
      </c>
      <c r="C1917" t="s">
        <v>123</v>
      </c>
      <c r="D1917" t="s">
        <v>207</v>
      </c>
      <c r="E1917" t="s">
        <v>35</v>
      </c>
      <c r="F1917" t="s">
        <v>64</v>
      </c>
      <c r="G1917" t="s">
        <v>51</v>
      </c>
      <c r="H1917" t="s">
        <v>59</v>
      </c>
      <c r="I1917" t="s">
        <v>60</v>
      </c>
      <c r="J1917" s="2">
        <v>4</v>
      </c>
      <c r="K1917" s="3">
        <v>2156.5500000000002</v>
      </c>
      <c r="L1917" s="3">
        <v>1437.52</v>
      </c>
      <c r="M1917" s="4">
        <v>0.12529999999999999</v>
      </c>
      <c r="N1917" s="3">
        <f t="shared" si="145"/>
        <v>8626.2000000000007</v>
      </c>
      <c r="O1917" s="3">
        <f t="shared" si="146"/>
        <v>7545.34</v>
      </c>
      <c r="P1917" s="3">
        <f t="shared" si="147"/>
        <v>5750.08</v>
      </c>
      <c r="Q1917" s="3">
        <f t="shared" si="148"/>
        <v>1795.26</v>
      </c>
      <c r="R1917" s="4">
        <f t="shared" si="149"/>
        <v>0.2379</v>
      </c>
      <c r="S1917" s="2">
        <v>3</v>
      </c>
      <c r="T1917" t="s">
        <v>46</v>
      </c>
      <c r="U1917">
        <v>2</v>
      </c>
    </row>
    <row r="1918" spans="1:21" x14ac:dyDescent="0.25">
      <c r="A1918" s="1">
        <v>46151</v>
      </c>
      <c r="B1918" t="s">
        <v>2110</v>
      </c>
      <c r="C1918" t="s">
        <v>23</v>
      </c>
      <c r="D1918" t="s">
        <v>97</v>
      </c>
      <c r="E1918" t="s">
        <v>57</v>
      </c>
      <c r="F1918" t="s">
        <v>64</v>
      </c>
      <c r="G1918" t="s">
        <v>44</v>
      </c>
      <c r="H1918" t="s">
        <v>45</v>
      </c>
      <c r="I1918" t="s">
        <v>94</v>
      </c>
      <c r="J1918" s="2">
        <v>7</v>
      </c>
      <c r="K1918" s="3">
        <v>391.6</v>
      </c>
      <c r="L1918" s="3">
        <v>219.31</v>
      </c>
      <c r="M1918" s="4">
        <v>7.3599999999999999E-2</v>
      </c>
      <c r="N1918" s="3">
        <f t="shared" si="145"/>
        <v>2741.2</v>
      </c>
      <c r="O1918" s="3">
        <f t="shared" si="146"/>
        <v>2539.4499999999998</v>
      </c>
      <c r="P1918" s="3">
        <f t="shared" si="147"/>
        <v>1535.17</v>
      </c>
      <c r="Q1918" s="3">
        <f t="shared" si="148"/>
        <v>1004.28</v>
      </c>
      <c r="R1918" s="4">
        <f t="shared" si="149"/>
        <v>0.39550000000000002</v>
      </c>
      <c r="S1918" s="2">
        <v>7</v>
      </c>
      <c r="T1918" t="s">
        <v>46</v>
      </c>
      <c r="U1918">
        <v>2</v>
      </c>
    </row>
    <row r="1919" spans="1:21" x14ac:dyDescent="0.25">
      <c r="A1919" s="1">
        <v>46226</v>
      </c>
      <c r="B1919" t="s">
        <v>2111</v>
      </c>
      <c r="C1919" t="s">
        <v>251</v>
      </c>
      <c r="D1919" t="s">
        <v>34</v>
      </c>
      <c r="E1919" t="s">
        <v>35</v>
      </c>
      <c r="F1919" t="s">
        <v>36</v>
      </c>
      <c r="G1919" t="s">
        <v>27</v>
      </c>
      <c r="H1919" t="s">
        <v>68</v>
      </c>
      <c r="I1919" t="s">
        <v>74</v>
      </c>
      <c r="J1919" s="2">
        <v>5</v>
      </c>
      <c r="K1919" s="3">
        <v>1248.1400000000001</v>
      </c>
      <c r="L1919" s="3">
        <v>802.17</v>
      </c>
      <c r="M1919" s="4">
        <v>0</v>
      </c>
      <c r="N1919" s="3">
        <f t="shared" si="145"/>
        <v>6240.7</v>
      </c>
      <c r="O1919" s="3">
        <f t="shared" si="146"/>
        <v>6240.7</v>
      </c>
      <c r="P1919" s="3">
        <f t="shared" si="147"/>
        <v>4010.85</v>
      </c>
      <c r="Q1919" s="3">
        <f t="shared" si="148"/>
        <v>2229.85</v>
      </c>
      <c r="R1919" s="4">
        <f t="shared" si="149"/>
        <v>0.35730000000000001</v>
      </c>
      <c r="S1919" s="2">
        <v>12</v>
      </c>
      <c r="T1919" t="s">
        <v>30</v>
      </c>
      <c r="U1919">
        <v>2</v>
      </c>
    </row>
    <row r="1920" spans="1:21" x14ac:dyDescent="0.25">
      <c r="A1920" s="1">
        <v>46143</v>
      </c>
      <c r="B1920" t="s">
        <v>2112</v>
      </c>
      <c r="C1920" t="s">
        <v>144</v>
      </c>
      <c r="D1920" t="s">
        <v>24</v>
      </c>
      <c r="E1920" t="s">
        <v>25</v>
      </c>
      <c r="F1920" t="s">
        <v>64</v>
      </c>
      <c r="G1920" t="s">
        <v>37</v>
      </c>
      <c r="H1920" t="s">
        <v>178</v>
      </c>
      <c r="I1920" t="s">
        <v>77</v>
      </c>
      <c r="J1920" s="2">
        <v>3</v>
      </c>
      <c r="K1920" s="3">
        <v>528.02</v>
      </c>
      <c r="L1920" s="3">
        <v>243.44</v>
      </c>
      <c r="M1920" s="4">
        <v>8.7800000000000003E-2</v>
      </c>
      <c r="N1920" s="3">
        <f t="shared" si="145"/>
        <v>1584.06</v>
      </c>
      <c r="O1920" s="3">
        <f t="shared" si="146"/>
        <v>1444.98</v>
      </c>
      <c r="P1920" s="3">
        <f t="shared" si="147"/>
        <v>730.32</v>
      </c>
      <c r="Q1920" s="3">
        <f t="shared" si="148"/>
        <v>714.66</v>
      </c>
      <c r="R1920" s="4">
        <f t="shared" si="149"/>
        <v>0.49459999999999998</v>
      </c>
      <c r="S1920" s="2">
        <v>2</v>
      </c>
      <c r="T1920" t="s">
        <v>46</v>
      </c>
      <c r="U1920">
        <v>3</v>
      </c>
    </row>
    <row r="1921" spans="1:21" x14ac:dyDescent="0.25">
      <c r="A1921" s="1">
        <v>46128</v>
      </c>
      <c r="B1921" t="s">
        <v>2113</v>
      </c>
      <c r="C1921" t="s">
        <v>500</v>
      </c>
      <c r="D1921" t="s">
        <v>207</v>
      </c>
      <c r="E1921" t="s">
        <v>35</v>
      </c>
      <c r="F1921" t="s">
        <v>26</v>
      </c>
      <c r="G1921" t="s">
        <v>44</v>
      </c>
      <c r="H1921" t="s">
        <v>124</v>
      </c>
      <c r="I1921" t="s">
        <v>92</v>
      </c>
      <c r="J1921" s="2">
        <v>1</v>
      </c>
      <c r="K1921" s="3">
        <v>5671.79</v>
      </c>
      <c r="L1921" s="3">
        <v>4221.2</v>
      </c>
      <c r="M1921" s="4">
        <v>0</v>
      </c>
      <c r="N1921" s="3">
        <f t="shared" si="145"/>
        <v>5671.79</v>
      </c>
      <c r="O1921" s="3">
        <f t="shared" si="146"/>
        <v>5671.79</v>
      </c>
      <c r="P1921" s="3">
        <f t="shared" si="147"/>
        <v>4221.2</v>
      </c>
      <c r="Q1921" s="3">
        <f t="shared" si="148"/>
        <v>1450.59</v>
      </c>
      <c r="R1921" s="4">
        <f t="shared" si="149"/>
        <v>0.25580000000000003</v>
      </c>
      <c r="S1921" s="2">
        <v>12</v>
      </c>
      <c r="T1921" t="s">
        <v>30</v>
      </c>
      <c r="U1921">
        <v>2</v>
      </c>
    </row>
    <row r="1922" spans="1:21" x14ac:dyDescent="0.25">
      <c r="A1922" s="1">
        <v>46111</v>
      </c>
      <c r="B1922" t="s">
        <v>2114</v>
      </c>
      <c r="C1922" t="s">
        <v>70</v>
      </c>
      <c r="D1922" t="s">
        <v>139</v>
      </c>
      <c r="E1922" t="s">
        <v>72</v>
      </c>
      <c r="F1922" t="s">
        <v>26</v>
      </c>
      <c r="G1922" t="s">
        <v>51</v>
      </c>
      <c r="H1922" t="s">
        <v>59</v>
      </c>
      <c r="I1922" t="s">
        <v>60</v>
      </c>
      <c r="J1922" s="2">
        <v>5</v>
      </c>
      <c r="K1922" s="3">
        <v>2299</v>
      </c>
      <c r="L1922" s="3">
        <v>1483.24</v>
      </c>
      <c r="M1922" s="4">
        <v>0</v>
      </c>
      <c r="N1922" s="3">
        <f t="shared" ref="N1922:N1985" si="150">ROUND(J1922*K1922,2)</f>
        <v>11495</v>
      </c>
      <c r="O1922" s="3">
        <f t="shared" ref="O1922:O1985" si="151">ROUND(N1922*(1-M1922),2)</f>
        <v>11495</v>
      </c>
      <c r="P1922" s="3">
        <f t="shared" ref="P1922:P1985" si="152">ROUND(J1922*L1922,2)</f>
        <v>7416.2</v>
      </c>
      <c r="Q1922" s="3">
        <f t="shared" ref="Q1922:Q1985" si="153">ROUND(O1922-P1922,2)</f>
        <v>4078.8</v>
      </c>
      <c r="R1922" s="4">
        <f t="shared" ref="R1922:R1985" si="154">IF(O1922=0,0,ROUND(Q1922/O1922,4))</f>
        <v>0.3548</v>
      </c>
      <c r="S1922" s="2">
        <v>12</v>
      </c>
      <c r="T1922" t="s">
        <v>30</v>
      </c>
      <c r="U1922">
        <v>5</v>
      </c>
    </row>
    <row r="1923" spans="1:21" x14ac:dyDescent="0.25">
      <c r="A1923" s="1">
        <v>46044</v>
      </c>
      <c r="B1923" t="s">
        <v>2115</v>
      </c>
      <c r="C1923" t="s">
        <v>386</v>
      </c>
      <c r="D1923" t="s">
        <v>63</v>
      </c>
      <c r="E1923" t="s">
        <v>35</v>
      </c>
      <c r="F1923" t="s">
        <v>36</v>
      </c>
      <c r="G1923" t="s">
        <v>27</v>
      </c>
      <c r="H1923" t="s">
        <v>68</v>
      </c>
      <c r="I1923" t="s">
        <v>39</v>
      </c>
      <c r="J1923" s="2">
        <v>2</v>
      </c>
      <c r="K1923" s="3">
        <v>1302.93</v>
      </c>
      <c r="L1923" s="3">
        <v>787.55</v>
      </c>
      <c r="M1923" s="4">
        <v>0.09</v>
      </c>
      <c r="N1923" s="3">
        <f t="shared" si="150"/>
        <v>2605.86</v>
      </c>
      <c r="O1923" s="3">
        <f t="shared" si="151"/>
        <v>2371.33</v>
      </c>
      <c r="P1923" s="3">
        <f t="shared" si="152"/>
        <v>1575.1</v>
      </c>
      <c r="Q1923" s="3">
        <f t="shared" si="153"/>
        <v>796.23</v>
      </c>
      <c r="R1923" s="4">
        <f t="shared" si="154"/>
        <v>0.33579999999999999</v>
      </c>
      <c r="S1923" s="2">
        <v>3</v>
      </c>
      <c r="T1923" t="s">
        <v>46</v>
      </c>
      <c r="U1923">
        <v>2</v>
      </c>
    </row>
    <row r="1924" spans="1:21" x14ac:dyDescent="0.25">
      <c r="A1924" s="1">
        <v>46044</v>
      </c>
      <c r="B1924" t="s">
        <v>2116</v>
      </c>
      <c r="C1924" t="s">
        <v>609</v>
      </c>
      <c r="D1924" t="s">
        <v>97</v>
      </c>
      <c r="E1924" t="s">
        <v>57</v>
      </c>
      <c r="F1924" t="s">
        <v>64</v>
      </c>
      <c r="G1924" t="s">
        <v>37</v>
      </c>
      <c r="H1924" t="s">
        <v>178</v>
      </c>
      <c r="I1924" t="s">
        <v>87</v>
      </c>
      <c r="J1924" s="2">
        <v>1</v>
      </c>
      <c r="K1924" s="3">
        <v>492.3</v>
      </c>
      <c r="L1924" s="3">
        <v>239.57</v>
      </c>
      <c r="M1924" s="4">
        <v>0</v>
      </c>
      <c r="N1924" s="3">
        <f t="shared" si="150"/>
        <v>492.3</v>
      </c>
      <c r="O1924" s="3">
        <f t="shared" si="151"/>
        <v>492.3</v>
      </c>
      <c r="P1924" s="3">
        <f t="shared" si="152"/>
        <v>239.57</v>
      </c>
      <c r="Q1924" s="3">
        <f t="shared" si="153"/>
        <v>252.73</v>
      </c>
      <c r="R1924" s="4">
        <f t="shared" si="154"/>
        <v>0.51339999999999997</v>
      </c>
      <c r="S1924" s="2">
        <v>8</v>
      </c>
      <c r="T1924" t="s">
        <v>40</v>
      </c>
    </row>
    <row r="1925" spans="1:21" x14ac:dyDescent="0.25">
      <c r="A1925" s="1">
        <v>46088</v>
      </c>
      <c r="B1925" t="s">
        <v>2117</v>
      </c>
      <c r="C1925" t="s">
        <v>260</v>
      </c>
      <c r="D1925" t="s">
        <v>101</v>
      </c>
      <c r="E1925" t="s">
        <v>35</v>
      </c>
      <c r="F1925" t="s">
        <v>36</v>
      </c>
      <c r="G1925" t="s">
        <v>51</v>
      </c>
      <c r="H1925" t="s">
        <v>116</v>
      </c>
      <c r="I1925" t="s">
        <v>87</v>
      </c>
      <c r="J1925" s="2">
        <v>1</v>
      </c>
      <c r="K1925" s="3">
        <v>2739.31</v>
      </c>
      <c r="L1925" s="3">
        <v>1872.6</v>
      </c>
      <c r="M1925" s="4">
        <v>0</v>
      </c>
      <c r="N1925" s="3">
        <f t="shared" si="150"/>
        <v>2739.31</v>
      </c>
      <c r="O1925" s="3">
        <f t="shared" si="151"/>
        <v>2739.31</v>
      </c>
      <c r="P1925" s="3">
        <f t="shared" si="152"/>
        <v>1872.6</v>
      </c>
      <c r="Q1925" s="3">
        <f t="shared" si="153"/>
        <v>866.71</v>
      </c>
      <c r="R1925" s="4">
        <f t="shared" si="154"/>
        <v>0.31640000000000001</v>
      </c>
      <c r="S1925" s="2">
        <v>9</v>
      </c>
      <c r="T1925" t="s">
        <v>40</v>
      </c>
    </row>
    <row r="1926" spans="1:21" x14ac:dyDescent="0.25">
      <c r="A1926" s="1">
        <v>46120</v>
      </c>
      <c r="B1926" t="s">
        <v>2118</v>
      </c>
      <c r="C1926" t="s">
        <v>134</v>
      </c>
      <c r="D1926" t="s">
        <v>34</v>
      </c>
      <c r="E1926" t="s">
        <v>35</v>
      </c>
      <c r="F1926" t="s">
        <v>26</v>
      </c>
      <c r="G1926" t="s">
        <v>51</v>
      </c>
      <c r="H1926" t="s">
        <v>52</v>
      </c>
      <c r="I1926" t="s">
        <v>87</v>
      </c>
      <c r="J1926" s="2">
        <v>3</v>
      </c>
      <c r="K1926" s="3">
        <v>269.02999999999997</v>
      </c>
      <c r="L1926" s="3">
        <v>115.84</v>
      </c>
      <c r="M1926" s="4">
        <v>6.6299999999999998E-2</v>
      </c>
      <c r="N1926" s="3">
        <f t="shared" si="150"/>
        <v>807.09</v>
      </c>
      <c r="O1926" s="3">
        <f t="shared" si="151"/>
        <v>753.58</v>
      </c>
      <c r="P1926" s="3">
        <f t="shared" si="152"/>
        <v>347.52</v>
      </c>
      <c r="Q1926" s="3">
        <f t="shared" si="153"/>
        <v>406.06</v>
      </c>
      <c r="R1926" s="4">
        <f t="shared" si="154"/>
        <v>0.53879999999999995</v>
      </c>
      <c r="S1926" s="2">
        <v>6</v>
      </c>
      <c r="T1926" t="s">
        <v>46</v>
      </c>
      <c r="U1926">
        <v>5</v>
      </c>
    </row>
    <row r="1927" spans="1:21" x14ac:dyDescent="0.25">
      <c r="A1927" s="1">
        <v>46094</v>
      </c>
      <c r="B1927" t="s">
        <v>2119</v>
      </c>
      <c r="C1927" t="s">
        <v>155</v>
      </c>
      <c r="D1927" t="s">
        <v>139</v>
      </c>
      <c r="E1927" t="s">
        <v>72</v>
      </c>
      <c r="F1927" t="s">
        <v>36</v>
      </c>
      <c r="G1927" t="s">
        <v>44</v>
      </c>
      <c r="H1927" t="s">
        <v>73</v>
      </c>
      <c r="I1927" t="s">
        <v>60</v>
      </c>
      <c r="J1927" s="2">
        <v>4</v>
      </c>
      <c r="K1927" s="3">
        <v>1750.13</v>
      </c>
      <c r="L1927" s="3">
        <v>1094.2</v>
      </c>
      <c r="M1927" s="4">
        <v>3.2800000000000003E-2</v>
      </c>
      <c r="N1927" s="3">
        <f t="shared" si="150"/>
        <v>7000.52</v>
      </c>
      <c r="O1927" s="3">
        <f t="shared" si="151"/>
        <v>6770.9</v>
      </c>
      <c r="P1927" s="3">
        <f t="shared" si="152"/>
        <v>4376.8</v>
      </c>
      <c r="Q1927" s="3">
        <f t="shared" si="153"/>
        <v>2394.1</v>
      </c>
      <c r="R1927" s="4">
        <f t="shared" si="154"/>
        <v>0.35360000000000003</v>
      </c>
      <c r="S1927" s="2">
        <v>4</v>
      </c>
      <c r="T1927" t="s">
        <v>46</v>
      </c>
      <c r="U1927">
        <v>3</v>
      </c>
    </row>
    <row r="1928" spans="1:21" x14ac:dyDescent="0.25">
      <c r="A1928" s="1">
        <v>46201</v>
      </c>
      <c r="B1928" t="s">
        <v>2120</v>
      </c>
      <c r="C1928" t="s">
        <v>358</v>
      </c>
      <c r="D1928" t="s">
        <v>24</v>
      </c>
      <c r="E1928" t="s">
        <v>25</v>
      </c>
      <c r="F1928" t="s">
        <v>36</v>
      </c>
      <c r="G1928" t="s">
        <v>37</v>
      </c>
      <c r="H1928" t="s">
        <v>178</v>
      </c>
      <c r="I1928" t="s">
        <v>74</v>
      </c>
      <c r="J1928" s="2">
        <v>5</v>
      </c>
      <c r="K1928" s="3">
        <v>519.16</v>
      </c>
      <c r="L1928" s="3">
        <v>252.28</v>
      </c>
      <c r="M1928" s="4">
        <v>8.5500000000000007E-2</v>
      </c>
      <c r="N1928" s="3">
        <f t="shared" si="150"/>
        <v>2595.8000000000002</v>
      </c>
      <c r="O1928" s="3">
        <f t="shared" si="151"/>
        <v>2373.86</v>
      </c>
      <c r="P1928" s="3">
        <f t="shared" si="152"/>
        <v>1261.4000000000001</v>
      </c>
      <c r="Q1928" s="3">
        <f t="shared" si="153"/>
        <v>1112.46</v>
      </c>
      <c r="R1928" s="4">
        <f t="shared" si="154"/>
        <v>0.46860000000000002</v>
      </c>
      <c r="S1928" s="2">
        <v>10</v>
      </c>
      <c r="T1928" t="s">
        <v>40</v>
      </c>
    </row>
    <row r="1929" spans="1:21" x14ac:dyDescent="0.25">
      <c r="A1929" s="1">
        <v>46189</v>
      </c>
      <c r="B1929" t="s">
        <v>2121</v>
      </c>
      <c r="C1929" t="s">
        <v>110</v>
      </c>
      <c r="D1929" t="s">
        <v>130</v>
      </c>
      <c r="E1929" t="s">
        <v>72</v>
      </c>
      <c r="F1929" t="s">
        <v>36</v>
      </c>
      <c r="G1929" t="s">
        <v>27</v>
      </c>
      <c r="H1929" t="s">
        <v>28</v>
      </c>
      <c r="I1929" t="s">
        <v>39</v>
      </c>
      <c r="J1929" s="2">
        <v>1</v>
      </c>
      <c r="K1929" s="3">
        <v>837.38</v>
      </c>
      <c r="L1929" s="3">
        <v>462.19</v>
      </c>
      <c r="M1929" s="4">
        <v>0</v>
      </c>
      <c r="N1929" s="3">
        <f t="shared" si="150"/>
        <v>837.38</v>
      </c>
      <c r="O1929" s="3">
        <f t="shared" si="151"/>
        <v>837.38</v>
      </c>
      <c r="P1929" s="3">
        <f t="shared" si="152"/>
        <v>462.19</v>
      </c>
      <c r="Q1929" s="3">
        <f t="shared" si="153"/>
        <v>375.19</v>
      </c>
      <c r="R1929" s="4">
        <f t="shared" si="154"/>
        <v>0.4481</v>
      </c>
      <c r="S1929" s="2">
        <v>11</v>
      </c>
      <c r="T1929" t="s">
        <v>30</v>
      </c>
      <c r="U1929">
        <v>5</v>
      </c>
    </row>
    <row r="1930" spans="1:21" x14ac:dyDescent="0.25">
      <c r="A1930" s="1">
        <v>46104</v>
      </c>
      <c r="B1930" t="s">
        <v>2122</v>
      </c>
      <c r="C1930" t="s">
        <v>187</v>
      </c>
      <c r="D1930" t="s">
        <v>97</v>
      </c>
      <c r="E1930" t="s">
        <v>57</v>
      </c>
      <c r="F1930" t="s">
        <v>64</v>
      </c>
      <c r="G1930" t="s">
        <v>27</v>
      </c>
      <c r="H1930" t="s">
        <v>86</v>
      </c>
      <c r="I1930" t="s">
        <v>39</v>
      </c>
      <c r="J1930" s="2">
        <v>8</v>
      </c>
      <c r="K1930" s="3">
        <v>1845.11</v>
      </c>
      <c r="L1930" s="3">
        <v>1182.82</v>
      </c>
      <c r="M1930" s="4">
        <v>0.1215</v>
      </c>
      <c r="N1930" s="3">
        <f t="shared" si="150"/>
        <v>14760.88</v>
      </c>
      <c r="O1930" s="3">
        <f t="shared" si="151"/>
        <v>12967.43</v>
      </c>
      <c r="P1930" s="3">
        <f t="shared" si="152"/>
        <v>9462.56</v>
      </c>
      <c r="Q1930" s="3">
        <f t="shared" si="153"/>
        <v>3504.87</v>
      </c>
      <c r="R1930" s="4">
        <f t="shared" si="154"/>
        <v>0.27029999999999998</v>
      </c>
      <c r="S1930" s="2">
        <v>10</v>
      </c>
      <c r="T1930" t="s">
        <v>46</v>
      </c>
      <c r="U1930">
        <v>5</v>
      </c>
    </row>
    <row r="1931" spans="1:21" x14ac:dyDescent="0.25">
      <c r="A1931" s="1">
        <v>46163</v>
      </c>
      <c r="B1931" t="s">
        <v>2123</v>
      </c>
      <c r="C1931" t="s">
        <v>153</v>
      </c>
      <c r="D1931" t="s">
        <v>113</v>
      </c>
      <c r="E1931" t="s">
        <v>50</v>
      </c>
      <c r="F1931" t="s">
        <v>64</v>
      </c>
      <c r="G1931" t="s">
        <v>37</v>
      </c>
      <c r="H1931" t="s">
        <v>178</v>
      </c>
      <c r="I1931" t="s">
        <v>39</v>
      </c>
      <c r="J1931" s="2">
        <v>7</v>
      </c>
      <c r="K1931" s="3">
        <v>501.54</v>
      </c>
      <c r="L1931" s="3">
        <v>249.74</v>
      </c>
      <c r="M1931" s="4">
        <v>0</v>
      </c>
      <c r="N1931" s="3">
        <f t="shared" si="150"/>
        <v>3510.78</v>
      </c>
      <c r="O1931" s="3">
        <f t="shared" si="151"/>
        <v>3510.78</v>
      </c>
      <c r="P1931" s="3">
        <f t="shared" si="152"/>
        <v>1748.18</v>
      </c>
      <c r="Q1931" s="3">
        <f t="shared" si="153"/>
        <v>1762.6</v>
      </c>
      <c r="R1931" s="4">
        <f t="shared" si="154"/>
        <v>0.50209999999999999</v>
      </c>
      <c r="S1931" s="2">
        <v>9</v>
      </c>
      <c r="T1931" t="s">
        <v>46</v>
      </c>
      <c r="U1931">
        <v>4</v>
      </c>
    </row>
    <row r="1932" spans="1:21" x14ac:dyDescent="0.25">
      <c r="A1932" s="1">
        <v>46182</v>
      </c>
      <c r="B1932" t="s">
        <v>2124</v>
      </c>
      <c r="C1932" t="s">
        <v>609</v>
      </c>
      <c r="D1932" t="s">
        <v>97</v>
      </c>
      <c r="E1932" t="s">
        <v>57</v>
      </c>
      <c r="F1932" t="s">
        <v>64</v>
      </c>
      <c r="G1932" t="s">
        <v>27</v>
      </c>
      <c r="H1932" t="s">
        <v>28</v>
      </c>
      <c r="I1932" t="s">
        <v>29</v>
      </c>
      <c r="J1932" s="2">
        <v>6</v>
      </c>
      <c r="K1932" s="3">
        <v>745.37</v>
      </c>
      <c r="L1932" s="3">
        <v>448.79</v>
      </c>
      <c r="M1932" s="4">
        <v>0</v>
      </c>
      <c r="N1932" s="3">
        <f t="shared" si="150"/>
        <v>4472.22</v>
      </c>
      <c r="O1932" s="3">
        <f t="shared" si="151"/>
        <v>4472.22</v>
      </c>
      <c r="P1932" s="3">
        <f t="shared" si="152"/>
        <v>2692.74</v>
      </c>
      <c r="Q1932" s="3">
        <f t="shared" si="153"/>
        <v>1779.48</v>
      </c>
      <c r="R1932" s="4">
        <f t="shared" si="154"/>
        <v>0.39789999999999998</v>
      </c>
      <c r="S1932" s="2">
        <v>5</v>
      </c>
      <c r="T1932" t="s">
        <v>46</v>
      </c>
      <c r="U1932">
        <v>5</v>
      </c>
    </row>
    <row r="1933" spans="1:21" x14ac:dyDescent="0.25">
      <c r="A1933" s="1">
        <v>46118</v>
      </c>
      <c r="B1933" t="s">
        <v>2125</v>
      </c>
      <c r="C1933" t="s">
        <v>520</v>
      </c>
      <c r="D1933" t="s">
        <v>113</v>
      </c>
      <c r="E1933" t="s">
        <v>50</v>
      </c>
      <c r="F1933" t="s">
        <v>36</v>
      </c>
      <c r="G1933" t="s">
        <v>51</v>
      </c>
      <c r="H1933" t="s">
        <v>116</v>
      </c>
      <c r="I1933" t="s">
        <v>77</v>
      </c>
      <c r="J1933" s="2">
        <v>5</v>
      </c>
      <c r="K1933" s="3">
        <v>2699.12</v>
      </c>
      <c r="L1933" s="3">
        <v>1824.31</v>
      </c>
      <c r="M1933" s="4">
        <v>0</v>
      </c>
      <c r="N1933" s="3">
        <f t="shared" si="150"/>
        <v>13495.6</v>
      </c>
      <c r="O1933" s="3">
        <f t="shared" si="151"/>
        <v>13495.6</v>
      </c>
      <c r="P1933" s="3">
        <f t="shared" si="152"/>
        <v>9121.5499999999993</v>
      </c>
      <c r="Q1933" s="3">
        <f t="shared" si="153"/>
        <v>4374.05</v>
      </c>
      <c r="R1933" s="4">
        <f t="shared" si="154"/>
        <v>0.3241</v>
      </c>
      <c r="S1933" s="2">
        <v>9</v>
      </c>
      <c r="T1933" t="s">
        <v>46</v>
      </c>
      <c r="U1933">
        <v>5</v>
      </c>
    </row>
    <row r="1934" spans="1:21" x14ac:dyDescent="0.25">
      <c r="A1934" s="1">
        <v>46171</v>
      </c>
      <c r="B1934" t="s">
        <v>2126</v>
      </c>
      <c r="C1934" t="s">
        <v>308</v>
      </c>
      <c r="D1934" t="s">
        <v>34</v>
      </c>
      <c r="E1934" t="s">
        <v>35</v>
      </c>
      <c r="F1934" t="s">
        <v>36</v>
      </c>
      <c r="G1934" t="s">
        <v>44</v>
      </c>
      <c r="H1934" t="s">
        <v>73</v>
      </c>
      <c r="I1934" t="s">
        <v>53</v>
      </c>
      <c r="J1934" s="2">
        <v>3</v>
      </c>
      <c r="K1934" s="3">
        <v>1779.03</v>
      </c>
      <c r="L1934" s="3">
        <v>1059.6099999999999</v>
      </c>
      <c r="M1934" s="4">
        <v>0.1066</v>
      </c>
      <c r="N1934" s="3">
        <f t="shared" si="150"/>
        <v>5337.09</v>
      </c>
      <c r="O1934" s="3">
        <f t="shared" si="151"/>
        <v>4768.16</v>
      </c>
      <c r="P1934" s="3">
        <f t="shared" si="152"/>
        <v>3178.83</v>
      </c>
      <c r="Q1934" s="3">
        <f t="shared" si="153"/>
        <v>1589.33</v>
      </c>
      <c r="R1934" s="4">
        <f t="shared" si="154"/>
        <v>0.33329999999999999</v>
      </c>
      <c r="S1934" s="2">
        <v>2</v>
      </c>
      <c r="T1934" t="s">
        <v>46</v>
      </c>
      <c r="U1934">
        <v>3</v>
      </c>
    </row>
    <row r="1935" spans="1:21" x14ac:dyDescent="0.25">
      <c r="A1935" s="1">
        <v>46080</v>
      </c>
      <c r="B1935" t="s">
        <v>2127</v>
      </c>
      <c r="C1935" t="s">
        <v>375</v>
      </c>
      <c r="D1935" t="s">
        <v>34</v>
      </c>
      <c r="E1935" t="s">
        <v>35</v>
      </c>
      <c r="F1935" t="s">
        <v>58</v>
      </c>
      <c r="G1935" t="s">
        <v>27</v>
      </c>
      <c r="H1935" t="s">
        <v>86</v>
      </c>
      <c r="I1935" t="s">
        <v>87</v>
      </c>
      <c r="J1935" s="2">
        <v>7</v>
      </c>
      <c r="K1935" s="3">
        <v>1887.83</v>
      </c>
      <c r="L1935" s="3">
        <v>1152.5999999999999</v>
      </c>
      <c r="M1935" s="4">
        <v>8.8099999999999998E-2</v>
      </c>
      <c r="N1935" s="3">
        <f t="shared" si="150"/>
        <v>13214.81</v>
      </c>
      <c r="O1935" s="3">
        <f t="shared" si="151"/>
        <v>12050.59</v>
      </c>
      <c r="P1935" s="3">
        <f t="shared" si="152"/>
        <v>8068.2</v>
      </c>
      <c r="Q1935" s="3">
        <f t="shared" si="153"/>
        <v>3982.39</v>
      </c>
      <c r="R1935" s="4">
        <f t="shared" si="154"/>
        <v>0.33050000000000002</v>
      </c>
      <c r="S1935" s="2">
        <v>14</v>
      </c>
      <c r="T1935" t="s">
        <v>30</v>
      </c>
      <c r="U1935">
        <v>3</v>
      </c>
    </row>
    <row r="1936" spans="1:21" x14ac:dyDescent="0.25">
      <c r="A1936" s="1">
        <v>46185</v>
      </c>
      <c r="B1936" t="s">
        <v>2128</v>
      </c>
      <c r="C1936" t="s">
        <v>132</v>
      </c>
      <c r="D1936" t="s">
        <v>121</v>
      </c>
      <c r="E1936" t="s">
        <v>72</v>
      </c>
      <c r="F1936" t="s">
        <v>26</v>
      </c>
      <c r="G1936" t="s">
        <v>51</v>
      </c>
      <c r="H1936" t="s">
        <v>59</v>
      </c>
      <c r="I1936" t="s">
        <v>53</v>
      </c>
      <c r="J1936" s="2">
        <v>3</v>
      </c>
      <c r="K1936" s="3">
        <v>2163.5500000000002</v>
      </c>
      <c r="L1936" s="3">
        <v>1507.46</v>
      </c>
      <c r="M1936" s="4">
        <v>1.9300000000000001E-2</v>
      </c>
      <c r="N1936" s="3">
        <f t="shared" si="150"/>
        <v>6490.65</v>
      </c>
      <c r="O1936" s="3">
        <f t="shared" si="151"/>
        <v>6365.38</v>
      </c>
      <c r="P1936" s="3">
        <f t="shared" si="152"/>
        <v>4522.38</v>
      </c>
      <c r="Q1936" s="3">
        <f t="shared" si="153"/>
        <v>1843</v>
      </c>
      <c r="R1936" s="4">
        <f t="shared" si="154"/>
        <v>0.28949999999999998</v>
      </c>
      <c r="S1936" s="2">
        <v>6</v>
      </c>
      <c r="T1936" t="s">
        <v>46</v>
      </c>
      <c r="U1936">
        <v>5</v>
      </c>
    </row>
    <row r="1937" spans="1:21" x14ac:dyDescent="0.25">
      <c r="A1937" s="1">
        <v>46127</v>
      </c>
      <c r="B1937" t="s">
        <v>2129</v>
      </c>
      <c r="C1937" t="s">
        <v>190</v>
      </c>
      <c r="D1937" t="s">
        <v>139</v>
      </c>
      <c r="E1937" t="s">
        <v>72</v>
      </c>
      <c r="F1937" t="s">
        <v>64</v>
      </c>
      <c r="G1937" t="s">
        <v>51</v>
      </c>
      <c r="H1937" t="s">
        <v>52</v>
      </c>
      <c r="I1937" t="s">
        <v>29</v>
      </c>
      <c r="J1937" s="2">
        <v>4</v>
      </c>
      <c r="K1937" s="3">
        <v>264.47000000000003</v>
      </c>
      <c r="L1937" s="3">
        <v>121.29</v>
      </c>
      <c r="M1937" s="4">
        <v>0</v>
      </c>
      <c r="N1937" s="3">
        <f t="shared" si="150"/>
        <v>1057.8800000000001</v>
      </c>
      <c r="O1937" s="3">
        <f t="shared" si="151"/>
        <v>1057.8800000000001</v>
      </c>
      <c r="P1937" s="3">
        <f t="shared" si="152"/>
        <v>485.16</v>
      </c>
      <c r="Q1937" s="3">
        <f t="shared" si="153"/>
        <v>572.72</v>
      </c>
      <c r="R1937" s="4">
        <f t="shared" si="154"/>
        <v>0.54139999999999999</v>
      </c>
      <c r="S1937" s="2">
        <v>3</v>
      </c>
      <c r="T1937" t="s">
        <v>46</v>
      </c>
      <c r="U1937">
        <v>4</v>
      </c>
    </row>
    <row r="1938" spans="1:21" x14ac:dyDescent="0.25">
      <c r="A1938" s="1">
        <v>46102</v>
      </c>
      <c r="B1938" t="s">
        <v>2130</v>
      </c>
      <c r="C1938" t="s">
        <v>381</v>
      </c>
      <c r="D1938" t="s">
        <v>43</v>
      </c>
      <c r="E1938" t="s">
        <v>25</v>
      </c>
      <c r="F1938" t="s">
        <v>36</v>
      </c>
      <c r="G1938" t="s">
        <v>37</v>
      </c>
      <c r="H1938" t="s">
        <v>38</v>
      </c>
      <c r="I1938" t="s">
        <v>29</v>
      </c>
      <c r="J1938" s="2">
        <v>4</v>
      </c>
      <c r="K1938" s="3">
        <v>427.16</v>
      </c>
      <c r="L1938" s="3">
        <v>191.92</v>
      </c>
      <c r="M1938" s="4">
        <v>0</v>
      </c>
      <c r="N1938" s="3">
        <f t="shared" si="150"/>
        <v>1708.64</v>
      </c>
      <c r="O1938" s="3">
        <f t="shared" si="151"/>
        <v>1708.64</v>
      </c>
      <c r="P1938" s="3">
        <f t="shared" si="152"/>
        <v>767.68</v>
      </c>
      <c r="Q1938" s="3">
        <f t="shared" si="153"/>
        <v>940.96</v>
      </c>
      <c r="R1938" s="4">
        <f t="shared" si="154"/>
        <v>0.55069999999999997</v>
      </c>
      <c r="S1938" s="2">
        <v>5</v>
      </c>
      <c r="T1938" t="s">
        <v>40</v>
      </c>
    </row>
    <row r="1939" spans="1:21" x14ac:dyDescent="0.25">
      <c r="A1939" s="1">
        <v>46054</v>
      </c>
      <c r="B1939" t="s">
        <v>2131</v>
      </c>
      <c r="C1939" t="s">
        <v>134</v>
      </c>
      <c r="D1939" t="s">
        <v>85</v>
      </c>
      <c r="E1939" t="s">
        <v>50</v>
      </c>
      <c r="F1939" t="s">
        <v>64</v>
      </c>
      <c r="G1939" t="s">
        <v>27</v>
      </c>
      <c r="H1939" t="s">
        <v>86</v>
      </c>
      <c r="I1939" t="s">
        <v>53</v>
      </c>
      <c r="J1939" s="2">
        <v>8</v>
      </c>
      <c r="K1939" s="3">
        <v>1919.86</v>
      </c>
      <c r="L1939" s="3">
        <v>1190.54</v>
      </c>
      <c r="M1939" s="4">
        <v>0</v>
      </c>
      <c r="N1939" s="3">
        <f t="shared" si="150"/>
        <v>15358.88</v>
      </c>
      <c r="O1939" s="3">
        <f t="shared" si="151"/>
        <v>15358.88</v>
      </c>
      <c r="P1939" s="3">
        <f t="shared" si="152"/>
        <v>9524.32</v>
      </c>
      <c r="Q1939" s="3">
        <f t="shared" si="153"/>
        <v>5834.56</v>
      </c>
      <c r="R1939" s="4">
        <f t="shared" si="154"/>
        <v>0.37990000000000002</v>
      </c>
      <c r="S1939" s="2">
        <v>13</v>
      </c>
      <c r="T1939" t="s">
        <v>30</v>
      </c>
      <c r="U1939">
        <v>3</v>
      </c>
    </row>
    <row r="1940" spans="1:21" x14ac:dyDescent="0.25">
      <c r="A1940" s="1">
        <v>46085</v>
      </c>
      <c r="B1940" t="s">
        <v>2132</v>
      </c>
      <c r="C1940" t="s">
        <v>118</v>
      </c>
      <c r="D1940" t="s">
        <v>49</v>
      </c>
      <c r="E1940" t="s">
        <v>50</v>
      </c>
      <c r="F1940" t="s">
        <v>36</v>
      </c>
      <c r="G1940" t="s">
        <v>37</v>
      </c>
      <c r="H1940" t="s">
        <v>178</v>
      </c>
      <c r="I1940" t="s">
        <v>60</v>
      </c>
      <c r="J1940" s="2">
        <v>6</v>
      </c>
      <c r="K1940" s="3">
        <v>521.66</v>
      </c>
      <c r="L1940" s="3">
        <v>231.2</v>
      </c>
      <c r="M1940" s="4">
        <v>5.0200000000000002E-2</v>
      </c>
      <c r="N1940" s="3">
        <f t="shared" si="150"/>
        <v>3129.96</v>
      </c>
      <c r="O1940" s="3">
        <f t="shared" si="151"/>
        <v>2972.84</v>
      </c>
      <c r="P1940" s="3">
        <f t="shared" si="152"/>
        <v>1387.2</v>
      </c>
      <c r="Q1940" s="3">
        <f t="shared" si="153"/>
        <v>1585.64</v>
      </c>
      <c r="R1940" s="4">
        <f t="shared" si="154"/>
        <v>0.53339999999999999</v>
      </c>
      <c r="S1940" s="2">
        <v>3</v>
      </c>
      <c r="T1940" t="s">
        <v>46</v>
      </c>
      <c r="U1940">
        <v>3</v>
      </c>
    </row>
    <row r="1941" spans="1:21" x14ac:dyDescent="0.25">
      <c r="A1941" s="1">
        <v>46187</v>
      </c>
      <c r="B1941" t="s">
        <v>2133</v>
      </c>
      <c r="C1941" t="s">
        <v>220</v>
      </c>
      <c r="D1941" t="s">
        <v>63</v>
      </c>
      <c r="E1941" t="s">
        <v>35</v>
      </c>
      <c r="F1941" t="s">
        <v>36</v>
      </c>
      <c r="G1941" t="s">
        <v>27</v>
      </c>
      <c r="H1941" t="s">
        <v>68</v>
      </c>
      <c r="I1941" t="s">
        <v>29</v>
      </c>
      <c r="J1941" s="2">
        <v>3</v>
      </c>
      <c r="K1941" s="3">
        <v>1253.5999999999999</v>
      </c>
      <c r="L1941" s="3">
        <v>760.68</v>
      </c>
      <c r="M1941" s="4">
        <v>0.1124</v>
      </c>
      <c r="N1941" s="3">
        <f t="shared" si="150"/>
        <v>3760.8</v>
      </c>
      <c r="O1941" s="3">
        <f t="shared" si="151"/>
        <v>3338.09</v>
      </c>
      <c r="P1941" s="3">
        <f t="shared" si="152"/>
        <v>2282.04</v>
      </c>
      <c r="Q1941" s="3">
        <f t="shared" si="153"/>
        <v>1056.05</v>
      </c>
      <c r="R1941" s="4">
        <f t="shared" si="154"/>
        <v>0.31640000000000001</v>
      </c>
      <c r="S1941" s="2">
        <v>11</v>
      </c>
      <c r="T1941" t="s">
        <v>30</v>
      </c>
      <c r="U1941">
        <v>3</v>
      </c>
    </row>
    <row r="1942" spans="1:21" x14ac:dyDescent="0.25">
      <c r="A1942" s="1">
        <v>46193</v>
      </c>
      <c r="B1942" t="s">
        <v>2134</v>
      </c>
      <c r="C1942" t="s">
        <v>447</v>
      </c>
      <c r="D1942" t="s">
        <v>207</v>
      </c>
      <c r="E1942" t="s">
        <v>35</v>
      </c>
      <c r="F1942" t="s">
        <v>64</v>
      </c>
      <c r="G1942" t="s">
        <v>51</v>
      </c>
      <c r="H1942" t="s">
        <v>59</v>
      </c>
      <c r="I1942" t="s">
        <v>65</v>
      </c>
      <c r="J1942" s="2">
        <v>3</v>
      </c>
      <c r="K1942" s="3">
        <v>2143.4</v>
      </c>
      <c r="L1942" s="3">
        <v>1478.22</v>
      </c>
      <c r="M1942" s="4">
        <v>4.7600000000000003E-2</v>
      </c>
      <c r="N1942" s="3">
        <f t="shared" si="150"/>
        <v>6430.2</v>
      </c>
      <c r="O1942" s="3">
        <f t="shared" si="151"/>
        <v>6124.12</v>
      </c>
      <c r="P1942" s="3">
        <f t="shared" si="152"/>
        <v>4434.66</v>
      </c>
      <c r="Q1942" s="3">
        <f t="shared" si="153"/>
        <v>1689.46</v>
      </c>
      <c r="R1942" s="4">
        <f t="shared" si="154"/>
        <v>0.27589999999999998</v>
      </c>
      <c r="S1942" s="2">
        <v>14</v>
      </c>
      <c r="T1942" t="s">
        <v>30</v>
      </c>
      <c r="U1942">
        <v>4</v>
      </c>
    </row>
    <row r="1943" spans="1:21" x14ac:dyDescent="0.25">
      <c r="A1943" s="1">
        <v>46208</v>
      </c>
      <c r="B1943" t="s">
        <v>2135</v>
      </c>
      <c r="C1943" t="s">
        <v>180</v>
      </c>
      <c r="D1943" t="s">
        <v>130</v>
      </c>
      <c r="E1943" t="s">
        <v>72</v>
      </c>
      <c r="F1943" t="s">
        <v>58</v>
      </c>
      <c r="G1943" t="s">
        <v>27</v>
      </c>
      <c r="H1943" t="s">
        <v>86</v>
      </c>
      <c r="I1943" t="s">
        <v>87</v>
      </c>
      <c r="J1943" s="2">
        <v>3</v>
      </c>
      <c r="K1943" s="3">
        <v>1924.17</v>
      </c>
      <c r="L1943" s="3">
        <v>1189.07</v>
      </c>
      <c r="M1943" s="4">
        <v>8.4699999999999998E-2</v>
      </c>
      <c r="N1943" s="3">
        <f t="shared" si="150"/>
        <v>5772.51</v>
      </c>
      <c r="O1943" s="3">
        <f t="shared" si="151"/>
        <v>5283.58</v>
      </c>
      <c r="P1943" s="3">
        <f t="shared" si="152"/>
        <v>3567.21</v>
      </c>
      <c r="Q1943" s="3">
        <f t="shared" si="153"/>
        <v>1716.37</v>
      </c>
      <c r="R1943" s="4">
        <f t="shared" si="154"/>
        <v>0.32479999999999998</v>
      </c>
      <c r="S1943" s="2">
        <v>5</v>
      </c>
      <c r="T1943" t="s">
        <v>46</v>
      </c>
      <c r="U1943">
        <v>2</v>
      </c>
    </row>
    <row r="1944" spans="1:21" x14ac:dyDescent="0.25">
      <c r="A1944" s="1">
        <v>46049</v>
      </c>
      <c r="B1944" t="s">
        <v>2136</v>
      </c>
      <c r="C1944" t="s">
        <v>447</v>
      </c>
      <c r="D1944" t="s">
        <v>126</v>
      </c>
      <c r="E1944" t="s">
        <v>57</v>
      </c>
      <c r="F1944" t="s">
        <v>64</v>
      </c>
      <c r="G1944" t="s">
        <v>51</v>
      </c>
      <c r="H1944" t="s">
        <v>59</v>
      </c>
      <c r="I1944" t="s">
        <v>74</v>
      </c>
      <c r="J1944" s="2">
        <v>2</v>
      </c>
      <c r="K1944" s="3">
        <v>2239.6999999999998</v>
      </c>
      <c r="L1944" s="3">
        <v>1407.06</v>
      </c>
      <c r="M1944" s="4">
        <v>0</v>
      </c>
      <c r="N1944" s="3">
        <f t="shared" si="150"/>
        <v>4479.3999999999996</v>
      </c>
      <c r="O1944" s="3">
        <f t="shared" si="151"/>
        <v>4479.3999999999996</v>
      </c>
      <c r="P1944" s="3">
        <f t="shared" si="152"/>
        <v>2814.12</v>
      </c>
      <c r="Q1944" s="3">
        <f t="shared" si="153"/>
        <v>1665.28</v>
      </c>
      <c r="R1944" s="4">
        <f t="shared" si="154"/>
        <v>0.37180000000000002</v>
      </c>
      <c r="S1944" s="2">
        <v>10</v>
      </c>
      <c r="T1944" t="s">
        <v>46</v>
      </c>
      <c r="U1944">
        <v>5</v>
      </c>
    </row>
    <row r="1945" spans="1:21" x14ac:dyDescent="0.25">
      <c r="A1945" s="1">
        <v>46161</v>
      </c>
      <c r="B1945" t="s">
        <v>2137</v>
      </c>
      <c r="C1945" t="s">
        <v>290</v>
      </c>
      <c r="D1945" t="s">
        <v>207</v>
      </c>
      <c r="E1945" t="s">
        <v>35</v>
      </c>
      <c r="F1945" t="s">
        <v>36</v>
      </c>
      <c r="G1945" t="s">
        <v>51</v>
      </c>
      <c r="H1945" t="s">
        <v>116</v>
      </c>
      <c r="I1945" t="s">
        <v>87</v>
      </c>
      <c r="J1945" s="2">
        <v>5</v>
      </c>
      <c r="K1945" s="3">
        <v>2838.59</v>
      </c>
      <c r="L1945" s="3">
        <v>1815.16</v>
      </c>
      <c r="M1945" s="4">
        <v>0</v>
      </c>
      <c r="N1945" s="3">
        <f t="shared" si="150"/>
        <v>14192.95</v>
      </c>
      <c r="O1945" s="3">
        <f t="shared" si="151"/>
        <v>14192.95</v>
      </c>
      <c r="P1945" s="3">
        <f t="shared" si="152"/>
        <v>9075.7999999999993</v>
      </c>
      <c r="Q1945" s="3">
        <f t="shared" si="153"/>
        <v>5117.1499999999996</v>
      </c>
      <c r="R1945" s="4">
        <f t="shared" si="154"/>
        <v>0.36049999999999999</v>
      </c>
      <c r="S1945" s="2">
        <v>6</v>
      </c>
      <c r="T1945" t="s">
        <v>46</v>
      </c>
      <c r="U1945">
        <v>5</v>
      </c>
    </row>
    <row r="1946" spans="1:21" x14ac:dyDescent="0.25">
      <c r="A1946" s="1">
        <v>46206</v>
      </c>
      <c r="B1946" t="s">
        <v>1307</v>
      </c>
      <c r="C1946" t="s">
        <v>315</v>
      </c>
      <c r="D1946" t="s">
        <v>121</v>
      </c>
      <c r="E1946" t="s">
        <v>72</v>
      </c>
      <c r="F1946" t="s">
        <v>36</v>
      </c>
      <c r="G1946" t="s">
        <v>44</v>
      </c>
      <c r="H1946" t="s">
        <v>124</v>
      </c>
      <c r="I1946" t="s">
        <v>29</v>
      </c>
      <c r="J1946" s="2">
        <v>5</v>
      </c>
      <c r="K1946" s="3">
        <v>6075.54</v>
      </c>
      <c r="L1946" s="3">
        <v>4679.3999999999996</v>
      </c>
      <c r="M1946" s="4">
        <v>5.2400000000000002E-2</v>
      </c>
      <c r="N1946" s="3">
        <f t="shared" si="150"/>
        <v>30377.7</v>
      </c>
      <c r="O1946" s="3">
        <f t="shared" si="151"/>
        <v>28785.91</v>
      </c>
      <c r="P1946" s="3">
        <f t="shared" si="152"/>
        <v>23397</v>
      </c>
      <c r="Q1946" s="3">
        <f t="shared" si="153"/>
        <v>5388.91</v>
      </c>
      <c r="R1946" s="4">
        <f t="shared" si="154"/>
        <v>0.18720000000000001</v>
      </c>
      <c r="S1946" s="2">
        <v>10</v>
      </c>
      <c r="T1946" t="s">
        <v>46</v>
      </c>
      <c r="U1946">
        <v>4</v>
      </c>
    </row>
    <row r="1947" spans="1:21" x14ac:dyDescent="0.25">
      <c r="A1947" s="1">
        <v>46114</v>
      </c>
      <c r="B1947" t="s">
        <v>2138</v>
      </c>
      <c r="C1947" t="s">
        <v>284</v>
      </c>
      <c r="D1947" t="s">
        <v>34</v>
      </c>
      <c r="E1947" t="s">
        <v>35</v>
      </c>
      <c r="F1947" t="s">
        <v>64</v>
      </c>
      <c r="G1947" t="s">
        <v>37</v>
      </c>
      <c r="H1947" t="s">
        <v>104</v>
      </c>
      <c r="I1947" t="s">
        <v>87</v>
      </c>
      <c r="J1947" s="2">
        <v>7</v>
      </c>
      <c r="K1947" s="3">
        <v>309.49</v>
      </c>
      <c r="L1947" s="3">
        <v>138.46</v>
      </c>
      <c r="M1947" s="4">
        <v>6.7900000000000002E-2</v>
      </c>
      <c r="N1947" s="3">
        <f t="shared" si="150"/>
        <v>2166.4299999999998</v>
      </c>
      <c r="O1947" s="3">
        <f t="shared" si="151"/>
        <v>2019.33</v>
      </c>
      <c r="P1947" s="3">
        <f t="shared" si="152"/>
        <v>969.22</v>
      </c>
      <c r="Q1947" s="3">
        <f t="shared" si="153"/>
        <v>1050.1099999999999</v>
      </c>
      <c r="R1947" s="4">
        <f t="shared" si="154"/>
        <v>0.52</v>
      </c>
      <c r="S1947" s="2">
        <v>11</v>
      </c>
      <c r="T1947" t="s">
        <v>30</v>
      </c>
      <c r="U1947">
        <v>2</v>
      </c>
    </row>
    <row r="1948" spans="1:21" x14ac:dyDescent="0.25">
      <c r="A1948" s="1">
        <v>46149</v>
      </c>
      <c r="B1948" t="s">
        <v>2139</v>
      </c>
      <c r="C1948" t="s">
        <v>180</v>
      </c>
      <c r="D1948" t="s">
        <v>113</v>
      </c>
      <c r="E1948" t="s">
        <v>50</v>
      </c>
      <c r="F1948" t="s">
        <v>64</v>
      </c>
      <c r="G1948" t="s">
        <v>27</v>
      </c>
      <c r="H1948" t="s">
        <v>28</v>
      </c>
      <c r="I1948" t="s">
        <v>74</v>
      </c>
      <c r="J1948" s="2">
        <v>8</v>
      </c>
      <c r="K1948" s="3">
        <v>773.37</v>
      </c>
      <c r="L1948" s="3">
        <v>473.15</v>
      </c>
      <c r="M1948" s="4">
        <v>4.0899999999999999E-2</v>
      </c>
      <c r="N1948" s="3">
        <f t="shared" si="150"/>
        <v>6186.96</v>
      </c>
      <c r="O1948" s="3">
        <f t="shared" si="151"/>
        <v>5933.91</v>
      </c>
      <c r="P1948" s="3">
        <f t="shared" si="152"/>
        <v>3785.2</v>
      </c>
      <c r="Q1948" s="3">
        <f t="shared" si="153"/>
        <v>2148.71</v>
      </c>
      <c r="R1948" s="4">
        <f t="shared" si="154"/>
        <v>0.36209999999999998</v>
      </c>
      <c r="S1948" s="2">
        <v>12</v>
      </c>
      <c r="T1948" t="s">
        <v>30</v>
      </c>
      <c r="U1948">
        <v>2</v>
      </c>
    </row>
    <row r="1949" spans="1:21" x14ac:dyDescent="0.25">
      <c r="A1949" s="1">
        <v>46077</v>
      </c>
      <c r="B1949" t="s">
        <v>2140</v>
      </c>
      <c r="C1949" t="s">
        <v>294</v>
      </c>
      <c r="D1949" t="s">
        <v>113</v>
      </c>
      <c r="E1949" t="s">
        <v>50</v>
      </c>
      <c r="F1949" t="s">
        <v>58</v>
      </c>
      <c r="G1949" t="s">
        <v>51</v>
      </c>
      <c r="H1949" t="s">
        <v>59</v>
      </c>
      <c r="I1949" t="s">
        <v>92</v>
      </c>
      <c r="J1949" s="2">
        <v>5</v>
      </c>
      <c r="K1949" s="3">
        <v>2074.29</v>
      </c>
      <c r="L1949" s="3">
        <v>1382.03</v>
      </c>
      <c r="M1949" s="4">
        <v>9.9299999999999999E-2</v>
      </c>
      <c r="N1949" s="3">
        <f t="shared" si="150"/>
        <v>10371.450000000001</v>
      </c>
      <c r="O1949" s="3">
        <f t="shared" si="151"/>
        <v>9341.57</v>
      </c>
      <c r="P1949" s="3">
        <f t="shared" si="152"/>
        <v>6910.15</v>
      </c>
      <c r="Q1949" s="3">
        <f t="shared" si="153"/>
        <v>2431.42</v>
      </c>
      <c r="R1949" s="4">
        <f t="shared" si="154"/>
        <v>0.26029999999999998</v>
      </c>
      <c r="S1949" s="2">
        <v>3</v>
      </c>
      <c r="T1949" t="s">
        <v>46</v>
      </c>
      <c r="U1949">
        <v>3</v>
      </c>
    </row>
    <row r="1950" spans="1:21" x14ac:dyDescent="0.25">
      <c r="A1950" s="1">
        <v>46096</v>
      </c>
      <c r="B1950" t="s">
        <v>2141</v>
      </c>
      <c r="C1950" t="s">
        <v>195</v>
      </c>
      <c r="D1950" t="s">
        <v>126</v>
      </c>
      <c r="E1950" t="s">
        <v>57</v>
      </c>
      <c r="F1950" t="s">
        <v>64</v>
      </c>
      <c r="G1950" t="s">
        <v>44</v>
      </c>
      <c r="H1950" t="s">
        <v>124</v>
      </c>
      <c r="I1950" t="s">
        <v>65</v>
      </c>
      <c r="J1950" s="2">
        <v>1</v>
      </c>
      <c r="K1950" s="3">
        <v>5964.94</v>
      </c>
      <c r="L1950" s="3">
        <v>4477.6099999999997</v>
      </c>
      <c r="M1950" s="4">
        <v>2.2800000000000001E-2</v>
      </c>
      <c r="N1950" s="3">
        <f t="shared" si="150"/>
        <v>5964.94</v>
      </c>
      <c r="O1950" s="3">
        <f t="shared" si="151"/>
        <v>5828.94</v>
      </c>
      <c r="P1950" s="3">
        <f t="shared" si="152"/>
        <v>4477.6099999999997</v>
      </c>
      <c r="Q1950" s="3">
        <f t="shared" si="153"/>
        <v>1351.33</v>
      </c>
      <c r="R1950" s="4">
        <f t="shared" si="154"/>
        <v>0.23180000000000001</v>
      </c>
      <c r="S1950" s="2">
        <v>13</v>
      </c>
      <c r="T1950" t="s">
        <v>30</v>
      </c>
      <c r="U1950">
        <v>4</v>
      </c>
    </row>
    <row r="1951" spans="1:21" x14ac:dyDescent="0.25">
      <c r="A1951" s="1">
        <v>46058</v>
      </c>
      <c r="B1951" t="s">
        <v>2142</v>
      </c>
      <c r="C1951" t="s">
        <v>378</v>
      </c>
      <c r="D1951" t="s">
        <v>121</v>
      </c>
      <c r="E1951" t="s">
        <v>72</v>
      </c>
      <c r="F1951" t="s">
        <v>58</v>
      </c>
      <c r="G1951" t="s">
        <v>27</v>
      </c>
      <c r="H1951" t="s">
        <v>68</v>
      </c>
      <c r="I1951" t="s">
        <v>60</v>
      </c>
      <c r="J1951" s="2">
        <v>2</v>
      </c>
      <c r="K1951" s="3">
        <v>1318.07</v>
      </c>
      <c r="L1951" s="3">
        <v>766.95</v>
      </c>
      <c r="M1951" s="4">
        <v>3.5000000000000003E-2</v>
      </c>
      <c r="N1951" s="3">
        <f t="shared" si="150"/>
        <v>2636.14</v>
      </c>
      <c r="O1951" s="3">
        <f t="shared" si="151"/>
        <v>2543.88</v>
      </c>
      <c r="P1951" s="3">
        <f t="shared" si="152"/>
        <v>1533.9</v>
      </c>
      <c r="Q1951" s="3">
        <f t="shared" si="153"/>
        <v>1009.98</v>
      </c>
      <c r="R1951" s="4">
        <f t="shared" si="154"/>
        <v>0.39700000000000002</v>
      </c>
      <c r="S1951" s="2">
        <v>3</v>
      </c>
      <c r="T1951" t="s">
        <v>46</v>
      </c>
      <c r="U1951">
        <v>3</v>
      </c>
    </row>
    <row r="1952" spans="1:21" x14ac:dyDescent="0.25">
      <c r="A1952" s="1">
        <v>46108</v>
      </c>
      <c r="B1952" t="s">
        <v>2143</v>
      </c>
      <c r="C1952" t="s">
        <v>174</v>
      </c>
      <c r="D1952" t="s">
        <v>24</v>
      </c>
      <c r="E1952" t="s">
        <v>25</v>
      </c>
      <c r="F1952" t="s">
        <v>36</v>
      </c>
      <c r="G1952" t="s">
        <v>27</v>
      </c>
      <c r="H1952" t="s">
        <v>86</v>
      </c>
      <c r="I1952" t="s">
        <v>53</v>
      </c>
      <c r="J1952" s="2">
        <v>7</v>
      </c>
      <c r="K1952" s="3">
        <v>1829.07</v>
      </c>
      <c r="L1952" s="3">
        <v>1236.6400000000001</v>
      </c>
      <c r="M1952" s="4">
        <v>6.7400000000000002E-2</v>
      </c>
      <c r="N1952" s="3">
        <f t="shared" si="150"/>
        <v>12803.49</v>
      </c>
      <c r="O1952" s="3">
        <f t="shared" si="151"/>
        <v>11940.53</v>
      </c>
      <c r="P1952" s="3">
        <f t="shared" si="152"/>
        <v>8656.48</v>
      </c>
      <c r="Q1952" s="3">
        <f t="shared" si="153"/>
        <v>3284.05</v>
      </c>
      <c r="R1952" s="4">
        <f t="shared" si="154"/>
        <v>0.27500000000000002</v>
      </c>
      <c r="S1952" s="2">
        <v>13</v>
      </c>
      <c r="T1952" t="s">
        <v>40</v>
      </c>
    </row>
    <row r="1953" spans="1:21" x14ac:dyDescent="0.25">
      <c r="A1953" s="1">
        <v>46153</v>
      </c>
      <c r="B1953" t="s">
        <v>2144</v>
      </c>
      <c r="C1953" t="s">
        <v>606</v>
      </c>
      <c r="D1953" t="s">
        <v>56</v>
      </c>
      <c r="E1953" t="s">
        <v>57</v>
      </c>
      <c r="F1953" t="s">
        <v>64</v>
      </c>
      <c r="G1953" t="s">
        <v>51</v>
      </c>
      <c r="H1953" t="s">
        <v>59</v>
      </c>
      <c r="I1953" t="s">
        <v>77</v>
      </c>
      <c r="J1953" s="2">
        <v>1</v>
      </c>
      <c r="K1953" s="3">
        <v>2227.12</v>
      </c>
      <c r="L1953" s="3">
        <v>1374.9</v>
      </c>
      <c r="M1953" s="4">
        <v>6.6E-3</v>
      </c>
      <c r="N1953" s="3">
        <f t="shared" si="150"/>
        <v>2227.12</v>
      </c>
      <c r="O1953" s="3">
        <f t="shared" si="151"/>
        <v>2212.42</v>
      </c>
      <c r="P1953" s="3">
        <f t="shared" si="152"/>
        <v>1374.9</v>
      </c>
      <c r="Q1953" s="3">
        <f t="shared" si="153"/>
        <v>837.52</v>
      </c>
      <c r="R1953" s="4">
        <f t="shared" si="154"/>
        <v>0.37859999999999999</v>
      </c>
      <c r="S1953" s="2">
        <v>12</v>
      </c>
      <c r="T1953" t="s">
        <v>30</v>
      </c>
      <c r="U1953">
        <v>4</v>
      </c>
    </row>
    <row r="1954" spans="1:21" x14ac:dyDescent="0.25">
      <c r="A1954" s="1">
        <v>46205</v>
      </c>
      <c r="B1954" t="s">
        <v>2145</v>
      </c>
      <c r="C1954" t="s">
        <v>206</v>
      </c>
      <c r="D1954" t="s">
        <v>85</v>
      </c>
      <c r="E1954" t="s">
        <v>50</v>
      </c>
      <c r="F1954" t="s">
        <v>64</v>
      </c>
      <c r="G1954" t="s">
        <v>44</v>
      </c>
      <c r="H1954" t="s">
        <v>73</v>
      </c>
      <c r="I1954" t="s">
        <v>77</v>
      </c>
      <c r="J1954" s="2">
        <v>3</v>
      </c>
      <c r="K1954" s="3">
        <v>1595.15</v>
      </c>
      <c r="L1954" s="3">
        <v>1095.9100000000001</v>
      </c>
      <c r="M1954" s="4">
        <v>0</v>
      </c>
      <c r="N1954" s="3">
        <f t="shared" si="150"/>
        <v>4785.45</v>
      </c>
      <c r="O1954" s="3">
        <f t="shared" si="151"/>
        <v>4785.45</v>
      </c>
      <c r="P1954" s="3">
        <f t="shared" si="152"/>
        <v>3287.73</v>
      </c>
      <c r="Q1954" s="3">
        <f t="shared" si="153"/>
        <v>1497.72</v>
      </c>
      <c r="R1954" s="4">
        <f t="shared" si="154"/>
        <v>0.313</v>
      </c>
      <c r="S1954" s="2">
        <v>2</v>
      </c>
      <c r="T1954" t="s">
        <v>46</v>
      </c>
      <c r="U1954">
        <v>3</v>
      </c>
    </row>
    <row r="1955" spans="1:21" x14ac:dyDescent="0.25">
      <c r="A1955" s="1">
        <v>46140</v>
      </c>
      <c r="B1955" t="s">
        <v>2146</v>
      </c>
      <c r="C1955" t="s">
        <v>606</v>
      </c>
      <c r="D1955" t="s">
        <v>85</v>
      </c>
      <c r="E1955" t="s">
        <v>50</v>
      </c>
      <c r="F1955" t="s">
        <v>64</v>
      </c>
      <c r="G1955" t="s">
        <v>44</v>
      </c>
      <c r="H1955" t="s">
        <v>124</v>
      </c>
      <c r="I1955" t="s">
        <v>39</v>
      </c>
      <c r="J1955" s="2">
        <v>7</v>
      </c>
      <c r="K1955" s="3">
        <v>5691.67</v>
      </c>
      <c r="L1955" s="3">
        <v>4385.4399999999996</v>
      </c>
      <c r="M1955" s="4">
        <v>0</v>
      </c>
      <c r="N1955" s="3">
        <f t="shared" si="150"/>
        <v>39841.69</v>
      </c>
      <c r="O1955" s="3">
        <f t="shared" si="151"/>
        <v>39841.69</v>
      </c>
      <c r="P1955" s="3">
        <f t="shared" si="152"/>
        <v>30698.080000000002</v>
      </c>
      <c r="Q1955" s="3">
        <f t="shared" si="153"/>
        <v>9143.61</v>
      </c>
      <c r="R1955" s="4">
        <f t="shared" si="154"/>
        <v>0.22950000000000001</v>
      </c>
      <c r="S1955" s="2">
        <v>8</v>
      </c>
      <c r="T1955" t="s">
        <v>46</v>
      </c>
      <c r="U1955">
        <v>3</v>
      </c>
    </row>
    <row r="1956" spans="1:21" x14ac:dyDescent="0.25">
      <c r="A1956" s="1">
        <v>46174</v>
      </c>
      <c r="B1956" t="s">
        <v>2147</v>
      </c>
      <c r="C1956" t="s">
        <v>96</v>
      </c>
      <c r="D1956" t="s">
        <v>71</v>
      </c>
      <c r="E1956" t="s">
        <v>72</v>
      </c>
      <c r="F1956" t="s">
        <v>26</v>
      </c>
      <c r="G1956" t="s">
        <v>51</v>
      </c>
      <c r="H1956" t="s">
        <v>52</v>
      </c>
      <c r="I1956" t="s">
        <v>74</v>
      </c>
      <c r="J1956" s="2">
        <v>2</v>
      </c>
      <c r="K1956" s="3">
        <v>250.86</v>
      </c>
      <c r="L1956" s="3">
        <v>127.34</v>
      </c>
      <c r="M1956" s="4">
        <v>2.3599999999999999E-2</v>
      </c>
      <c r="N1956" s="3">
        <f t="shared" si="150"/>
        <v>501.72</v>
      </c>
      <c r="O1956" s="3">
        <f t="shared" si="151"/>
        <v>489.88</v>
      </c>
      <c r="P1956" s="3">
        <f t="shared" si="152"/>
        <v>254.68</v>
      </c>
      <c r="Q1956" s="3">
        <f t="shared" si="153"/>
        <v>235.2</v>
      </c>
      <c r="R1956" s="4">
        <f t="shared" si="154"/>
        <v>0.48010000000000003</v>
      </c>
      <c r="S1956" s="2">
        <v>9</v>
      </c>
      <c r="T1956" t="s">
        <v>46</v>
      </c>
      <c r="U1956">
        <v>2</v>
      </c>
    </row>
    <row r="1957" spans="1:21" x14ac:dyDescent="0.25">
      <c r="A1957" s="1">
        <v>46137</v>
      </c>
      <c r="B1957" t="s">
        <v>2148</v>
      </c>
      <c r="C1957" t="s">
        <v>136</v>
      </c>
      <c r="D1957" t="s">
        <v>101</v>
      </c>
      <c r="E1957" t="s">
        <v>35</v>
      </c>
      <c r="F1957" t="s">
        <v>26</v>
      </c>
      <c r="G1957" t="s">
        <v>37</v>
      </c>
      <c r="H1957" t="s">
        <v>178</v>
      </c>
      <c r="I1957" t="s">
        <v>39</v>
      </c>
      <c r="J1957" s="2">
        <v>8</v>
      </c>
      <c r="K1957" s="3">
        <v>503.93</v>
      </c>
      <c r="L1957" s="3">
        <v>246.7</v>
      </c>
      <c r="M1957" s="4">
        <v>0</v>
      </c>
      <c r="N1957" s="3">
        <f t="shared" si="150"/>
        <v>4031.44</v>
      </c>
      <c r="O1957" s="3">
        <f t="shared" si="151"/>
        <v>4031.44</v>
      </c>
      <c r="P1957" s="3">
        <f t="shared" si="152"/>
        <v>1973.6</v>
      </c>
      <c r="Q1957" s="3">
        <f t="shared" si="153"/>
        <v>2057.84</v>
      </c>
      <c r="R1957" s="4">
        <f t="shared" si="154"/>
        <v>0.51039999999999996</v>
      </c>
      <c r="S1957" s="2">
        <v>13</v>
      </c>
      <c r="T1957" t="s">
        <v>30</v>
      </c>
      <c r="U1957">
        <v>4</v>
      </c>
    </row>
    <row r="1958" spans="1:21" x14ac:dyDescent="0.25">
      <c r="A1958" s="1">
        <v>46107</v>
      </c>
      <c r="B1958" t="s">
        <v>2149</v>
      </c>
      <c r="C1958" t="s">
        <v>91</v>
      </c>
      <c r="D1958" t="s">
        <v>101</v>
      </c>
      <c r="E1958" t="s">
        <v>35</v>
      </c>
      <c r="F1958" t="s">
        <v>36</v>
      </c>
      <c r="G1958" t="s">
        <v>51</v>
      </c>
      <c r="H1958" t="s">
        <v>59</v>
      </c>
      <c r="I1958" t="s">
        <v>87</v>
      </c>
      <c r="J1958" s="2">
        <v>8</v>
      </c>
      <c r="K1958" s="3">
        <v>2229.46</v>
      </c>
      <c r="L1958" s="3">
        <v>1369.6</v>
      </c>
      <c r="M1958" s="4">
        <v>0</v>
      </c>
      <c r="N1958" s="3">
        <f t="shared" si="150"/>
        <v>17835.68</v>
      </c>
      <c r="O1958" s="3">
        <f t="shared" si="151"/>
        <v>17835.68</v>
      </c>
      <c r="P1958" s="3">
        <f t="shared" si="152"/>
        <v>10956.8</v>
      </c>
      <c r="Q1958" s="3">
        <f t="shared" si="153"/>
        <v>6878.88</v>
      </c>
      <c r="R1958" s="4">
        <f t="shared" si="154"/>
        <v>0.38569999999999999</v>
      </c>
      <c r="S1958" s="2">
        <v>8</v>
      </c>
      <c r="T1958" t="s">
        <v>46</v>
      </c>
      <c r="U1958">
        <v>2</v>
      </c>
    </row>
    <row r="1959" spans="1:21" x14ac:dyDescent="0.25">
      <c r="A1959" s="1">
        <v>46118</v>
      </c>
      <c r="B1959" t="s">
        <v>2150</v>
      </c>
      <c r="C1959" t="s">
        <v>315</v>
      </c>
      <c r="D1959" t="s">
        <v>97</v>
      </c>
      <c r="E1959" t="s">
        <v>57</v>
      </c>
      <c r="F1959" t="s">
        <v>64</v>
      </c>
      <c r="G1959" t="s">
        <v>51</v>
      </c>
      <c r="H1959" t="s">
        <v>52</v>
      </c>
      <c r="I1959" t="s">
        <v>29</v>
      </c>
      <c r="J1959" s="2">
        <v>4</v>
      </c>
      <c r="K1959" s="3">
        <v>258.45</v>
      </c>
      <c r="L1959" s="3">
        <v>122.31</v>
      </c>
      <c r="M1959" s="4">
        <v>3.1399999999999997E-2</v>
      </c>
      <c r="N1959" s="3">
        <f t="shared" si="150"/>
        <v>1033.8</v>
      </c>
      <c r="O1959" s="3">
        <f t="shared" si="151"/>
        <v>1001.34</v>
      </c>
      <c r="P1959" s="3">
        <f t="shared" si="152"/>
        <v>489.24</v>
      </c>
      <c r="Q1959" s="3">
        <f t="shared" si="153"/>
        <v>512.1</v>
      </c>
      <c r="R1959" s="4">
        <f t="shared" si="154"/>
        <v>0.51139999999999997</v>
      </c>
      <c r="S1959" s="2">
        <v>13</v>
      </c>
      <c r="T1959" t="s">
        <v>30</v>
      </c>
      <c r="U1959">
        <v>4</v>
      </c>
    </row>
    <row r="1960" spans="1:21" x14ac:dyDescent="0.25">
      <c r="A1960" s="1">
        <v>46136</v>
      </c>
      <c r="B1960" t="s">
        <v>2151</v>
      </c>
      <c r="C1960" t="s">
        <v>89</v>
      </c>
      <c r="D1960" t="s">
        <v>63</v>
      </c>
      <c r="E1960" t="s">
        <v>35</v>
      </c>
      <c r="F1960" t="s">
        <v>64</v>
      </c>
      <c r="G1960" t="s">
        <v>37</v>
      </c>
      <c r="H1960" t="s">
        <v>104</v>
      </c>
      <c r="I1960" t="s">
        <v>94</v>
      </c>
      <c r="J1960" s="2">
        <v>7</v>
      </c>
      <c r="K1960" s="3">
        <v>305.74</v>
      </c>
      <c r="L1960" s="3">
        <v>130.25</v>
      </c>
      <c r="M1960" s="4">
        <v>0.12720000000000001</v>
      </c>
      <c r="N1960" s="3">
        <f t="shared" si="150"/>
        <v>2140.1799999999998</v>
      </c>
      <c r="O1960" s="3">
        <f t="shared" si="151"/>
        <v>1867.95</v>
      </c>
      <c r="P1960" s="3">
        <f t="shared" si="152"/>
        <v>911.75</v>
      </c>
      <c r="Q1960" s="3">
        <f t="shared" si="153"/>
        <v>956.2</v>
      </c>
      <c r="R1960" s="4">
        <f t="shared" si="154"/>
        <v>0.51190000000000002</v>
      </c>
      <c r="S1960" s="2">
        <v>14</v>
      </c>
      <c r="T1960" t="s">
        <v>30</v>
      </c>
      <c r="U1960">
        <v>4</v>
      </c>
    </row>
    <row r="1961" spans="1:21" x14ac:dyDescent="0.25">
      <c r="A1961" s="1">
        <v>46036</v>
      </c>
      <c r="B1961" t="s">
        <v>2152</v>
      </c>
      <c r="C1961" t="s">
        <v>206</v>
      </c>
      <c r="D1961" t="s">
        <v>207</v>
      </c>
      <c r="E1961" t="s">
        <v>35</v>
      </c>
      <c r="F1961" t="s">
        <v>64</v>
      </c>
      <c r="G1961" t="s">
        <v>51</v>
      </c>
      <c r="H1961" t="s">
        <v>116</v>
      </c>
      <c r="I1961" t="s">
        <v>39</v>
      </c>
      <c r="J1961" s="2">
        <v>5</v>
      </c>
      <c r="K1961" s="3">
        <v>2635.24</v>
      </c>
      <c r="L1961" s="3">
        <v>1788.51</v>
      </c>
      <c r="M1961" s="4">
        <v>0</v>
      </c>
      <c r="N1961" s="3">
        <f t="shared" si="150"/>
        <v>13176.2</v>
      </c>
      <c r="O1961" s="3">
        <f t="shared" si="151"/>
        <v>13176.2</v>
      </c>
      <c r="P1961" s="3">
        <f t="shared" si="152"/>
        <v>8942.5499999999993</v>
      </c>
      <c r="Q1961" s="3">
        <f t="shared" si="153"/>
        <v>4233.6499999999996</v>
      </c>
      <c r="R1961" s="4">
        <f t="shared" si="154"/>
        <v>0.32129999999999997</v>
      </c>
      <c r="S1961" s="2">
        <v>6</v>
      </c>
      <c r="T1961" t="s">
        <v>46</v>
      </c>
      <c r="U1961">
        <v>4</v>
      </c>
    </row>
    <row r="1962" spans="1:21" x14ac:dyDescent="0.25">
      <c r="A1962" s="1">
        <v>46162</v>
      </c>
      <c r="B1962" t="s">
        <v>2153</v>
      </c>
      <c r="C1962" t="s">
        <v>96</v>
      </c>
      <c r="D1962" t="s">
        <v>121</v>
      </c>
      <c r="E1962" t="s">
        <v>72</v>
      </c>
      <c r="F1962" t="s">
        <v>36</v>
      </c>
      <c r="G1962" t="s">
        <v>51</v>
      </c>
      <c r="H1962" t="s">
        <v>116</v>
      </c>
      <c r="I1962" t="s">
        <v>74</v>
      </c>
      <c r="J1962" s="2">
        <v>7</v>
      </c>
      <c r="K1962" s="3">
        <v>2703.11</v>
      </c>
      <c r="L1962" s="3">
        <v>1924.52</v>
      </c>
      <c r="M1962" s="4">
        <v>0</v>
      </c>
      <c r="N1962" s="3">
        <f t="shared" si="150"/>
        <v>18921.77</v>
      </c>
      <c r="O1962" s="3">
        <f t="shared" si="151"/>
        <v>18921.77</v>
      </c>
      <c r="P1962" s="3">
        <f t="shared" si="152"/>
        <v>13471.64</v>
      </c>
      <c r="Q1962" s="3">
        <f t="shared" si="153"/>
        <v>5450.13</v>
      </c>
      <c r="R1962" s="4">
        <f t="shared" si="154"/>
        <v>0.28799999999999998</v>
      </c>
      <c r="S1962" s="2">
        <v>9</v>
      </c>
      <c r="T1962" t="s">
        <v>46</v>
      </c>
      <c r="U1962">
        <v>3</v>
      </c>
    </row>
    <row r="1963" spans="1:21" x14ac:dyDescent="0.25">
      <c r="A1963" s="1">
        <v>46030</v>
      </c>
      <c r="B1963" t="s">
        <v>2154</v>
      </c>
      <c r="C1963" t="s">
        <v>150</v>
      </c>
      <c r="D1963" t="s">
        <v>97</v>
      </c>
      <c r="E1963" t="s">
        <v>57</v>
      </c>
      <c r="F1963" t="s">
        <v>58</v>
      </c>
      <c r="G1963" t="s">
        <v>51</v>
      </c>
      <c r="H1963" t="s">
        <v>116</v>
      </c>
      <c r="I1963" t="s">
        <v>74</v>
      </c>
      <c r="J1963" s="2">
        <v>2</v>
      </c>
      <c r="K1963" s="3">
        <v>2748.26</v>
      </c>
      <c r="L1963" s="3">
        <v>1872.64</v>
      </c>
      <c r="M1963" s="4">
        <v>6.2700000000000006E-2</v>
      </c>
      <c r="N1963" s="3">
        <f t="shared" si="150"/>
        <v>5496.52</v>
      </c>
      <c r="O1963" s="3">
        <f t="shared" si="151"/>
        <v>5151.8900000000003</v>
      </c>
      <c r="P1963" s="3">
        <f t="shared" si="152"/>
        <v>3745.28</v>
      </c>
      <c r="Q1963" s="3">
        <f t="shared" si="153"/>
        <v>1406.61</v>
      </c>
      <c r="R1963" s="4">
        <f t="shared" si="154"/>
        <v>0.27300000000000002</v>
      </c>
      <c r="S1963" s="2">
        <v>14</v>
      </c>
      <c r="T1963" t="s">
        <v>30</v>
      </c>
      <c r="U1963">
        <v>2</v>
      </c>
    </row>
    <row r="1964" spans="1:21" x14ac:dyDescent="0.25">
      <c r="A1964" s="1">
        <v>46065</v>
      </c>
      <c r="B1964" t="s">
        <v>2155</v>
      </c>
      <c r="C1964" t="s">
        <v>260</v>
      </c>
      <c r="D1964" t="s">
        <v>113</v>
      </c>
      <c r="E1964" t="s">
        <v>50</v>
      </c>
      <c r="F1964" t="s">
        <v>36</v>
      </c>
      <c r="G1964" t="s">
        <v>37</v>
      </c>
      <c r="H1964" t="s">
        <v>38</v>
      </c>
      <c r="I1964" t="s">
        <v>53</v>
      </c>
      <c r="J1964" s="2">
        <v>4</v>
      </c>
      <c r="K1964" s="3">
        <v>420.72</v>
      </c>
      <c r="L1964" s="3">
        <v>189.22</v>
      </c>
      <c r="M1964" s="4">
        <v>8.0500000000000002E-2</v>
      </c>
      <c r="N1964" s="3">
        <f t="shared" si="150"/>
        <v>1682.88</v>
      </c>
      <c r="O1964" s="3">
        <f t="shared" si="151"/>
        <v>1547.41</v>
      </c>
      <c r="P1964" s="3">
        <f t="shared" si="152"/>
        <v>756.88</v>
      </c>
      <c r="Q1964" s="3">
        <f t="shared" si="153"/>
        <v>790.53</v>
      </c>
      <c r="R1964" s="4">
        <f t="shared" si="154"/>
        <v>0.51090000000000002</v>
      </c>
      <c r="S1964" s="2">
        <v>6</v>
      </c>
      <c r="T1964" t="s">
        <v>46</v>
      </c>
      <c r="U1964">
        <v>2</v>
      </c>
    </row>
    <row r="1965" spans="1:21" x14ac:dyDescent="0.25">
      <c r="A1965" s="1">
        <v>46160</v>
      </c>
      <c r="B1965" t="s">
        <v>2156</v>
      </c>
      <c r="C1965" t="s">
        <v>370</v>
      </c>
      <c r="D1965" t="s">
        <v>85</v>
      </c>
      <c r="E1965" t="s">
        <v>50</v>
      </c>
      <c r="F1965" t="s">
        <v>26</v>
      </c>
      <c r="G1965" t="s">
        <v>44</v>
      </c>
      <c r="H1965" t="s">
        <v>45</v>
      </c>
      <c r="I1965" t="s">
        <v>60</v>
      </c>
      <c r="J1965" s="2">
        <v>3</v>
      </c>
      <c r="K1965" s="3">
        <v>397</v>
      </c>
      <c r="L1965" s="3">
        <v>209.54</v>
      </c>
      <c r="M1965" s="4">
        <v>0</v>
      </c>
      <c r="N1965" s="3">
        <f t="shared" si="150"/>
        <v>1191</v>
      </c>
      <c r="O1965" s="3">
        <f t="shared" si="151"/>
        <v>1191</v>
      </c>
      <c r="P1965" s="3">
        <f t="shared" si="152"/>
        <v>628.62</v>
      </c>
      <c r="Q1965" s="3">
        <f t="shared" si="153"/>
        <v>562.38</v>
      </c>
      <c r="R1965" s="4">
        <f t="shared" si="154"/>
        <v>0.47220000000000001</v>
      </c>
      <c r="S1965" s="2">
        <v>7</v>
      </c>
      <c r="T1965" t="s">
        <v>46</v>
      </c>
      <c r="U1965">
        <v>4</v>
      </c>
    </row>
    <row r="1966" spans="1:21" x14ac:dyDescent="0.25">
      <c r="A1966" s="1">
        <v>46151</v>
      </c>
      <c r="B1966" t="s">
        <v>2157</v>
      </c>
      <c r="C1966" t="s">
        <v>67</v>
      </c>
      <c r="D1966" t="s">
        <v>63</v>
      </c>
      <c r="E1966" t="s">
        <v>35</v>
      </c>
      <c r="F1966" t="s">
        <v>64</v>
      </c>
      <c r="G1966" t="s">
        <v>37</v>
      </c>
      <c r="H1966" t="s">
        <v>38</v>
      </c>
      <c r="I1966" t="s">
        <v>60</v>
      </c>
      <c r="J1966" s="2">
        <v>3</v>
      </c>
      <c r="K1966" s="3">
        <v>420.3</v>
      </c>
      <c r="L1966" s="3">
        <v>190.05</v>
      </c>
      <c r="M1966" s="4">
        <v>0</v>
      </c>
      <c r="N1966" s="3">
        <f t="shared" si="150"/>
        <v>1260.9000000000001</v>
      </c>
      <c r="O1966" s="3">
        <f t="shared" si="151"/>
        <v>1260.9000000000001</v>
      </c>
      <c r="P1966" s="3">
        <f t="shared" si="152"/>
        <v>570.15</v>
      </c>
      <c r="Q1966" s="3">
        <f t="shared" si="153"/>
        <v>690.75</v>
      </c>
      <c r="R1966" s="4">
        <f t="shared" si="154"/>
        <v>0.54779999999999995</v>
      </c>
      <c r="S1966" s="2">
        <v>4</v>
      </c>
      <c r="T1966" t="s">
        <v>46</v>
      </c>
      <c r="U1966">
        <v>2</v>
      </c>
    </row>
    <row r="1967" spans="1:21" x14ac:dyDescent="0.25">
      <c r="A1967" s="1">
        <v>46044</v>
      </c>
      <c r="B1967" t="s">
        <v>2158</v>
      </c>
      <c r="C1967" t="s">
        <v>110</v>
      </c>
      <c r="D1967" t="s">
        <v>56</v>
      </c>
      <c r="E1967" t="s">
        <v>57</v>
      </c>
      <c r="F1967" t="s">
        <v>58</v>
      </c>
      <c r="G1967" t="s">
        <v>27</v>
      </c>
      <c r="H1967" t="s">
        <v>86</v>
      </c>
      <c r="I1967" t="s">
        <v>92</v>
      </c>
      <c r="J1967" s="2">
        <v>2</v>
      </c>
      <c r="K1967" s="3">
        <v>1900.93</v>
      </c>
      <c r="L1967" s="3">
        <v>1218</v>
      </c>
      <c r="M1967" s="4">
        <v>0.1071</v>
      </c>
      <c r="N1967" s="3">
        <f t="shared" si="150"/>
        <v>3801.86</v>
      </c>
      <c r="O1967" s="3">
        <f t="shared" si="151"/>
        <v>3394.68</v>
      </c>
      <c r="P1967" s="3">
        <f t="shared" si="152"/>
        <v>2436</v>
      </c>
      <c r="Q1967" s="3">
        <f t="shared" si="153"/>
        <v>958.68</v>
      </c>
      <c r="R1967" s="4">
        <f t="shared" si="154"/>
        <v>0.28239999999999998</v>
      </c>
      <c r="S1967" s="2">
        <v>12</v>
      </c>
      <c r="T1967" t="s">
        <v>30</v>
      </c>
      <c r="U1967">
        <v>3</v>
      </c>
    </row>
    <row r="1968" spans="1:21" x14ac:dyDescent="0.25">
      <c r="A1968" s="1">
        <v>46027</v>
      </c>
      <c r="B1968" t="s">
        <v>2159</v>
      </c>
      <c r="C1968" t="s">
        <v>82</v>
      </c>
      <c r="D1968" t="s">
        <v>97</v>
      </c>
      <c r="E1968" t="s">
        <v>57</v>
      </c>
      <c r="F1968" t="s">
        <v>64</v>
      </c>
      <c r="G1968" t="s">
        <v>44</v>
      </c>
      <c r="H1968" t="s">
        <v>124</v>
      </c>
      <c r="I1968" t="s">
        <v>74</v>
      </c>
      <c r="J1968" s="2">
        <v>8</v>
      </c>
      <c r="K1968" s="3">
        <v>6169.94</v>
      </c>
      <c r="L1968" s="3">
        <v>4147.84</v>
      </c>
      <c r="M1968" s="4">
        <v>5.0000000000000001E-3</v>
      </c>
      <c r="N1968" s="3">
        <f t="shared" si="150"/>
        <v>49359.519999999997</v>
      </c>
      <c r="O1968" s="3">
        <f t="shared" si="151"/>
        <v>49112.72</v>
      </c>
      <c r="P1968" s="3">
        <f t="shared" si="152"/>
        <v>33182.720000000001</v>
      </c>
      <c r="Q1968" s="3">
        <f t="shared" si="153"/>
        <v>15930</v>
      </c>
      <c r="R1968" s="4">
        <f t="shared" si="154"/>
        <v>0.32440000000000002</v>
      </c>
      <c r="S1968" s="2">
        <v>13</v>
      </c>
      <c r="T1968" t="s">
        <v>30</v>
      </c>
      <c r="U1968">
        <v>2</v>
      </c>
    </row>
    <row r="1969" spans="1:22" x14ac:dyDescent="0.25">
      <c r="A1969" s="1">
        <v>46086</v>
      </c>
      <c r="B1969" t="s">
        <v>2160</v>
      </c>
      <c r="C1969" t="s">
        <v>331</v>
      </c>
      <c r="D1969" t="s">
        <v>207</v>
      </c>
      <c r="E1969" t="s">
        <v>35</v>
      </c>
      <c r="F1969" t="s">
        <v>58</v>
      </c>
      <c r="G1969" t="s">
        <v>44</v>
      </c>
      <c r="H1969" t="s">
        <v>124</v>
      </c>
      <c r="I1969" t="s">
        <v>39</v>
      </c>
      <c r="J1969" s="2">
        <v>5</v>
      </c>
      <c r="K1969" s="3">
        <v>6124.16</v>
      </c>
      <c r="L1969" s="3">
        <v>4228.96</v>
      </c>
      <c r="M1969" s="4">
        <v>0.1361</v>
      </c>
      <c r="N1969" s="3">
        <f t="shared" si="150"/>
        <v>30620.799999999999</v>
      </c>
      <c r="O1969" s="3">
        <f t="shared" si="151"/>
        <v>26453.31</v>
      </c>
      <c r="P1969" s="3">
        <f t="shared" si="152"/>
        <v>21144.799999999999</v>
      </c>
      <c r="Q1969" s="3">
        <f t="shared" si="153"/>
        <v>5308.51</v>
      </c>
      <c r="R1969" s="4">
        <f t="shared" si="154"/>
        <v>0.20069999999999999</v>
      </c>
      <c r="S1969" s="2">
        <v>10</v>
      </c>
      <c r="T1969" t="s">
        <v>46</v>
      </c>
      <c r="U1969">
        <v>3</v>
      </c>
    </row>
    <row r="1970" spans="1:22" x14ac:dyDescent="0.25">
      <c r="A1970" s="1">
        <v>46096</v>
      </c>
      <c r="B1970" t="s">
        <v>2161</v>
      </c>
      <c r="C1970" t="s">
        <v>91</v>
      </c>
      <c r="D1970" t="s">
        <v>130</v>
      </c>
      <c r="E1970" t="s">
        <v>72</v>
      </c>
      <c r="F1970" t="s">
        <v>64</v>
      </c>
      <c r="G1970" t="s">
        <v>44</v>
      </c>
      <c r="H1970" t="s">
        <v>73</v>
      </c>
      <c r="I1970" t="s">
        <v>39</v>
      </c>
      <c r="J1970" s="2">
        <v>1</v>
      </c>
      <c r="K1970" s="3">
        <v>1639.15</v>
      </c>
      <c r="L1970" s="3">
        <v>1133.99</v>
      </c>
      <c r="M1970" s="4">
        <v>0</v>
      </c>
      <c r="N1970" s="3">
        <f t="shared" si="150"/>
        <v>1639.15</v>
      </c>
      <c r="O1970" s="3">
        <f t="shared" si="151"/>
        <v>1639.15</v>
      </c>
      <c r="P1970" s="3">
        <f t="shared" si="152"/>
        <v>1133.99</v>
      </c>
      <c r="Q1970" s="3">
        <f t="shared" si="153"/>
        <v>505.16</v>
      </c>
      <c r="R1970" s="4">
        <f t="shared" si="154"/>
        <v>0.30819999999999997</v>
      </c>
      <c r="S1970" s="2">
        <v>7</v>
      </c>
      <c r="T1970" t="s">
        <v>46</v>
      </c>
      <c r="U1970">
        <v>5</v>
      </c>
    </row>
    <row r="1971" spans="1:22" x14ac:dyDescent="0.25">
      <c r="A1971" s="1">
        <v>46192</v>
      </c>
      <c r="B1971" t="s">
        <v>2162</v>
      </c>
      <c r="C1971" t="s">
        <v>148</v>
      </c>
      <c r="D1971" t="s">
        <v>63</v>
      </c>
      <c r="E1971" t="s">
        <v>35</v>
      </c>
      <c r="F1971" t="s">
        <v>58</v>
      </c>
      <c r="G1971" t="s">
        <v>27</v>
      </c>
      <c r="H1971" t="s">
        <v>86</v>
      </c>
      <c r="I1971" t="s">
        <v>94</v>
      </c>
      <c r="J1971" s="2">
        <v>2</v>
      </c>
      <c r="K1971" s="3">
        <v>1847.62</v>
      </c>
      <c r="L1971" s="3">
        <v>1219.93</v>
      </c>
      <c r="M1971" s="4">
        <v>0.1431</v>
      </c>
      <c r="N1971" s="3">
        <f t="shared" si="150"/>
        <v>3695.24</v>
      </c>
      <c r="O1971" s="3">
        <f t="shared" si="151"/>
        <v>3166.45</v>
      </c>
      <c r="P1971" s="3">
        <f t="shared" si="152"/>
        <v>2439.86</v>
      </c>
      <c r="Q1971" s="3">
        <f t="shared" si="153"/>
        <v>726.59</v>
      </c>
      <c r="R1971" s="4">
        <f t="shared" si="154"/>
        <v>0.22950000000000001</v>
      </c>
      <c r="S1971" s="2">
        <v>4</v>
      </c>
      <c r="T1971" t="s">
        <v>46</v>
      </c>
      <c r="U1971">
        <v>2</v>
      </c>
    </row>
    <row r="1972" spans="1:22" x14ac:dyDescent="0.25">
      <c r="A1972" s="1">
        <v>46037</v>
      </c>
      <c r="B1972" t="s">
        <v>2163</v>
      </c>
      <c r="C1972" t="s">
        <v>271</v>
      </c>
      <c r="D1972" t="s">
        <v>207</v>
      </c>
      <c r="E1972" t="s">
        <v>35</v>
      </c>
      <c r="F1972" t="s">
        <v>58</v>
      </c>
      <c r="G1972" t="s">
        <v>37</v>
      </c>
      <c r="H1972" t="s">
        <v>38</v>
      </c>
      <c r="I1972" t="s">
        <v>77</v>
      </c>
      <c r="J1972" s="2">
        <v>4</v>
      </c>
      <c r="K1972" s="3">
        <v>447.04</v>
      </c>
      <c r="L1972" s="3">
        <v>198.36</v>
      </c>
      <c r="M1972" s="4">
        <v>0.45650000000000002</v>
      </c>
      <c r="N1972" s="3">
        <f t="shared" si="150"/>
        <v>1788.16</v>
      </c>
      <c r="O1972" s="3">
        <f t="shared" si="151"/>
        <v>971.86</v>
      </c>
      <c r="P1972" s="3">
        <f t="shared" si="152"/>
        <v>793.44</v>
      </c>
      <c r="Q1972" s="3">
        <f t="shared" si="153"/>
        <v>178.42</v>
      </c>
      <c r="R1972" s="4">
        <f t="shared" si="154"/>
        <v>0.18360000000000001</v>
      </c>
      <c r="S1972" s="2">
        <v>2</v>
      </c>
      <c r="T1972" t="s">
        <v>46</v>
      </c>
      <c r="U1972">
        <v>2</v>
      </c>
      <c r="V1972" t="s">
        <v>31</v>
      </c>
    </row>
    <row r="1973" spans="1:22" x14ac:dyDescent="0.25">
      <c r="A1973" s="1">
        <v>46154</v>
      </c>
      <c r="B1973" t="s">
        <v>2164</v>
      </c>
      <c r="C1973" t="s">
        <v>433</v>
      </c>
      <c r="D1973" t="s">
        <v>34</v>
      </c>
      <c r="E1973" t="s">
        <v>35</v>
      </c>
      <c r="F1973" t="s">
        <v>26</v>
      </c>
      <c r="G1973" t="s">
        <v>44</v>
      </c>
      <c r="H1973" t="s">
        <v>73</v>
      </c>
      <c r="I1973" t="s">
        <v>87</v>
      </c>
      <c r="J1973" s="2">
        <v>6</v>
      </c>
      <c r="K1973" s="3">
        <v>1710.76</v>
      </c>
      <c r="L1973" s="3">
        <v>1057.6199999999999</v>
      </c>
      <c r="M1973" s="4">
        <v>6.2700000000000006E-2</v>
      </c>
      <c r="N1973" s="3">
        <f t="shared" si="150"/>
        <v>10264.56</v>
      </c>
      <c r="O1973" s="3">
        <f t="shared" si="151"/>
        <v>9620.9699999999993</v>
      </c>
      <c r="P1973" s="3">
        <f t="shared" si="152"/>
        <v>6345.72</v>
      </c>
      <c r="Q1973" s="3">
        <f t="shared" si="153"/>
        <v>3275.25</v>
      </c>
      <c r="R1973" s="4">
        <f t="shared" si="154"/>
        <v>0.34039999999999998</v>
      </c>
      <c r="S1973" s="2">
        <v>26</v>
      </c>
      <c r="T1973" t="s">
        <v>30</v>
      </c>
      <c r="U1973">
        <v>2</v>
      </c>
      <c r="V1973" t="s">
        <v>208</v>
      </c>
    </row>
    <row r="1974" spans="1:22" x14ac:dyDescent="0.25">
      <c r="A1974" s="1">
        <v>46103</v>
      </c>
      <c r="B1974" t="s">
        <v>2165</v>
      </c>
      <c r="C1974" t="s">
        <v>184</v>
      </c>
      <c r="D1974" t="s">
        <v>113</v>
      </c>
      <c r="E1974" t="s">
        <v>50</v>
      </c>
      <c r="F1974" t="s">
        <v>58</v>
      </c>
      <c r="G1974" t="s">
        <v>37</v>
      </c>
      <c r="H1974" t="s">
        <v>178</v>
      </c>
      <c r="I1974" t="s">
        <v>77</v>
      </c>
      <c r="J1974" s="2">
        <v>3</v>
      </c>
      <c r="K1974" s="3">
        <v>516.35</v>
      </c>
      <c r="L1974" s="3">
        <v>236.68</v>
      </c>
      <c r="M1974" s="4">
        <v>8.9099999999999999E-2</v>
      </c>
      <c r="N1974" s="3">
        <f t="shared" si="150"/>
        <v>1549.05</v>
      </c>
      <c r="O1974" s="3">
        <f t="shared" si="151"/>
        <v>1411.03</v>
      </c>
      <c r="P1974" s="3">
        <f t="shared" si="152"/>
        <v>710.04</v>
      </c>
      <c r="Q1974" s="3">
        <f t="shared" si="153"/>
        <v>700.99</v>
      </c>
      <c r="R1974" s="4">
        <f t="shared" si="154"/>
        <v>0.49680000000000002</v>
      </c>
      <c r="S1974" s="2">
        <v>8</v>
      </c>
      <c r="T1974" t="s">
        <v>46</v>
      </c>
      <c r="U1974">
        <v>2</v>
      </c>
    </row>
    <row r="1975" spans="1:22" x14ac:dyDescent="0.25">
      <c r="A1975" s="1">
        <v>46117</v>
      </c>
      <c r="B1975" t="s">
        <v>2166</v>
      </c>
      <c r="C1975" t="s">
        <v>153</v>
      </c>
      <c r="D1975" t="s">
        <v>101</v>
      </c>
      <c r="E1975" t="s">
        <v>35</v>
      </c>
      <c r="F1975" t="s">
        <v>58</v>
      </c>
      <c r="G1975" t="s">
        <v>51</v>
      </c>
      <c r="H1975" t="s">
        <v>116</v>
      </c>
      <c r="I1975" t="s">
        <v>87</v>
      </c>
      <c r="J1975" s="2">
        <v>5</v>
      </c>
      <c r="K1975" s="3">
        <v>2889.6</v>
      </c>
      <c r="L1975" s="3">
        <v>1885.24</v>
      </c>
      <c r="M1975" s="4">
        <v>0.1103</v>
      </c>
      <c r="N1975" s="3">
        <f t="shared" si="150"/>
        <v>14448</v>
      </c>
      <c r="O1975" s="3">
        <f t="shared" si="151"/>
        <v>12854.39</v>
      </c>
      <c r="P1975" s="3">
        <f t="shared" si="152"/>
        <v>9426.2000000000007</v>
      </c>
      <c r="Q1975" s="3">
        <f t="shared" si="153"/>
        <v>3428.19</v>
      </c>
      <c r="R1975" s="4">
        <f t="shared" si="154"/>
        <v>0.26669999999999999</v>
      </c>
      <c r="S1975" s="2">
        <v>10</v>
      </c>
      <c r="T1975" t="s">
        <v>46</v>
      </c>
      <c r="U1975">
        <v>5</v>
      </c>
    </row>
    <row r="1976" spans="1:22" x14ac:dyDescent="0.25">
      <c r="A1976" s="1">
        <v>46206</v>
      </c>
      <c r="B1976" t="s">
        <v>2167</v>
      </c>
      <c r="C1976" t="s">
        <v>176</v>
      </c>
      <c r="D1976" t="s">
        <v>71</v>
      </c>
      <c r="E1976" t="s">
        <v>72</v>
      </c>
      <c r="F1976" t="s">
        <v>64</v>
      </c>
      <c r="G1976" t="s">
        <v>37</v>
      </c>
      <c r="H1976" t="s">
        <v>178</v>
      </c>
      <c r="I1976" t="s">
        <v>94</v>
      </c>
      <c r="J1976" s="2">
        <v>3</v>
      </c>
      <c r="K1976" s="3">
        <v>509.72</v>
      </c>
      <c r="L1976" s="3">
        <v>247.06</v>
      </c>
      <c r="M1976" s="4">
        <v>0</v>
      </c>
      <c r="N1976" s="3">
        <f t="shared" si="150"/>
        <v>1529.16</v>
      </c>
      <c r="O1976" s="3">
        <f t="shared" si="151"/>
        <v>1529.16</v>
      </c>
      <c r="P1976" s="3">
        <f t="shared" si="152"/>
        <v>741.18</v>
      </c>
      <c r="Q1976" s="3">
        <f t="shared" si="153"/>
        <v>787.98</v>
      </c>
      <c r="R1976" s="4">
        <f t="shared" si="154"/>
        <v>0.51529999999999998</v>
      </c>
      <c r="S1976" s="2">
        <v>11</v>
      </c>
      <c r="T1976" t="s">
        <v>30</v>
      </c>
      <c r="U1976">
        <v>5</v>
      </c>
    </row>
    <row r="1977" spans="1:22" x14ac:dyDescent="0.25">
      <c r="A1977" s="1">
        <v>46098</v>
      </c>
      <c r="B1977" t="s">
        <v>2168</v>
      </c>
      <c r="C1977" t="s">
        <v>590</v>
      </c>
      <c r="D1977" t="s">
        <v>56</v>
      </c>
      <c r="E1977" t="s">
        <v>57</v>
      </c>
      <c r="F1977" t="s">
        <v>58</v>
      </c>
      <c r="G1977" t="s">
        <v>37</v>
      </c>
      <c r="H1977" t="s">
        <v>178</v>
      </c>
      <c r="I1977" t="s">
        <v>74</v>
      </c>
      <c r="J1977" s="2">
        <v>8</v>
      </c>
      <c r="K1977" s="3">
        <v>487.32</v>
      </c>
      <c r="L1977" s="3">
        <v>242.94</v>
      </c>
      <c r="M1977" s="4">
        <v>0.1123</v>
      </c>
      <c r="N1977" s="3">
        <f t="shared" si="150"/>
        <v>3898.56</v>
      </c>
      <c r="O1977" s="3">
        <f t="shared" si="151"/>
        <v>3460.75</v>
      </c>
      <c r="P1977" s="3">
        <f t="shared" si="152"/>
        <v>1943.52</v>
      </c>
      <c r="Q1977" s="3">
        <f t="shared" si="153"/>
        <v>1517.23</v>
      </c>
      <c r="R1977" s="4">
        <f t="shared" si="154"/>
        <v>0.43840000000000001</v>
      </c>
      <c r="S1977" s="2">
        <v>13</v>
      </c>
      <c r="T1977" t="s">
        <v>40</v>
      </c>
    </row>
    <row r="1978" spans="1:22" x14ac:dyDescent="0.25">
      <c r="A1978" s="1">
        <v>46202</v>
      </c>
      <c r="B1978" t="s">
        <v>2169</v>
      </c>
      <c r="C1978" t="s">
        <v>253</v>
      </c>
      <c r="D1978" t="s">
        <v>34</v>
      </c>
      <c r="E1978" t="s">
        <v>35</v>
      </c>
      <c r="F1978" t="s">
        <v>26</v>
      </c>
      <c r="G1978" t="s">
        <v>44</v>
      </c>
      <c r="H1978" t="s">
        <v>124</v>
      </c>
      <c r="I1978" t="s">
        <v>53</v>
      </c>
      <c r="J1978" s="2">
        <v>2</v>
      </c>
      <c r="K1978" s="3">
        <v>6232.58</v>
      </c>
      <c r="L1978" s="3">
        <v>4316.97</v>
      </c>
      <c r="M1978" s="4">
        <v>0.1115</v>
      </c>
      <c r="N1978" s="3">
        <f t="shared" si="150"/>
        <v>12465.16</v>
      </c>
      <c r="O1978" s="3">
        <f t="shared" si="151"/>
        <v>11075.29</v>
      </c>
      <c r="P1978" s="3">
        <f t="shared" si="152"/>
        <v>8633.94</v>
      </c>
      <c r="Q1978" s="3">
        <f t="shared" si="153"/>
        <v>2441.35</v>
      </c>
      <c r="R1978" s="4">
        <f t="shared" si="154"/>
        <v>0.22040000000000001</v>
      </c>
      <c r="S1978" s="2">
        <v>3</v>
      </c>
      <c r="T1978" t="s">
        <v>46</v>
      </c>
      <c r="U1978">
        <v>2</v>
      </c>
    </row>
    <row r="1979" spans="1:22" x14ac:dyDescent="0.25">
      <c r="A1979" s="1">
        <v>46103</v>
      </c>
      <c r="B1979" t="s">
        <v>2170</v>
      </c>
      <c r="C1979" t="s">
        <v>206</v>
      </c>
      <c r="D1979" t="s">
        <v>71</v>
      </c>
      <c r="E1979" t="s">
        <v>72</v>
      </c>
      <c r="F1979" t="s">
        <v>58</v>
      </c>
      <c r="G1979" t="s">
        <v>27</v>
      </c>
      <c r="H1979" t="s">
        <v>68</v>
      </c>
      <c r="I1979" t="s">
        <v>65</v>
      </c>
      <c r="J1979" s="2">
        <v>1</v>
      </c>
      <c r="K1979" s="3">
        <v>1218.4000000000001</v>
      </c>
      <c r="L1979" s="3">
        <v>835</v>
      </c>
      <c r="M1979" s="4">
        <v>3.5000000000000003E-2</v>
      </c>
      <c r="N1979" s="3">
        <f t="shared" si="150"/>
        <v>1218.4000000000001</v>
      </c>
      <c r="O1979" s="3">
        <f t="shared" si="151"/>
        <v>1175.76</v>
      </c>
      <c r="P1979" s="3">
        <f t="shared" si="152"/>
        <v>835</v>
      </c>
      <c r="Q1979" s="3">
        <f t="shared" si="153"/>
        <v>340.76</v>
      </c>
      <c r="R1979" s="4">
        <f t="shared" si="154"/>
        <v>0.2898</v>
      </c>
      <c r="S1979" s="2">
        <v>12</v>
      </c>
      <c r="T1979" t="s">
        <v>30</v>
      </c>
      <c r="U1979">
        <v>2</v>
      </c>
    </row>
    <row r="1980" spans="1:22" x14ac:dyDescent="0.25">
      <c r="A1980" s="1">
        <v>46187</v>
      </c>
      <c r="B1980" t="s">
        <v>2171</v>
      </c>
      <c r="C1980" t="s">
        <v>153</v>
      </c>
      <c r="D1980" t="s">
        <v>126</v>
      </c>
      <c r="E1980" t="s">
        <v>57</v>
      </c>
      <c r="F1980" t="s">
        <v>58</v>
      </c>
      <c r="G1980" t="s">
        <v>44</v>
      </c>
      <c r="H1980" t="s">
        <v>124</v>
      </c>
      <c r="I1980" t="s">
        <v>29</v>
      </c>
      <c r="J1980" s="2">
        <v>5</v>
      </c>
      <c r="K1980" s="3">
        <v>5686.25</v>
      </c>
      <c r="L1980" s="3">
        <v>4450.1000000000004</v>
      </c>
      <c r="M1980" s="4">
        <v>3.5000000000000003E-2</v>
      </c>
      <c r="N1980" s="3">
        <f t="shared" si="150"/>
        <v>28431.25</v>
      </c>
      <c r="O1980" s="3">
        <f t="shared" si="151"/>
        <v>27436.16</v>
      </c>
      <c r="P1980" s="3">
        <f t="shared" si="152"/>
        <v>22250.5</v>
      </c>
      <c r="Q1980" s="3">
        <f t="shared" si="153"/>
        <v>5185.66</v>
      </c>
      <c r="R1980" s="4">
        <f t="shared" si="154"/>
        <v>0.189</v>
      </c>
      <c r="S1980" s="2">
        <v>7</v>
      </c>
      <c r="T1980" t="s">
        <v>46</v>
      </c>
      <c r="U1980">
        <v>3</v>
      </c>
    </row>
    <row r="1981" spans="1:22" x14ac:dyDescent="0.25">
      <c r="A1981" s="1">
        <v>46173</v>
      </c>
      <c r="B1981" t="s">
        <v>2172</v>
      </c>
      <c r="C1981" t="s">
        <v>211</v>
      </c>
      <c r="D1981" t="s">
        <v>71</v>
      </c>
      <c r="E1981" t="s">
        <v>72</v>
      </c>
      <c r="F1981" t="s">
        <v>36</v>
      </c>
      <c r="G1981" t="s">
        <v>44</v>
      </c>
      <c r="H1981" t="s">
        <v>124</v>
      </c>
      <c r="I1981" t="s">
        <v>39</v>
      </c>
      <c r="J1981" s="2">
        <v>6</v>
      </c>
      <c r="K1981" s="3">
        <v>6051.41</v>
      </c>
      <c r="L1981" s="3">
        <v>4624.42</v>
      </c>
      <c r="M1981" s="4">
        <v>5.0900000000000001E-2</v>
      </c>
      <c r="N1981" s="3">
        <f t="shared" si="150"/>
        <v>36308.46</v>
      </c>
      <c r="O1981" s="3">
        <f t="shared" si="151"/>
        <v>34460.36</v>
      </c>
      <c r="P1981" s="3">
        <f t="shared" si="152"/>
        <v>27746.52</v>
      </c>
      <c r="Q1981" s="3">
        <f t="shared" si="153"/>
        <v>6713.84</v>
      </c>
      <c r="R1981" s="4">
        <f t="shared" si="154"/>
        <v>0.1948</v>
      </c>
      <c r="S1981" s="2">
        <v>6</v>
      </c>
      <c r="T1981" t="s">
        <v>46</v>
      </c>
      <c r="U1981">
        <v>2</v>
      </c>
    </row>
    <row r="1982" spans="1:22" x14ac:dyDescent="0.25">
      <c r="A1982" s="1">
        <v>46056</v>
      </c>
      <c r="B1982" t="s">
        <v>2173</v>
      </c>
      <c r="C1982" t="s">
        <v>336</v>
      </c>
      <c r="D1982" t="s">
        <v>24</v>
      </c>
      <c r="E1982" t="s">
        <v>25</v>
      </c>
      <c r="F1982" t="s">
        <v>36</v>
      </c>
      <c r="G1982" t="s">
        <v>51</v>
      </c>
      <c r="H1982" t="s">
        <v>116</v>
      </c>
      <c r="I1982" t="s">
        <v>65</v>
      </c>
      <c r="J1982" s="2">
        <v>8</v>
      </c>
      <c r="K1982" s="3">
        <v>2722.53</v>
      </c>
      <c r="L1982" s="3">
        <v>1874.79</v>
      </c>
      <c r="M1982" s="4">
        <v>2.0400000000000001E-2</v>
      </c>
      <c r="N1982" s="3">
        <f t="shared" si="150"/>
        <v>21780.240000000002</v>
      </c>
      <c r="O1982" s="3">
        <f t="shared" si="151"/>
        <v>21335.919999999998</v>
      </c>
      <c r="P1982" s="3">
        <f t="shared" si="152"/>
        <v>14998.32</v>
      </c>
      <c r="Q1982" s="3">
        <f t="shared" si="153"/>
        <v>6337.6</v>
      </c>
      <c r="R1982" s="4">
        <f t="shared" si="154"/>
        <v>0.29699999999999999</v>
      </c>
      <c r="S1982" s="2">
        <v>7</v>
      </c>
      <c r="T1982" t="s">
        <v>46</v>
      </c>
      <c r="U1982">
        <v>3</v>
      </c>
    </row>
    <row r="1983" spans="1:22" x14ac:dyDescent="0.25">
      <c r="A1983" s="1">
        <v>46083</v>
      </c>
      <c r="B1983" t="s">
        <v>2174</v>
      </c>
      <c r="C1983" t="s">
        <v>159</v>
      </c>
      <c r="D1983" t="s">
        <v>85</v>
      </c>
      <c r="E1983" t="s">
        <v>50</v>
      </c>
      <c r="F1983" t="s">
        <v>26</v>
      </c>
      <c r="G1983" t="s">
        <v>44</v>
      </c>
      <c r="H1983" t="s">
        <v>124</v>
      </c>
      <c r="I1983" t="s">
        <v>74</v>
      </c>
      <c r="J1983" s="2">
        <v>2</v>
      </c>
      <c r="K1983" s="3">
        <v>5631.81</v>
      </c>
      <c r="L1983" s="3">
        <v>4161.8900000000003</v>
      </c>
      <c r="M1983" s="4">
        <v>0</v>
      </c>
      <c r="N1983" s="3">
        <f t="shared" si="150"/>
        <v>11263.62</v>
      </c>
      <c r="O1983" s="3">
        <f t="shared" si="151"/>
        <v>11263.62</v>
      </c>
      <c r="P1983" s="3">
        <f t="shared" si="152"/>
        <v>8323.7800000000007</v>
      </c>
      <c r="Q1983" s="3">
        <f t="shared" si="153"/>
        <v>2939.84</v>
      </c>
      <c r="R1983" s="4">
        <f t="shared" si="154"/>
        <v>0.26100000000000001</v>
      </c>
      <c r="S1983" s="2">
        <v>11</v>
      </c>
      <c r="T1983" t="s">
        <v>30</v>
      </c>
      <c r="U1983">
        <v>3</v>
      </c>
    </row>
    <row r="1984" spans="1:22" x14ac:dyDescent="0.25">
      <c r="A1984" s="1">
        <v>46073</v>
      </c>
      <c r="B1984" t="s">
        <v>2175</v>
      </c>
      <c r="C1984" t="s">
        <v>132</v>
      </c>
      <c r="D1984" t="s">
        <v>85</v>
      </c>
      <c r="E1984" t="s">
        <v>50</v>
      </c>
      <c r="F1984" t="s">
        <v>26</v>
      </c>
      <c r="G1984" t="s">
        <v>27</v>
      </c>
      <c r="H1984" t="s">
        <v>28</v>
      </c>
      <c r="I1984" t="s">
        <v>77</v>
      </c>
      <c r="J1984" s="2">
        <v>3</v>
      </c>
      <c r="K1984" s="3">
        <v>779.35</v>
      </c>
      <c r="L1984" s="3">
        <v>453.93</v>
      </c>
      <c r="M1984" s="4">
        <v>0</v>
      </c>
      <c r="N1984" s="3">
        <f t="shared" si="150"/>
        <v>2338.0500000000002</v>
      </c>
      <c r="O1984" s="3">
        <f t="shared" si="151"/>
        <v>2338.0500000000002</v>
      </c>
      <c r="P1984" s="3">
        <f t="shared" si="152"/>
        <v>1361.79</v>
      </c>
      <c r="Q1984" s="3">
        <f t="shared" si="153"/>
        <v>976.26</v>
      </c>
      <c r="R1984" s="4">
        <f t="shared" si="154"/>
        <v>0.41760000000000003</v>
      </c>
      <c r="S1984" s="2">
        <v>13</v>
      </c>
      <c r="T1984" t="s">
        <v>30</v>
      </c>
      <c r="U1984">
        <v>2</v>
      </c>
    </row>
    <row r="1985" spans="1:21" x14ac:dyDescent="0.25">
      <c r="A1985" s="1">
        <v>46146</v>
      </c>
      <c r="B1985" t="s">
        <v>2176</v>
      </c>
      <c r="C1985" t="s">
        <v>290</v>
      </c>
      <c r="D1985" t="s">
        <v>85</v>
      </c>
      <c r="E1985" t="s">
        <v>50</v>
      </c>
      <c r="F1985" t="s">
        <v>36</v>
      </c>
      <c r="G1985" t="s">
        <v>44</v>
      </c>
      <c r="H1985" t="s">
        <v>124</v>
      </c>
      <c r="I1985" t="s">
        <v>60</v>
      </c>
      <c r="J1985" s="2">
        <v>8</v>
      </c>
      <c r="K1985" s="3">
        <v>6140.98</v>
      </c>
      <c r="L1985" s="3">
        <v>4249.26</v>
      </c>
      <c r="M1985" s="4">
        <v>4.0899999999999999E-2</v>
      </c>
      <c r="N1985" s="3">
        <f t="shared" si="150"/>
        <v>49127.839999999997</v>
      </c>
      <c r="O1985" s="3">
        <f t="shared" si="151"/>
        <v>47118.51</v>
      </c>
      <c r="P1985" s="3">
        <f t="shared" si="152"/>
        <v>33994.080000000002</v>
      </c>
      <c r="Q1985" s="3">
        <f t="shared" si="153"/>
        <v>13124.43</v>
      </c>
      <c r="R1985" s="4">
        <f t="shared" si="154"/>
        <v>0.27850000000000003</v>
      </c>
      <c r="S1985" s="2">
        <v>14</v>
      </c>
      <c r="T1985" t="s">
        <v>30</v>
      </c>
      <c r="U1985">
        <v>5</v>
      </c>
    </row>
    <row r="1986" spans="1:21" x14ac:dyDescent="0.25">
      <c r="A1986" s="1">
        <v>46205</v>
      </c>
      <c r="B1986" t="s">
        <v>2177</v>
      </c>
      <c r="C1986" t="s">
        <v>520</v>
      </c>
      <c r="D1986" t="s">
        <v>71</v>
      </c>
      <c r="E1986" t="s">
        <v>72</v>
      </c>
      <c r="F1986" t="s">
        <v>26</v>
      </c>
      <c r="G1986" t="s">
        <v>44</v>
      </c>
      <c r="H1986" t="s">
        <v>45</v>
      </c>
      <c r="I1986" t="s">
        <v>74</v>
      </c>
      <c r="J1986" s="2">
        <v>6</v>
      </c>
      <c r="K1986" s="3">
        <v>395.72</v>
      </c>
      <c r="L1986" s="3">
        <v>222.41</v>
      </c>
      <c r="M1986" s="4">
        <v>0</v>
      </c>
      <c r="N1986" s="3">
        <f t="shared" ref="N1986:N2049" si="155">ROUND(J1986*K1986,2)</f>
        <v>2374.3200000000002</v>
      </c>
      <c r="O1986" s="3">
        <f t="shared" ref="O1986:O2049" si="156">ROUND(N1986*(1-M1986),2)</f>
        <v>2374.3200000000002</v>
      </c>
      <c r="P1986" s="3">
        <f t="shared" ref="P1986:P2049" si="157">ROUND(J1986*L1986,2)</f>
        <v>1334.46</v>
      </c>
      <c r="Q1986" s="3">
        <f t="shared" ref="Q1986:Q2049" si="158">ROUND(O1986-P1986,2)</f>
        <v>1039.8599999999999</v>
      </c>
      <c r="R1986" s="4">
        <f t="shared" ref="R1986:R2049" si="159">IF(O1986=0,0,ROUND(Q1986/O1986,4))</f>
        <v>0.438</v>
      </c>
      <c r="S1986" s="2">
        <v>2</v>
      </c>
      <c r="T1986" t="s">
        <v>46</v>
      </c>
      <c r="U1986">
        <v>3</v>
      </c>
    </row>
    <row r="1987" spans="1:21" x14ac:dyDescent="0.25">
      <c r="A1987" s="1">
        <v>46027</v>
      </c>
      <c r="B1987" t="s">
        <v>2178</v>
      </c>
      <c r="C1987" t="s">
        <v>123</v>
      </c>
      <c r="D1987" t="s">
        <v>63</v>
      </c>
      <c r="E1987" t="s">
        <v>35</v>
      </c>
      <c r="F1987" t="s">
        <v>58</v>
      </c>
      <c r="G1987" t="s">
        <v>51</v>
      </c>
      <c r="H1987" t="s">
        <v>116</v>
      </c>
      <c r="I1987" t="s">
        <v>29</v>
      </c>
      <c r="J1987" s="2">
        <v>4</v>
      </c>
      <c r="K1987" s="3">
        <v>2881.11</v>
      </c>
      <c r="L1987" s="3">
        <v>1762.76</v>
      </c>
      <c r="M1987" s="4">
        <v>7.6600000000000001E-2</v>
      </c>
      <c r="N1987" s="3">
        <f t="shared" si="155"/>
        <v>11524.44</v>
      </c>
      <c r="O1987" s="3">
        <f t="shared" si="156"/>
        <v>10641.67</v>
      </c>
      <c r="P1987" s="3">
        <f t="shared" si="157"/>
        <v>7051.04</v>
      </c>
      <c r="Q1987" s="3">
        <f t="shared" si="158"/>
        <v>3590.63</v>
      </c>
      <c r="R1987" s="4">
        <f t="shared" si="159"/>
        <v>0.33739999999999998</v>
      </c>
      <c r="S1987" s="2">
        <v>7</v>
      </c>
      <c r="T1987" t="s">
        <v>46</v>
      </c>
      <c r="U1987">
        <v>5</v>
      </c>
    </row>
    <row r="1988" spans="1:21" x14ac:dyDescent="0.25">
      <c r="A1988" s="1">
        <v>46234</v>
      </c>
      <c r="B1988" t="s">
        <v>2179</v>
      </c>
      <c r="C1988" t="s">
        <v>336</v>
      </c>
      <c r="D1988" t="s">
        <v>207</v>
      </c>
      <c r="E1988" t="s">
        <v>35</v>
      </c>
      <c r="F1988" t="s">
        <v>58</v>
      </c>
      <c r="G1988" t="s">
        <v>51</v>
      </c>
      <c r="H1988" t="s">
        <v>116</v>
      </c>
      <c r="I1988" t="s">
        <v>39</v>
      </c>
      <c r="J1988" s="2">
        <v>1</v>
      </c>
      <c r="K1988" s="3">
        <v>2810.14</v>
      </c>
      <c r="L1988" s="3">
        <v>1744.14</v>
      </c>
      <c r="M1988" s="4">
        <v>3.5000000000000003E-2</v>
      </c>
      <c r="N1988" s="3">
        <f t="shared" si="155"/>
        <v>2810.14</v>
      </c>
      <c r="O1988" s="3">
        <f t="shared" si="156"/>
        <v>2711.79</v>
      </c>
      <c r="P1988" s="3">
        <f t="shared" si="157"/>
        <v>1744.14</v>
      </c>
      <c r="Q1988" s="3">
        <f t="shared" si="158"/>
        <v>967.65</v>
      </c>
      <c r="R1988" s="4">
        <f t="shared" si="159"/>
        <v>0.35680000000000001</v>
      </c>
      <c r="S1988" s="2">
        <v>4</v>
      </c>
      <c r="T1988" t="s">
        <v>46</v>
      </c>
      <c r="U1988">
        <v>2</v>
      </c>
    </row>
    <row r="1989" spans="1:21" x14ac:dyDescent="0.25">
      <c r="A1989" s="1">
        <v>46154</v>
      </c>
      <c r="B1989" t="s">
        <v>2180</v>
      </c>
      <c r="C1989" t="s">
        <v>275</v>
      </c>
      <c r="D1989" t="s">
        <v>63</v>
      </c>
      <c r="E1989" t="s">
        <v>35</v>
      </c>
      <c r="F1989" t="s">
        <v>26</v>
      </c>
      <c r="G1989" t="s">
        <v>27</v>
      </c>
      <c r="H1989" t="s">
        <v>68</v>
      </c>
      <c r="I1989" t="s">
        <v>92</v>
      </c>
      <c r="J1989" s="2">
        <v>4</v>
      </c>
      <c r="K1989" s="3">
        <v>1355.15</v>
      </c>
      <c r="L1989" s="3">
        <v>787.93</v>
      </c>
      <c r="M1989" s="4">
        <v>0</v>
      </c>
      <c r="N1989" s="3">
        <f t="shared" si="155"/>
        <v>5420.6</v>
      </c>
      <c r="O1989" s="3">
        <f t="shared" si="156"/>
        <v>5420.6</v>
      </c>
      <c r="P1989" s="3">
        <f t="shared" si="157"/>
        <v>3151.72</v>
      </c>
      <c r="Q1989" s="3">
        <f t="shared" si="158"/>
        <v>2268.88</v>
      </c>
      <c r="R1989" s="4">
        <f t="shared" si="159"/>
        <v>0.41860000000000003</v>
      </c>
      <c r="S1989" s="2">
        <v>2</v>
      </c>
      <c r="T1989" t="s">
        <v>46</v>
      </c>
      <c r="U1989">
        <v>4</v>
      </c>
    </row>
    <row r="1990" spans="1:21" x14ac:dyDescent="0.25">
      <c r="A1990" s="1">
        <v>46148</v>
      </c>
      <c r="B1990" t="s">
        <v>2181</v>
      </c>
      <c r="C1990" t="s">
        <v>290</v>
      </c>
      <c r="D1990" t="s">
        <v>126</v>
      </c>
      <c r="E1990" t="s">
        <v>57</v>
      </c>
      <c r="F1990" t="s">
        <v>36</v>
      </c>
      <c r="G1990" t="s">
        <v>37</v>
      </c>
      <c r="H1990" t="s">
        <v>38</v>
      </c>
      <c r="I1990" t="s">
        <v>92</v>
      </c>
      <c r="J1990" s="2">
        <v>5</v>
      </c>
      <c r="K1990" s="3">
        <v>424.61</v>
      </c>
      <c r="L1990" s="3">
        <v>198</v>
      </c>
      <c r="M1990" s="4">
        <v>9.9000000000000008E-3</v>
      </c>
      <c r="N1990" s="3">
        <f t="shared" si="155"/>
        <v>2123.0500000000002</v>
      </c>
      <c r="O1990" s="3">
        <f t="shared" si="156"/>
        <v>2102.0300000000002</v>
      </c>
      <c r="P1990" s="3">
        <f t="shared" si="157"/>
        <v>990</v>
      </c>
      <c r="Q1990" s="3">
        <f t="shared" si="158"/>
        <v>1112.03</v>
      </c>
      <c r="R1990" s="4">
        <f t="shared" si="159"/>
        <v>0.52900000000000003</v>
      </c>
      <c r="S1990" s="2">
        <v>6</v>
      </c>
      <c r="T1990" t="s">
        <v>46</v>
      </c>
      <c r="U1990">
        <v>4</v>
      </c>
    </row>
    <row r="1991" spans="1:21" x14ac:dyDescent="0.25">
      <c r="A1991" s="1">
        <v>46178</v>
      </c>
      <c r="B1991" t="s">
        <v>2182</v>
      </c>
      <c r="C1991" t="s">
        <v>240</v>
      </c>
      <c r="D1991" t="s">
        <v>71</v>
      </c>
      <c r="E1991" t="s">
        <v>72</v>
      </c>
      <c r="F1991" t="s">
        <v>58</v>
      </c>
      <c r="G1991" t="s">
        <v>44</v>
      </c>
      <c r="H1991" t="s">
        <v>73</v>
      </c>
      <c r="I1991" t="s">
        <v>29</v>
      </c>
      <c r="J1991" s="2">
        <v>6</v>
      </c>
      <c r="K1991" s="3">
        <v>1763.73</v>
      </c>
      <c r="L1991" s="3">
        <v>1156.79</v>
      </c>
      <c r="M1991" s="4">
        <v>0.1333</v>
      </c>
      <c r="N1991" s="3">
        <f t="shared" si="155"/>
        <v>10582.38</v>
      </c>
      <c r="O1991" s="3">
        <f t="shared" si="156"/>
        <v>9171.75</v>
      </c>
      <c r="P1991" s="3">
        <f t="shared" si="157"/>
        <v>6940.74</v>
      </c>
      <c r="Q1991" s="3">
        <f t="shared" si="158"/>
        <v>2231.0100000000002</v>
      </c>
      <c r="R1991" s="4">
        <f t="shared" si="159"/>
        <v>0.2432</v>
      </c>
      <c r="S1991" s="2">
        <v>9</v>
      </c>
      <c r="T1991" t="s">
        <v>40</v>
      </c>
    </row>
    <row r="1992" spans="1:21" x14ac:dyDescent="0.25">
      <c r="A1992" s="1">
        <v>46140</v>
      </c>
      <c r="B1992" t="s">
        <v>2183</v>
      </c>
      <c r="C1992" t="s">
        <v>162</v>
      </c>
      <c r="D1992" t="s">
        <v>71</v>
      </c>
      <c r="E1992" t="s">
        <v>72</v>
      </c>
      <c r="F1992" t="s">
        <v>64</v>
      </c>
      <c r="G1992" t="s">
        <v>51</v>
      </c>
      <c r="H1992" t="s">
        <v>59</v>
      </c>
      <c r="I1992" t="s">
        <v>60</v>
      </c>
      <c r="J1992" s="2">
        <v>4</v>
      </c>
      <c r="K1992" s="3">
        <v>2235.89</v>
      </c>
      <c r="L1992" s="3">
        <v>1402.16</v>
      </c>
      <c r="M1992" s="4">
        <v>8.2600000000000007E-2</v>
      </c>
      <c r="N1992" s="3">
        <f t="shared" si="155"/>
        <v>8943.56</v>
      </c>
      <c r="O1992" s="3">
        <f t="shared" si="156"/>
        <v>8204.82</v>
      </c>
      <c r="P1992" s="3">
        <f t="shared" si="157"/>
        <v>5608.64</v>
      </c>
      <c r="Q1992" s="3">
        <f t="shared" si="158"/>
        <v>2596.1799999999998</v>
      </c>
      <c r="R1992" s="4">
        <f t="shared" si="159"/>
        <v>0.31640000000000001</v>
      </c>
      <c r="S1992" s="2">
        <v>9</v>
      </c>
      <c r="T1992" t="s">
        <v>46</v>
      </c>
      <c r="U1992">
        <v>5</v>
      </c>
    </row>
    <row r="1993" spans="1:21" x14ac:dyDescent="0.25">
      <c r="A1993" s="1">
        <v>46223</v>
      </c>
      <c r="B1993" t="s">
        <v>2184</v>
      </c>
      <c r="C1993" t="s">
        <v>89</v>
      </c>
      <c r="D1993" t="s">
        <v>24</v>
      </c>
      <c r="E1993" t="s">
        <v>25</v>
      </c>
      <c r="F1993" t="s">
        <v>26</v>
      </c>
      <c r="G1993" t="s">
        <v>27</v>
      </c>
      <c r="H1993" t="s">
        <v>68</v>
      </c>
      <c r="I1993" t="s">
        <v>65</v>
      </c>
      <c r="J1993" s="2">
        <v>6</v>
      </c>
      <c r="K1993" s="3">
        <v>1315.83</v>
      </c>
      <c r="L1993" s="3">
        <v>817.18</v>
      </c>
      <c r="M1993" s="4">
        <v>0</v>
      </c>
      <c r="N1993" s="3">
        <f t="shared" si="155"/>
        <v>7894.98</v>
      </c>
      <c r="O1993" s="3">
        <f t="shared" si="156"/>
        <v>7894.98</v>
      </c>
      <c r="P1993" s="3">
        <f t="shared" si="157"/>
        <v>4903.08</v>
      </c>
      <c r="Q1993" s="3">
        <f t="shared" si="158"/>
        <v>2991.9</v>
      </c>
      <c r="R1993" s="4">
        <f t="shared" si="159"/>
        <v>0.379</v>
      </c>
      <c r="S1993" s="2">
        <v>10</v>
      </c>
      <c r="T1993" t="s">
        <v>46</v>
      </c>
      <c r="U1993">
        <v>3</v>
      </c>
    </row>
    <row r="1994" spans="1:21" x14ac:dyDescent="0.25">
      <c r="A1994" s="1">
        <v>46142</v>
      </c>
      <c r="B1994" t="s">
        <v>2185</v>
      </c>
      <c r="C1994" t="s">
        <v>172</v>
      </c>
      <c r="D1994" t="s">
        <v>101</v>
      </c>
      <c r="E1994" t="s">
        <v>35</v>
      </c>
      <c r="F1994" t="s">
        <v>64</v>
      </c>
      <c r="G1994" t="s">
        <v>51</v>
      </c>
      <c r="H1994" t="s">
        <v>116</v>
      </c>
      <c r="I1994" t="s">
        <v>60</v>
      </c>
      <c r="J1994" s="2">
        <v>1</v>
      </c>
      <c r="K1994" s="3">
        <v>2645.78</v>
      </c>
      <c r="L1994" s="3">
        <v>1811.42</v>
      </c>
      <c r="M1994" s="4">
        <v>8.6199999999999999E-2</v>
      </c>
      <c r="N1994" s="3">
        <f t="shared" si="155"/>
        <v>2645.78</v>
      </c>
      <c r="O1994" s="3">
        <f t="shared" si="156"/>
        <v>2417.71</v>
      </c>
      <c r="P1994" s="3">
        <f t="shared" si="157"/>
        <v>1811.42</v>
      </c>
      <c r="Q1994" s="3">
        <f t="shared" si="158"/>
        <v>606.29</v>
      </c>
      <c r="R1994" s="4">
        <f t="shared" si="159"/>
        <v>0.25080000000000002</v>
      </c>
      <c r="S1994" s="2">
        <v>14</v>
      </c>
      <c r="T1994" t="s">
        <v>30</v>
      </c>
      <c r="U1994">
        <v>5</v>
      </c>
    </row>
    <row r="1995" spans="1:21" x14ac:dyDescent="0.25">
      <c r="A1995" s="1">
        <v>46024</v>
      </c>
      <c r="B1995" t="s">
        <v>2186</v>
      </c>
      <c r="C1995" t="s">
        <v>433</v>
      </c>
      <c r="D1995" t="s">
        <v>56</v>
      </c>
      <c r="E1995" t="s">
        <v>57</v>
      </c>
      <c r="F1995" t="s">
        <v>26</v>
      </c>
      <c r="G1995" t="s">
        <v>44</v>
      </c>
      <c r="H1995" t="s">
        <v>45</v>
      </c>
      <c r="I1995" t="s">
        <v>74</v>
      </c>
      <c r="J1995" s="2">
        <v>2</v>
      </c>
      <c r="K1995" s="3">
        <v>374.76</v>
      </c>
      <c r="L1995" s="3">
        <v>212.03</v>
      </c>
      <c r="M1995" s="4">
        <v>0</v>
      </c>
      <c r="N1995" s="3">
        <f t="shared" si="155"/>
        <v>749.52</v>
      </c>
      <c r="O1995" s="3">
        <f t="shared" si="156"/>
        <v>749.52</v>
      </c>
      <c r="P1995" s="3">
        <f t="shared" si="157"/>
        <v>424.06</v>
      </c>
      <c r="Q1995" s="3">
        <f t="shared" si="158"/>
        <v>325.45999999999998</v>
      </c>
      <c r="R1995" s="4">
        <f t="shared" si="159"/>
        <v>0.43419999999999997</v>
      </c>
      <c r="S1995" s="2">
        <v>6</v>
      </c>
      <c r="T1995" t="s">
        <v>46</v>
      </c>
      <c r="U1995">
        <v>3</v>
      </c>
    </row>
    <row r="1996" spans="1:21" x14ac:dyDescent="0.25">
      <c r="A1996" s="1">
        <v>46126</v>
      </c>
      <c r="B1996" t="s">
        <v>2187</v>
      </c>
      <c r="C1996" t="s">
        <v>243</v>
      </c>
      <c r="D1996" t="s">
        <v>63</v>
      </c>
      <c r="E1996" t="s">
        <v>35</v>
      </c>
      <c r="F1996" t="s">
        <v>58</v>
      </c>
      <c r="G1996" t="s">
        <v>51</v>
      </c>
      <c r="H1996" t="s">
        <v>59</v>
      </c>
      <c r="I1996" t="s">
        <v>87</v>
      </c>
      <c r="J1996" s="2">
        <v>8</v>
      </c>
      <c r="K1996" s="3">
        <v>2220.4699999999998</v>
      </c>
      <c r="L1996" s="3">
        <v>1434.46</v>
      </c>
      <c r="M1996" s="4">
        <v>3.5000000000000003E-2</v>
      </c>
      <c r="N1996" s="3">
        <f t="shared" si="155"/>
        <v>17763.759999999998</v>
      </c>
      <c r="O1996" s="3">
        <f t="shared" si="156"/>
        <v>17142.03</v>
      </c>
      <c r="P1996" s="3">
        <f t="shared" si="157"/>
        <v>11475.68</v>
      </c>
      <c r="Q1996" s="3">
        <f t="shared" si="158"/>
        <v>5666.35</v>
      </c>
      <c r="R1996" s="4">
        <f t="shared" si="159"/>
        <v>0.3306</v>
      </c>
      <c r="S1996" s="2">
        <v>10</v>
      </c>
      <c r="T1996" t="s">
        <v>46</v>
      </c>
      <c r="U1996">
        <v>3</v>
      </c>
    </row>
    <row r="1997" spans="1:21" x14ac:dyDescent="0.25">
      <c r="A1997" s="1">
        <v>46200</v>
      </c>
      <c r="B1997" t="s">
        <v>2188</v>
      </c>
      <c r="C1997" t="s">
        <v>103</v>
      </c>
      <c r="D1997" t="s">
        <v>63</v>
      </c>
      <c r="E1997" t="s">
        <v>35</v>
      </c>
      <c r="F1997" t="s">
        <v>64</v>
      </c>
      <c r="G1997" t="s">
        <v>51</v>
      </c>
      <c r="H1997" t="s">
        <v>116</v>
      </c>
      <c r="I1997" t="s">
        <v>65</v>
      </c>
      <c r="J1997" s="2">
        <v>5</v>
      </c>
      <c r="K1997" s="3">
        <v>2856.2</v>
      </c>
      <c r="L1997" s="3">
        <v>1875.25</v>
      </c>
      <c r="M1997" s="4">
        <v>0</v>
      </c>
      <c r="N1997" s="3">
        <f t="shared" si="155"/>
        <v>14281</v>
      </c>
      <c r="O1997" s="3">
        <f t="shared" si="156"/>
        <v>14281</v>
      </c>
      <c r="P1997" s="3">
        <f t="shared" si="157"/>
        <v>9376.25</v>
      </c>
      <c r="Q1997" s="3">
        <f t="shared" si="158"/>
        <v>4904.75</v>
      </c>
      <c r="R1997" s="4">
        <f t="shared" si="159"/>
        <v>0.34339999999999998</v>
      </c>
      <c r="S1997" s="2">
        <v>3</v>
      </c>
      <c r="T1997" t="s">
        <v>46</v>
      </c>
      <c r="U1997">
        <v>2</v>
      </c>
    </row>
    <row r="1998" spans="1:21" x14ac:dyDescent="0.25">
      <c r="A1998" s="1">
        <v>46220</v>
      </c>
      <c r="B1998" t="s">
        <v>2189</v>
      </c>
      <c r="C1998" t="s">
        <v>76</v>
      </c>
      <c r="D1998" t="s">
        <v>63</v>
      </c>
      <c r="E1998" t="s">
        <v>35</v>
      </c>
      <c r="F1998" t="s">
        <v>58</v>
      </c>
      <c r="G1998" t="s">
        <v>27</v>
      </c>
      <c r="H1998" t="s">
        <v>28</v>
      </c>
      <c r="I1998" t="s">
        <v>74</v>
      </c>
      <c r="J1998" s="2">
        <v>2</v>
      </c>
      <c r="K1998" s="3">
        <v>816.96</v>
      </c>
      <c r="L1998" s="3">
        <v>439.65</v>
      </c>
      <c r="M1998" s="4">
        <v>0.14480000000000001</v>
      </c>
      <c r="N1998" s="3">
        <f t="shared" si="155"/>
        <v>1633.92</v>
      </c>
      <c r="O1998" s="3">
        <f t="shared" si="156"/>
        <v>1397.33</v>
      </c>
      <c r="P1998" s="3">
        <f t="shared" si="157"/>
        <v>879.3</v>
      </c>
      <c r="Q1998" s="3">
        <f t="shared" si="158"/>
        <v>518.03</v>
      </c>
      <c r="R1998" s="4">
        <f t="shared" si="159"/>
        <v>0.37069999999999997</v>
      </c>
      <c r="S1998" s="2">
        <v>7</v>
      </c>
      <c r="T1998" t="s">
        <v>46</v>
      </c>
      <c r="U1998">
        <v>5</v>
      </c>
    </row>
    <row r="1999" spans="1:21" x14ac:dyDescent="0.25">
      <c r="A1999" s="1">
        <v>46052</v>
      </c>
      <c r="B1999" t="s">
        <v>2190</v>
      </c>
      <c r="C1999" t="s">
        <v>284</v>
      </c>
      <c r="D1999" t="s">
        <v>43</v>
      </c>
      <c r="E1999" t="s">
        <v>25</v>
      </c>
      <c r="F1999" t="s">
        <v>64</v>
      </c>
      <c r="G1999" t="s">
        <v>27</v>
      </c>
      <c r="H1999" t="s">
        <v>68</v>
      </c>
      <c r="I1999" t="s">
        <v>87</v>
      </c>
      <c r="J1999" s="2">
        <v>5</v>
      </c>
      <c r="K1999" s="3">
        <v>1342.66</v>
      </c>
      <c r="L1999" s="3">
        <v>780.61</v>
      </c>
      <c r="M1999" s="4">
        <v>5.6500000000000002E-2</v>
      </c>
      <c r="N1999" s="3">
        <f t="shared" si="155"/>
        <v>6713.3</v>
      </c>
      <c r="O1999" s="3">
        <f t="shared" si="156"/>
        <v>6334</v>
      </c>
      <c r="P1999" s="3">
        <f t="shared" si="157"/>
        <v>3903.05</v>
      </c>
      <c r="Q1999" s="3">
        <f t="shared" si="158"/>
        <v>2430.9499999999998</v>
      </c>
      <c r="R1999" s="4">
        <f t="shared" si="159"/>
        <v>0.38379999999999997</v>
      </c>
      <c r="S1999" s="2">
        <v>11</v>
      </c>
      <c r="T1999" t="s">
        <v>30</v>
      </c>
      <c r="U1999">
        <v>3</v>
      </c>
    </row>
    <row r="2000" spans="1:21" x14ac:dyDescent="0.25">
      <c r="A2000" s="1">
        <v>46064</v>
      </c>
      <c r="B2000" t="s">
        <v>2191</v>
      </c>
      <c r="C2000" t="s">
        <v>136</v>
      </c>
      <c r="D2000" t="s">
        <v>49</v>
      </c>
      <c r="E2000" t="s">
        <v>50</v>
      </c>
      <c r="F2000" t="s">
        <v>58</v>
      </c>
      <c r="G2000" t="s">
        <v>27</v>
      </c>
      <c r="H2000" t="s">
        <v>28</v>
      </c>
      <c r="I2000" t="s">
        <v>77</v>
      </c>
      <c r="J2000" s="2">
        <v>4</v>
      </c>
      <c r="K2000" s="3">
        <v>816.63</v>
      </c>
      <c r="L2000" s="3">
        <v>455.25</v>
      </c>
      <c r="M2000" s="4">
        <v>3.5000000000000003E-2</v>
      </c>
      <c r="N2000" s="3">
        <f t="shared" si="155"/>
        <v>3266.52</v>
      </c>
      <c r="O2000" s="3">
        <f t="shared" si="156"/>
        <v>3152.19</v>
      </c>
      <c r="P2000" s="3">
        <f t="shared" si="157"/>
        <v>1821</v>
      </c>
      <c r="Q2000" s="3">
        <f t="shared" si="158"/>
        <v>1331.19</v>
      </c>
      <c r="R2000" s="4">
        <f t="shared" si="159"/>
        <v>0.42230000000000001</v>
      </c>
      <c r="S2000" s="2">
        <v>3</v>
      </c>
      <c r="T2000" t="s">
        <v>46</v>
      </c>
      <c r="U2000">
        <v>2</v>
      </c>
    </row>
    <row r="2001" spans="1:21" x14ac:dyDescent="0.25">
      <c r="A2001" s="1">
        <v>46112</v>
      </c>
      <c r="B2001" t="s">
        <v>2192</v>
      </c>
      <c r="C2001" t="s">
        <v>198</v>
      </c>
      <c r="D2001" t="s">
        <v>71</v>
      </c>
      <c r="E2001" t="s">
        <v>72</v>
      </c>
      <c r="F2001" t="s">
        <v>36</v>
      </c>
      <c r="G2001" t="s">
        <v>37</v>
      </c>
      <c r="H2001" t="s">
        <v>104</v>
      </c>
      <c r="I2001" t="s">
        <v>74</v>
      </c>
      <c r="J2001" s="2">
        <v>4</v>
      </c>
      <c r="K2001" s="3">
        <v>337.01</v>
      </c>
      <c r="L2001" s="3">
        <v>143.49</v>
      </c>
      <c r="M2001" s="4">
        <v>2.5899999999999999E-2</v>
      </c>
      <c r="N2001" s="3">
        <f t="shared" si="155"/>
        <v>1348.04</v>
      </c>
      <c r="O2001" s="3">
        <f t="shared" si="156"/>
        <v>1313.13</v>
      </c>
      <c r="P2001" s="3">
        <f t="shared" si="157"/>
        <v>573.96</v>
      </c>
      <c r="Q2001" s="3">
        <f t="shared" si="158"/>
        <v>739.17</v>
      </c>
      <c r="R2001" s="4">
        <f t="shared" si="159"/>
        <v>0.56289999999999996</v>
      </c>
      <c r="S2001" s="2">
        <v>12</v>
      </c>
      <c r="T2001" t="s">
        <v>30</v>
      </c>
      <c r="U2001">
        <v>3</v>
      </c>
    </row>
    <row r="2002" spans="1:21" x14ac:dyDescent="0.25">
      <c r="A2002" s="1">
        <v>46127</v>
      </c>
      <c r="B2002" t="s">
        <v>2193</v>
      </c>
      <c r="C2002" t="s">
        <v>84</v>
      </c>
      <c r="D2002" t="s">
        <v>85</v>
      </c>
      <c r="E2002" t="s">
        <v>50</v>
      </c>
      <c r="F2002" t="s">
        <v>58</v>
      </c>
      <c r="G2002" t="s">
        <v>51</v>
      </c>
      <c r="H2002" t="s">
        <v>52</v>
      </c>
      <c r="I2002" t="s">
        <v>94</v>
      </c>
      <c r="J2002" s="2">
        <v>4</v>
      </c>
      <c r="K2002" s="3">
        <v>249.19</v>
      </c>
      <c r="L2002" s="3">
        <v>123.55</v>
      </c>
      <c r="M2002" s="4">
        <v>3.5000000000000003E-2</v>
      </c>
      <c r="N2002" s="3">
        <f t="shared" si="155"/>
        <v>996.76</v>
      </c>
      <c r="O2002" s="3">
        <f t="shared" si="156"/>
        <v>961.87</v>
      </c>
      <c r="P2002" s="3">
        <f t="shared" si="157"/>
        <v>494.2</v>
      </c>
      <c r="Q2002" s="3">
        <f t="shared" si="158"/>
        <v>467.67</v>
      </c>
      <c r="R2002" s="4">
        <f t="shared" si="159"/>
        <v>0.48620000000000002</v>
      </c>
      <c r="S2002" s="2">
        <v>2</v>
      </c>
      <c r="T2002" t="s">
        <v>46</v>
      </c>
      <c r="U2002">
        <v>5</v>
      </c>
    </row>
    <row r="2003" spans="1:21" x14ac:dyDescent="0.25">
      <c r="A2003" s="1">
        <v>46194</v>
      </c>
      <c r="B2003" t="s">
        <v>2194</v>
      </c>
      <c r="C2003" t="s">
        <v>190</v>
      </c>
      <c r="D2003" t="s">
        <v>63</v>
      </c>
      <c r="E2003" t="s">
        <v>35</v>
      </c>
      <c r="F2003" t="s">
        <v>64</v>
      </c>
      <c r="G2003" t="s">
        <v>44</v>
      </c>
      <c r="H2003" t="s">
        <v>124</v>
      </c>
      <c r="I2003" t="s">
        <v>87</v>
      </c>
      <c r="J2003" s="2">
        <v>6</v>
      </c>
      <c r="K2003" s="3">
        <v>6099.13</v>
      </c>
      <c r="L2003" s="3">
        <v>4226.03</v>
      </c>
      <c r="M2003" s="4">
        <v>2.5999999999999999E-2</v>
      </c>
      <c r="N2003" s="3">
        <f t="shared" si="155"/>
        <v>36594.78</v>
      </c>
      <c r="O2003" s="3">
        <f t="shared" si="156"/>
        <v>35643.32</v>
      </c>
      <c r="P2003" s="3">
        <f t="shared" si="157"/>
        <v>25356.18</v>
      </c>
      <c r="Q2003" s="3">
        <f t="shared" si="158"/>
        <v>10287.14</v>
      </c>
      <c r="R2003" s="4">
        <f t="shared" si="159"/>
        <v>0.28860000000000002</v>
      </c>
      <c r="S2003" s="2">
        <v>14</v>
      </c>
      <c r="T2003" t="s">
        <v>30</v>
      </c>
      <c r="U2003">
        <v>2</v>
      </c>
    </row>
    <row r="2004" spans="1:21" x14ac:dyDescent="0.25">
      <c r="A2004" s="1">
        <v>46226</v>
      </c>
      <c r="B2004" t="s">
        <v>2195</v>
      </c>
      <c r="C2004" t="s">
        <v>118</v>
      </c>
      <c r="D2004" t="s">
        <v>130</v>
      </c>
      <c r="E2004" t="s">
        <v>72</v>
      </c>
      <c r="F2004" t="s">
        <v>36</v>
      </c>
      <c r="G2004" t="s">
        <v>44</v>
      </c>
      <c r="H2004" t="s">
        <v>73</v>
      </c>
      <c r="I2004" t="s">
        <v>60</v>
      </c>
      <c r="J2004" s="2">
        <v>8</v>
      </c>
      <c r="K2004" s="3">
        <v>1693.09</v>
      </c>
      <c r="L2004" s="3">
        <v>1147.77</v>
      </c>
      <c r="M2004" s="4">
        <v>8.3000000000000004E-2</v>
      </c>
      <c r="N2004" s="3">
        <f t="shared" si="155"/>
        <v>13544.72</v>
      </c>
      <c r="O2004" s="3">
        <f t="shared" si="156"/>
        <v>12420.51</v>
      </c>
      <c r="P2004" s="3">
        <f t="shared" si="157"/>
        <v>9182.16</v>
      </c>
      <c r="Q2004" s="3">
        <f t="shared" si="158"/>
        <v>3238.35</v>
      </c>
      <c r="R2004" s="4">
        <f t="shared" si="159"/>
        <v>0.26069999999999999</v>
      </c>
      <c r="S2004" s="2">
        <v>9</v>
      </c>
      <c r="T2004" t="s">
        <v>46</v>
      </c>
      <c r="U2004">
        <v>3</v>
      </c>
    </row>
    <row r="2005" spans="1:21" x14ac:dyDescent="0.25">
      <c r="A2005" s="1">
        <v>46140</v>
      </c>
      <c r="B2005" t="s">
        <v>2196</v>
      </c>
      <c r="C2005" t="s">
        <v>288</v>
      </c>
      <c r="D2005" t="s">
        <v>43</v>
      </c>
      <c r="E2005" t="s">
        <v>25</v>
      </c>
      <c r="F2005" t="s">
        <v>26</v>
      </c>
      <c r="G2005" t="s">
        <v>37</v>
      </c>
      <c r="H2005" t="s">
        <v>38</v>
      </c>
      <c r="I2005" t="s">
        <v>94</v>
      </c>
      <c r="J2005" s="2">
        <v>2</v>
      </c>
      <c r="K2005" s="3">
        <v>441</v>
      </c>
      <c r="L2005" s="3">
        <v>193.87</v>
      </c>
      <c r="M2005" s="4">
        <v>8.5500000000000007E-2</v>
      </c>
      <c r="N2005" s="3">
        <f t="shared" si="155"/>
        <v>882</v>
      </c>
      <c r="O2005" s="3">
        <f t="shared" si="156"/>
        <v>806.59</v>
      </c>
      <c r="P2005" s="3">
        <f t="shared" si="157"/>
        <v>387.74</v>
      </c>
      <c r="Q2005" s="3">
        <f t="shared" si="158"/>
        <v>418.85</v>
      </c>
      <c r="R2005" s="4">
        <f t="shared" si="159"/>
        <v>0.51929999999999998</v>
      </c>
      <c r="S2005" s="2">
        <v>3</v>
      </c>
      <c r="T2005" t="s">
        <v>46</v>
      </c>
      <c r="U2005">
        <v>4</v>
      </c>
    </row>
    <row r="2006" spans="1:21" x14ac:dyDescent="0.25">
      <c r="A2006" s="1">
        <v>46098</v>
      </c>
      <c r="B2006" t="s">
        <v>2197</v>
      </c>
      <c r="C2006" t="s">
        <v>392</v>
      </c>
      <c r="D2006" t="s">
        <v>126</v>
      </c>
      <c r="E2006" t="s">
        <v>57</v>
      </c>
      <c r="F2006" t="s">
        <v>64</v>
      </c>
      <c r="G2006" t="s">
        <v>44</v>
      </c>
      <c r="H2006" t="s">
        <v>73</v>
      </c>
      <c r="I2006" t="s">
        <v>53</v>
      </c>
      <c r="J2006" s="2">
        <v>7</v>
      </c>
      <c r="K2006" s="3">
        <v>1703.21</v>
      </c>
      <c r="L2006" s="3">
        <v>1129.9100000000001</v>
      </c>
      <c r="M2006" s="4">
        <v>0</v>
      </c>
      <c r="N2006" s="3">
        <f t="shared" si="155"/>
        <v>11922.47</v>
      </c>
      <c r="O2006" s="3">
        <f t="shared" si="156"/>
        <v>11922.47</v>
      </c>
      <c r="P2006" s="3">
        <f t="shared" si="157"/>
        <v>7909.37</v>
      </c>
      <c r="Q2006" s="3">
        <f t="shared" si="158"/>
        <v>4013.1</v>
      </c>
      <c r="R2006" s="4">
        <f t="shared" si="159"/>
        <v>0.33660000000000001</v>
      </c>
      <c r="S2006" s="2">
        <v>14</v>
      </c>
      <c r="T2006" t="s">
        <v>30</v>
      </c>
      <c r="U2006">
        <v>4</v>
      </c>
    </row>
    <row r="2007" spans="1:21" x14ac:dyDescent="0.25">
      <c r="A2007" s="1">
        <v>46075</v>
      </c>
      <c r="B2007" t="s">
        <v>2198</v>
      </c>
      <c r="C2007" t="s">
        <v>108</v>
      </c>
      <c r="D2007" t="s">
        <v>207</v>
      </c>
      <c r="E2007" t="s">
        <v>35</v>
      </c>
      <c r="F2007" t="s">
        <v>58</v>
      </c>
      <c r="G2007" t="s">
        <v>27</v>
      </c>
      <c r="H2007" t="s">
        <v>28</v>
      </c>
      <c r="I2007" t="s">
        <v>65</v>
      </c>
      <c r="J2007" s="2">
        <v>5</v>
      </c>
      <c r="K2007" s="3">
        <v>807.18</v>
      </c>
      <c r="L2007" s="3">
        <v>439.94</v>
      </c>
      <c r="M2007" s="4">
        <v>0.1381</v>
      </c>
      <c r="N2007" s="3">
        <f t="shared" si="155"/>
        <v>4035.9</v>
      </c>
      <c r="O2007" s="3">
        <f t="shared" si="156"/>
        <v>3478.54</v>
      </c>
      <c r="P2007" s="3">
        <f t="shared" si="157"/>
        <v>2199.6999999999998</v>
      </c>
      <c r="Q2007" s="3">
        <f t="shared" si="158"/>
        <v>1278.8399999999999</v>
      </c>
      <c r="R2007" s="4">
        <f t="shared" si="159"/>
        <v>0.36759999999999998</v>
      </c>
      <c r="S2007" s="2">
        <v>13</v>
      </c>
      <c r="T2007" t="s">
        <v>30</v>
      </c>
      <c r="U2007">
        <v>5</v>
      </c>
    </row>
    <row r="2008" spans="1:21" x14ac:dyDescent="0.25">
      <c r="A2008" s="1">
        <v>46043</v>
      </c>
      <c r="B2008" t="s">
        <v>2199</v>
      </c>
      <c r="C2008" t="s">
        <v>336</v>
      </c>
      <c r="D2008" t="s">
        <v>101</v>
      </c>
      <c r="E2008" t="s">
        <v>35</v>
      </c>
      <c r="F2008" t="s">
        <v>26</v>
      </c>
      <c r="G2008" t="s">
        <v>51</v>
      </c>
      <c r="H2008" t="s">
        <v>116</v>
      </c>
      <c r="I2008" t="s">
        <v>94</v>
      </c>
      <c r="J2008" s="2">
        <v>1</v>
      </c>
      <c r="K2008" s="3">
        <v>2751.47</v>
      </c>
      <c r="L2008" s="3">
        <v>1886.9</v>
      </c>
      <c r="M2008" s="4">
        <v>0</v>
      </c>
      <c r="N2008" s="3">
        <f t="shared" si="155"/>
        <v>2751.47</v>
      </c>
      <c r="O2008" s="3">
        <f t="shared" si="156"/>
        <v>2751.47</v>
      </c>
      <c r="P2008" s="3">
        <f t="shared" si="157"/>
        <v>1886.9</v>
      </c>
      <c r="Q2008" s="3">
        <f t="shared" si="158"/>
        <v>864.57</v>
      </c>
      <c r="R2008" s="4">
        <f t="shared" si="159"/>
        <v>0.31419999999999998</v>
      </c>
      <c r="S2008" s="2">
        <v>14</v>
      </c>
      <c r="T2008" t="s">
        <v>30</v>
      </c>
      <c r="U2008">
        <v>3</v>
      </c>
    </row>
    <row r="2009" spans="1:21" x14ac:dyDescent="0.25">
      <c r="A2009" s="1">
        <v>46072</v>
      </c>
      <c r="B2009" t="s">
        <v>2200</v>
      </c>
      <c r="C2009" t="s">
        <v>243</v>
      </c>
      <c r="D2009" t="s">
        <v>63</v>
      </c>
      <c r="E2009" t="s">
        <v>35</v>
      </c>
      <c r="F2009" t="s">
        <v>36</v>
      </c>
      <c r="G2009" t="s">
        <v>27</v>
      </c>
      <c r="H2009" t="s">
        <v>68</v>
      </c>
      <c r="I2009" t="s">
        <v>77</v>
      </c>
      <c r="J2009" s="2">
        <v>7</v>
      </c>
      <c r="K2009" s="3">
        <v>1361.32</v>
      </c>
      <c r="L2009" s="3">
        <v>764.4</v>
      </c>
      <c r="M2009" s="4">
        <v>4.4299999999999999E-2</v>
      </c>
      <c r="N2009" s="3">
        <f t="shared" si="155"/>
        <v>9529.24</v>
      </c>
      <c r="O2009" s="3">
        <f t="shared" si="156"/>
        <v>9107.09</v>
      </c>
      <c r="P2009" s="3">
        <f t="shared" si="157"/>
        <v>5350.8</v>
      </c>
      <c r="Q2009" s="3">
        <f t="shared" si="158"/>
        <v>3756.29</v>
      </c>
      <c r="R2009" s="4">
        <f t="shared" si="159"/>
        <v>0.41249999999999998</v>
      </c>
      <c r="S2009" s="2">
        <v>8</v>
      </c>
      <c r="T2009" t="s">
        <v>46</v>
      </c>
      <c r="U2009">
        <v>5</v>
      </c>
    </row>
    <row r="2010" spans="1:21" x14ac:dyDescent="0.25">
      <c r="A2010" s="1">
        <v>46031</v>
      </c>
      <c r="B2010" t="s">
        <v>2201</v>
      </c>
      <c r="C2010" t="s">
        <v>146</v>
      </c>
      <c r="D2010" t="s">
        <v>121</v>
      </c>
      <c r="E2010" t="s">
        <v>72</v>
      </c>
      <c r="F2010" t="s">
        <v>64</v>
      </c>
      <c r="G2010" t="s">
        <v>27</v>
      </c>
      <c r="H2010" t="s">
        <v>68</v>
      </c>
      <c r="I2010" t="s">
        <v>60</v>
      </c>
      <c r="J2010" s="2">
        <v>5</v>
      </c>
      <c r="K2010" s="3">
        <v>1247.2</v>
      </c>
      <c r="L2010" s="3">
        <v>803.56</v>
      </c>
      <c r="M2010" s="4">
        <v>0</v>
      </c>
      <c r="N2010" s="3">
        <f t="shared" si="155"/>
        <v>6236</v>
      </c>
      <c r="O2010" s="3">
        <f t="shared" si="156"/>
        <v>6236</v>
      </c>
      <c r="P2010" s="3">
        <f t="shared" si="157"/>
        <v>4017.8</v>
      </c>
      <c r="Q2010" s="3">
        <f t="shared" si="158"/>
        <v>2218.1999999999998</v>
      </c>
      <c r="R2010" s="4">
        <f t="shared" si="159"/>
        <v>0.35570000000000002</v>
      </c>
      <c r="S2010" s="2">
        <v>3</v>
      </c>
      <c r="T2010" t="s">
        <v>46</v>
      </c>
      <c r="U2010">
        <v>2</v>
      </c>
    </row>
    <row r="2011" spans="1:21" x14ac:dyDescent="0.25">
      <c r="A2011" s="1">
        <v>46041</v>
      </c>
      <c r="B2011" t="s">
        <v>2202</v>
      </c>
      <c r="C2011" t="s">
        <v>297</v>
      </c>
      <c r="D2011" t="s">
        <v>126</v>
      </c>
      <c r="E2011" t="s">
        <v>57</v>
      </c>
      <c r="F2011" t="s">
        <v>58</v>
      </c>
      <c r="G2011" t="s">
        <v>27</v>
      </c>
      <c r="H2011" t="s">
        <v>86</v>
      </c>
      <c r="I2011" t="s">
        <v>53</v>
      </c>
      <c r="J2011" s="2">
        <v>6</v>
      </c>
      <c r="K2011" s="3">
        <v>1934.68</v>
      </c>
      <c r="L2011" s="3">
        <v>1224.67</v>
      </c>
      <c r="M2011" s="4">
        <v>3.9600000000000003E-2</v>
      </c>
      <c r="N2011" s="3">
        <f t="shared" si="155"/>
        <v>11608.08</v>
      </c>
      <c r="O2011" s="3">
        <f t="shared" si="156"/>
        <v>11148.4</v>
      </c>
      <c r="P2011" s="3">
        <f t="shared" si="157"/>
        <v>7348.02</v>
      </c>
      <c r="Q2011" s="3">
        <f t="shared" si="158"/>
        <v>3800.38</v>
      </c>
      <c r="R2011" s="4">
        <f t="shared" si="159"/>
        <v>0.34089999999999998</v>
      </c>
      <c r="S2011" s="2">
        <v>14</v>
      </c>
      <c r="T2011" t="s">
        <v>30</v>
      </c>
      <c r="U2011">
        <v>4</v>
      </c>
    </row>
    <row r="2012" spans="1:21" x14ac:dyDescent="0.25">
      <c r="A2012" s="1">
        <v>46094</v>
      </c>
      <c r="B2012" t="s">
        <v>2203</v>
      </c>
      <c r="C2012" t="s">
        <v>247</v>
      </c>
      <c r="D2012" t="s">
        <v>130</v>
      </c>
      <c r="E2012" t="s">
        <v>72</v>
      </c>
      <c r="F2012" t="s">
        <v>26</v>
      </c>
      <c r="G2012" t="s">
        <v>51</v>
      </c>
      <c r="H2012" t="s">
        <v>52</v>
      </c>
      <c r="I2012" t="s">
        <v>74</v>
      </c>
      <c r="J2012" s="2">
        <v>3</v>
      </c>
      <c r="K2012" s="3">
        <v>253.37</v>
      </c>
      <c r="L2012" s="3">
        <v>124.77</v>
      </c>
      <c r="M2012" s="4">
        <v>0</v>
      </c>
      <c r="N2012" s="3">
        <f t="shared" si="155"/>
        <v>760.11</v>
      </c>
      <c r="O2012" s="3">
        <f t="shared" si="156"/>
        <v>760.11</v>
      </c>
      <c r="P2012" s="3">
        <f t="shared" si="157"/>
        <v>374.31</v>
      </c>
      <c r="Q2012" s="3">
        <f t="shared" si="158"/>
        <v>385.8</v>
      </c>
      <c r="R2012" s="4">
        <f t="shared" si="159"/>
        <v>0.50760000000000005</v>
      </c>
      <c r="S2012" s="2">
        <v>8</v>
      </c>
      <c r="T2012" t="s">
        <v>46</v>
      </c>
      <c r="U2012">
        <v>3</v>
      </c>
    </row>
    <row r="2013" spans="1:21" x14ac:dyDescent="0.25">
      <c r="A2013" s="1">
        <v>46044</v>
      </c>
      <c r="B2013" t="s">
        <v>2204</v>
      </c>
      <c r="C2013" t="s">
        <v>211</v>
      </c>
      <c r="D2013" t="s">
        <v>63</v>
      </c>
      <c r="E2013" t="s">
        <v>35</v>
      </c>
      <c r="F2013" t="s">
        <v>26</v>
      </c>
      <c r="G2013" t="s">
        <v>37</v>
      </c>
      <c r="H2013" t="s">
        <v>38</v>
      </c>
      <c r="I2013" t="s">
        <v>60</v>
      </c>
      <c r="J2013" s="2">
        <v>2</v>
      </c>
      <c r="K2013" s="3">
        <v>427.27</v>
      </c>
      <c r="L2013" s="3">
        <v>196.05</v>
      </c>
      <c r="M2013" s="4">
        <v>0</v>
      </c>
      <c r="N2013" s="3">
        <f t="shared" si="155"/>
        <v>854.54</v>
      </c>
      <c r="O2013" s="3">
        <f t="shared" si="156"/>
        <v>854.54</v>
      </c>
      <c r="P2013" s="3">
        <f t="shared" si="157"/>
        <v>392.1</v>
      </c>
      <c r="Q2013" s="3">
        <f t="shared" si="158"/>
        <v>462.44</v>
      </c>
      <c r="R2013" s="4">
        <f t="shared" si="159"/>
        <v>0.54120000000000001</v>
      </c>
      <c r="S2013" s="2">
        <v>14</v>
      </c>
      <c r="T2013" t="s">
        <v>30</v>
      </c>
      <c r="U2013">
        <v>4</v>
      </c>
    </row>
    <row r="2014" spans="1:21" x14ac:dyDescent="0.25">
      <c r="A2014" s="1">
        <v>46178</v>
      </c>
      <c r="B2014" t="s">
        <v>2205</v>
      </c>
      <c r="C2014" t="s">
        <v>525</v>
      </c>
      <c r="D2014" t="s">
        <v>56</v>
      </c>
      <c r="E2014" t="s">
        <v>57</v>
      </c>
      <c r="F2014" t="s">
        <v>26</v>
      </c>
      <c r="G2014" t="s">
        <v>44</v>
      </c>
      <c r="H2014" t="s">
        <v>73</v>
      </c>
      <c r="I2014" t="s">
        <v>94</v>
      </c>
      <c r="J2014" s="2">
        <v>3</v>
      </c>
      <c r="K2014" s="3">
        <v>1755.38</v>
      </c>
      <c r="L2014" s="3">
        <v>1094.19</v>
      </c>
      <c r="M2014" s="4">
        <v>0</v>
      </c>
      <c r="N2014" s="3">
        <f t="shared" si="155"/>
        <v>5266.14</v>
      </c>
      <c r="O2014" s="3">
        <f t="shared" si="156"/>
        <v>5266.14</v>
      </c>
      <c r="P2014" s="3">
        <f t="shared" si="157"/>
        <v>3282.57</v>
      </c>
      <c r="Q2014" s="3">
        <f t="shared" si="158"/>
        <v>1983.57</v>
      </c>
      <c r="R2014" s="4">
        <f t="shared" si="159"/>
        <v>0.37669999999999998</v>
      </c>
      <c r="S2014" s="2">
        <v>2</v>
      </c>
      <c r="T2014" t="s">
        <v>46</v>
      </c>
      <c r="U2014">
        <v>5</v>
      </c>
    </row>
    <row r="2015" spans="1:21" x14ac:dyDescent="0.25">
      <c r="A2015" s="1">
        <v>46136</v>
      </c>
      <c r="B2015" t="s">
        <v>2206</v>
      </c>
      <c r="C2015" t="s">
        <v>243</v>
      </c>
      <c r="D2015" t="s">
        <v>43</v>
      </c>
      <c r="E2015" t="s">
        <v>25</v>
      </c>
      <c r="F2015" t="s">
        <v>36</v>
      </c>
      <c r="G2015" t="s">
        <v>51</v>
      </c>
      <c r="H2015" t="s">
        <v>59</v>
      </c>
      <c r="I2015" t="s">
        <v>94</v>
      </c>
      <c r="J2015" s="2">
        <v>2</v>
      </c>
      <c r="K2015" s="3">
        <v>2225.86</v>
      </c>
      <c r="L2015" s="3">
        <v>1449.69</v>
      </c>
      <c r="M2015" s="4">
        <v>7.0000000000000001E-3</v>
      </c>
      <c r="N2015" s="3">
        <f t="shared" si="155"/>
        <v>4451.72</v>
      </c>
      <c r="O2015" s="3">
        <f t="shared" si="156"/>
        <v>4420.5600000000004</v>
      </c>
      <c r="P2015" s="3">
        <f t="shared" si="157"/>
        <v>2899.38</v>
      </c>
      <c r="Q2015" s="3">
        <f t="shared" si="158"/>
        <v>1521.18</v>
      </c>
      <c r="R2015" s="4">
        <f t="shared" si="159"/>
        <v>0.34410000000000002</v>
      </c>
      <c r="S2015" s="2">
        <v>5</v>
      </c>
      <c r="T2015" t="s">
        <v>46</v>
      </c>
      <c r="U2015">
        <v>5</v>
      </c>
    </row>
    <row r="2016" spans="1:21" x14ac:dyDescent="0.25">
      <c r="A2016" s="1">
        <v>46046</v>
      </c>
      <c r="B2016" t="s">
        <v>2207</v>
      </c>
      <c r="C2016" t="s">
        <v>166</v>
      </c>
      <c r="D2016" t="s">
        <v>139</v>
      </c>
      <c r="E2016" t="s">
        <v>72</v>
      </c>
      <c r="F2016" t="s">
        <v>26</v>
      </c>
      <c r="G2016" t="s">
        <v>37</v>
      </c>
      <c r="H2016" t="s">
        <v>38</v>
      </c>
      <c r="I2016" t="s">
        <v>39</v>
      </c>
      <c r="J2016" s="2">
        <v>6</v>
      </c>
      <c r="K2016" s="3">
        <v>442.71</v>
      </c>
      <c r="L2016" s="3">
        <v>203.52</v>
      </c>
      <c r="M2016" s="4">
        <v>1.8800000000000001E-2</v>
      </c>
      <c r="N2016" s="3">
        <f t="shared" si="155"/>
        <v>2656.26</v>
      </c>
      <c r="O2016" s="3">
        <f t="shared" si="156"/>
        <v>2606.3200000000002</v>
      </c>
      <c r="P2016" s="3">
        <f t="shared" si="157"/>
        <v>1221.1199999999999</v>
      </c>
      <c r="Q2016" s="3">
        <f t="shared" si="158"/>
        <v>1385.2</v>
      </c>
      <c r="R2016" s="4">
        <f t="shared" si="159"/>
        <v>0.53149999999999997</v>
      </c>
      <c r="S2016" s="2">
        <v>14</v>
      </c>
      <c r="T2016" t="s">
        <v>30</v>
      </c>
      <c r="U2016">
        <v>3</v>
      </c>
    </row>
    <row r="2017" spans="1:21" x14ac:dyDescent="0.25">
      <c r="A2017" s="1">
        <v>46120</v>
      </c>
      <c r="B2017" t="s">
        <v>2208</v>
      </c>
      <c r="C2017" t="s">
        <v>144</v>
      </c>
      <c r="D2017" t="s">
        <v>139</v>
      </c>
      <c r="E2017" t="s">
        <v>72</v>
      </c>
      <c r="F2017" t="s">
        <v>36</v>
      </c>
      <c r="G2017" t="s">
        <v>51</v>
      </c>
      <c r="H2017" t="s">
        <v>116</v>
      </c>
      <c r="I2017" t="s">
        <v>60</v>
      </c>
      <c r="J2017" s="2">
        <v>8</v>
      </c>
      <c r="K2017" s="3">
        <v>2777.6</v>
      </c>
      <c r="L2017" s="3">
        <v>1874.37</v>
      </c>
      <c r="M2017" s="4">
        <v>0</v>
      </c>
      <c r="N2017" s="3">
        <f t="shared" si="155"/>
        <v>22220.799999999999</v>
      </c>
      <c r="O2017" s="3">
        <f t="shared" si="156"/>
        <v>22220.799999999999</v>
      </c>
      <c r="P2017" s="3">
        <f t="shared" si="157"/>
        <v>14994.96</v>
      </c>
      <c r="Q2017" s="3">
        <f t="shared" si="158"/>
        <v>7225.84</v>
      </c>
      <c r="R2017" s="4">
        <f t="shared" si="159"/>
        <v>0.32519999999999999</v>
      </c>
      <c r="S2017" s="2">
        <v>3</v>
      </c>
      <c r="T2017" t="s">
        <v>46</v>
      </c>
      <c r="U2017">
        <v>2</v>
      </c>
    </row>
    <row r="2018" spans="1:21" x14ac:dyDescent="0.25">
      <c r="A2018" s="1">
        <v>46217</v>
      </c>
      <c r="B2018" t="s">
        <v>2209</v>
      </c>
      <c r="C2018" t="s">
        <v>370</v>
      </c>
      <c r="D2018" t="s">
        <v>85</v>
      </c>
      <c r="E2018" t="s">
        <v>50</v>
      </c>
      <c r="F2018" t="s">
        <v>64</v>
      </c>
      <c r="G2018" t="s">
        <v>44</v>
      </c>
      <c r="H2018" t="s">
        <v>73</v>
      </c>
      <c r="I2018" t="s">
        <v>94</v>
      </c>
      <c r="J2018" s="2">
        <v>7</v>
      </c>
      <c r="K2018" s="3">
        <v>1590.64</v>
      </c>
      <c r="L2018" s="3">
        <v>1044.27</v>
      </c>
      <c r="M2018" s="4">
        <v>0</v>
      </c>
      <c r="N2018" s="3">
        <f t="shared" si="155"/>
        <v>11134.48</v>
      </c>
      <c r="O2018" s="3">
        <f t="shared" si="156"/>
        <v>11134.48</v>
      </c>
      <c r="P2018" s="3">
        <f t="shared" si="157"/>
        <v>7309.89</v>
      </c>
      <c r="Q2018" s="3">
        <f t="shared" si="158"/>
        <v>3824.59</v>
      </c>
      <c r="R2018" s="4">
        <f t="shared" si="159"/>
        <v>0.34350000000000003</v>
      </c>
      <c r="S2018" s="2">
        <v>10</v>
      </c>
      <c r="T2018" t="s">
        <v>46</v>
      </c>
      <c r="U2018">
        <v>2</v>
      </c>
    </row>
    <row r="2019" spans="1:21" x14ac:dyDescent="0.25">
      <c r="A2019" s="1">
        <v>46055</v>
      </c>
      <c r="B2019" t="s">
        <v>2210</v>
      </c>
      <c r="C2019" t="s">
        <v>260</v>
      </c>
      <c r="D2019" t="s">
        <v>207</v>
      </c>
      <c r="E2019" t="s">
        <v>35</v>
      </c>
      <c r="F2019" t="s">
        <v>58</v>
      </c>
      <c r="G2019" t="s">
        <v>37</v>
      </c>
      <c r="H2019" t="s">
        <v>178</v>
      </c>
      <c r="I2019" t="s">
        <v>29</v>
      </c>
      <c r="J2019" s="2">
        <v>8</v>
      </c>
      <c r="K2019" s="3">
        <v>538</v>
      </c>
      <c r="L2019" s="3">
        <v>237.41</v>
      </c>
      <c r="M2019" s="4">
        <v>0.1469</v>
      </c>
      <c r="N2019" s="3">
        <f t="shared" si="155"/>
        <v>4304</v>
      </c>
      <c r="O2019" s="3">
        <f t="shared" si="156"/>
        <v>3671.74</v>
      </c>
      <c r="P2019" s="3">
        <f t="shared" si="157"/>
        <v>1899.28</v>
      </c>
      <c r="Q2019" s="3">
        <f t="shared" si="158"/>
        <v>1772.46</v>
      </c>
      <c r="R2019" s="4">
        <f t="shared" si="159"/>
        <v>0.48270000000000002</v>
      </c>
      <c r="S2019" s="2">
        <v>10</v>
      </c>
      <c r="T2019" t="s">
        <v>46</v>
      </c>
      <c r="U2019">
        <v>3</v>
      </c>
    </row>
    <row r="2020" spans="1:21" x14ac:dyDescent="0.25">
      <c r="A2020" s="1">
        <v>46035</v>
      </c>
      <c r="B2020" t="s">
        <v>2211</v>
      </c>
      <c r="C2020" t="s">
        <v>76</v>
      </c>
      <c r="D2020" t="s">
        <v>207</v>
      </c>
      <c r="E2020" t="s">
        <v>35</v>
      </c>
      <c r="F2020" t="s">
        <v>26</v>
      </c>
      <c r="G2020" t="s">
        <v>51</v>
      </c>
      <c r="H2020" t="s">
        <v>52</v>
      </c>
      <c r="I2020" t="s">
        <v>77</v>
      </c>
      <c r="J2020" s="2">
        <v>7</v>
      </c>
      <c r="K2020" s="3">
        <v>272.32</v>
      </c>
      <c r="L2020" s="3">
        <v>120.53</v>
      </c>
      <c r="M2020" s="4">
        <v>4.0800000000000003E-2</v>
      </c>
      <c r="N2020" s="3">
        <f t="shared" si="155"/>
        <v>1906.24</v>
      </c>
      <c r="O2020" s="3">
        <f t="shared" si="156"/>
        <v>1828.47</v>
      </c>
      <c r="P2020" s="3">
        <f t="shared" si="157"/>
        <v>843.71</v>
      </c>
      <c r="Q2020" s="3">
        <f t="shared" si="158"/>
        <v>984.76</v>
      </c>
      <c r="R2020" s="4">
        <f t="shared" si="159"/>
        <v>0.53859999999999997</v>
      </c>
      <c r="S2020" s="2">
        <v>14</v>
      </c>
      <c r="T2020" t="s">
        <v>30</v>
      </c>
      <c r="U2020">
        <v>4</v>
      </c>
    </row>
    <row r="2021" spans="1:21" x14ac:dyDescent="0.25">
      <c r="A2021" s="1">
        <v>46043</v>
      </c>
      <c r="B2021" t="s">
        <v>2212</v>
      </c>
      <c r="C2021" t="s">
        <v>520</v>
      </c>
      <c r="D2021" t="s">
        <v>49</v>
      </c>
      <c r="E2021" t="s">
        <v>50</v>
      </c>
      <c r="F2021" t="s">
        <v>64</v>
      </c>
      <c r="G2021" t="s">
        <v>51</v>
      </c>
      <c r="H2021" t="s">
        <v>59</v>
      </c>
      <c r="I2021" t="s">
        <v>87</v>
      </c>
      <c r="J2021" s="2">
        <v>1</v>
      </c>
      <c r="K2021" s="3">
        <v>2222.79</v>
      </c>
      <c r="L2021" s="3">
        <v>1368.11</v>
      </c>
      <c r="M2021" s="4">
        <v>0.1207</v>
      </c>
      <c r="N2021" s="3">
        <f t="shared" si="155"/>
        <v>2222.79</v>
      </c>
      <c r="O2021" s="3">
        <f t="shared" si="156"/>
        <v>1954.5</v>
      </c>
      <c r="P2021" s="3">
        <f t="shared" si="157"/>
        <v>1368.11</v>
      </c>
      <c r="Q2021" s="3">
        <f t="shared" si="158"/>
        <v>586.39</v>
      </c>
      <c r="R2021" s="4">
        <f t="shared" si="159"/>
        <v>0.3</v>
      </c>
      <c r="S2021" s="2">
        <v>8</v>
      </c>
      <c r="T2021" t="s">
        <v>46</v>
      </c>
      <c r="U2021">
        <v>5</v>
      </c>
    </row>
    <row r="2022" spans="1:21" x14ac:dyDescent="0.25">
      <c r="A2022" s="1">
        <v>46029</v>
      </c>
      <c r="B2022" t="s">
        <v>2213</v>
      </c>
      <c r="C2022" t="s">
        <v>290</v>
      </c>
      <c r="D2022" t="s">
        <v>43</v>
      </c>
      <c r="E2022" t="s">
        <v>25</v>
      </c>
      <c r="F2022" t="s">
        <v>58</v>
      </c>
      <c r="G2022" t="s">
        <v>51</v>
      </c>
      <c r="H2022" t="s">
        <v>52</v>
      </c>
      <c r="I2022" t="s">
        <v>87</v>
      </c>
      <c r="J2022" s="2">
        <v>8</v>
      </c>
      <c r="K2022" s="3">
        <v>274.58</v>
      </c>
      <c r="L2022" s="3">
        <v>123.04</v>
      </c>
      <c r="M2022" s="4">
        <v>3.5000000000000003E-2</v>
      </c>
      <c r="N2022" s="3">
        <f t="shared" si="155"/>
        <v>2196.64</v>
      </c>
      <c r="O2022" s="3">
        <f t="shared" si="156"/>
        <v>2119.7600000000002</v>
      </c>
      <c r="P2022" s="3">
        <f t="shared" si="157"/>
        <v>984.32</v>
      </c>
      <c r="Q2022" s="3">
        <f t="shared" si="158"/>
        <v>1135.44</v>
      </c>
      <c r="R2022" s="4">
        <f t="shared" si="159"/>
        <v>0.53559999999999997</v>
      </c>
      <c r="S2022" s="2">
        <v>8</v>
      </c>
      <c r="T2022" t="s">
        <v>46</v>
      </c>
      <c r="U2022">
        <v>4</v>
      </c>
    </row>
    <row r="2023" spans="1:21" x14ac:dyDescent="0.25">
      <c r="A2023" s="1">
        <v>46199</v>
      </c>
      <c r="B2023" t="s">
        <v>2214</v>
      </c>
      <c r="C2023" t="s">
        <v>198</v>
      </c>
      <c r="D2023" t="s">
        <v>56</v>
      </c>
      <c r="E2023" t="s">
        <v>57</v>
      </c>
      <c r="F2023" t="s">
        <v>58</v>
      </c>
      <c r="G2023" t="s">
        <v>51</v>
      </c>
      <c r="H2023" t="s">
        <v>116</v>
      </c>
      <c r="I2023" t="s">
        <v>53</v>
      </c>
      <c r="J2023" s="2">
        <v>6</v>
      </c>
      <c r="K2023" s="3">
        <v>2814.14</v>
      </c>
      <c r="L2023" s="3">
        <v>1834.88</v>
      </c>
      <c r="M2023" s="4">
        <v>0.13</v>
      </c>
      <c r="N2023" s="3">
        <f t="shared" si="155"/>
        <v>16884.84</v>
      </c>
      <c r="O2023" s="3">
        <f t="shared" si="156"/>
        <v>14689.81</v>
      </c>
      <c r="P2023" s="3">
        <f t="shared" si="157"/>
        <v>11009.28</v>
      </c>
      <c r="Q2023" s="3">
        <f t="shared" si="158"/>
        <v>3680.53</v>
      </c>
      <c r="R2023" s="4">
        <f t="shared" si="159"/>
        <v>0.2505</v>
      </c>
      <c r="S2023" s="2">
        <v>10</v>
      </c>
      <c r="T2023" t="s">
        <v>46</v>
      </c>
      <c r="U2023">
        <v>3</v>
      </c>
    </row>
    <row r="2024" spans="1:21" x14ac:dyDescent="0.25">
      <c r="A2024" s="1">
        <v>46175</v>
      </c>
      <c r="B2024" t="s">
        <v>2215</v>
      </c>
      <c r="C2024" t="s">
        <v>247</v>
      </c>
      <c r="D2024" t="s">
        <v>97</v>
      </c>
      <c r="E2024" t="s">
        <v>57</v>
      </c>
      <c r="F2024" t="s">
        <v>58</v>
      </c>
      <c r="G2024" t="s">
        <v>44</v>
      </c>
      <c r="H2024" t="s">
        <v>124</v>
      </c>
      <c r="I2024" t="s">
        <v>65</v>
      </c>
      <c r="J2024" s="2">
        <v>1</v>
      </c>
      <c r="K2024" s="3">
        <v>6180.31</v>
      </c>
      <c r="L2024" s="3">
        <v>4493.6099999999997</v>
      </c>
      <c r="M2024" s="4">
        <v>3.5000000000000003E-2</v>
      </c>
      <c r="N2024" s="3">
        <f t="shared" si="155"/>
        <v>6180.31</v>
      </c>
      <c r="O2024" s="3">
        <f t="shared" si="156"/>
        <v>5964</v>
      </c>
      <c r="P2024" s="3">
        <f t="shared" si="157"/>
        <v>4493.6099999999997</v>
      </c>
      <c r="Q2024" s="3">
        <f t="shared" si="158"/>
        <v>1470.39</v>
      </c>
      <c r="R2024" s="4">
        <f t="shared" si="159"/>
        <v>0.2465</v>
      </c>
      <c r="S2024" s="2">
        <v>13</v>
      </c>
      <c r="T2024" t="s">
        <v>30</v>
      </c>
      <c r="U2024">
        <v>5</v>
      </c>
    </row>
    <row r="2025" spans="1:21" x14ac:dyDescent="0.25">
      <c r="A2025" s="1">
        <v>46095</v>
      </c>
      <c r="B2025" t="s">
        <v>2216</v>
      </c>
      <c r="C2025" t="s">
        <v>251</v>
      </c>
      <c r="D2025" t="s">
        <v>121</v>
      </c>
      <c r="E2025" t="s">
        <v>72</v>
      </c>
      <c r="F2025" t="s">
        <v>64</v>
      </c>
      <c r="G2025" t="s">
        <v>37</v>
      </c>
      <c r="H2025" t="s">
        <v>104</v>
      </c>
      <c r="I2025" t="s">
        <v>74</v>
      </c>
      <c r="J2025" s="2">
        <v>2</v>
      </c>
      <c r="K2025" s="3">
        <v>322.64</v>
      </c>
      <c r="L2025" s="3">
        <v>139.34</v>
      </c>
      <c r="M2025" s="4">
        <v>9.3700000000000006E-2</v>
      </c>
      <c r="N2025" s="3">
        <f t="shared" si="155"/>
        <v>645.28</v>
      </c>
      <c r="O2025" s="3">
        <f t="shared" si="156"/>
        <v>584.82000000000005</v>
      </c>
      <c r="P2025" s="3">
        <f t="shared" si="157"/>
        <v>278.68</v>
      </c>
      <c r="Q2025" s="3">
        <f t="shared" si="158"/>
        <v>306.14</v>
      </c>
      <c r="R2025" s="4">
        <f t="shared" si="159"/>
        <v>0.52349999999999997</v>
      </c>
      <c r="S2025" s="2">
        <v>4</v>
      </c>
      <c r="T2025" t="s">
        <v>46</v>
      </c>
      <c r="U2025">
        <v>2</v>
      </c>
    </row>
    <row r="2026" spans="1:21" x14ac:dyDescent="0.25">
      <c r="A2026" s="1">
        <v>46111</v>
      </c>
      <c r="B2026" t="s">
        <v>2217</v>
      </c>
      <c r="C2026" t="s">
        <v>386</v>
      </c>
      <c r="D2026" t="s">
        <v>63</v>
      </c>
      <c r="E2026" t="s">
        <v>35</v>
      </c>
      <c r="F2026" t="s">
        <v>26</v>
      </c>
      <c r="G2026" t="s">
        <v>44</v>
      </c>
      <c r="H2026" t="s">
        <v>45</v>
      </c>
      <c r="I2026" t="s">
        <v>53</v>
      </c>
      <c r="J2026" s="2">
        <v>8</v>
      </c>
      <c r="K2026" s="3">
        <v>380</v>
      </c>
      <c r="L2026" s="3">
        <v>219.16</v>
      </c>
      <c r="M2026" s="4">
        <v>1.43E-2</v>
      </c>
      <c r="N2026" s="3">
        <f t="shared" si="155"/>
        <v>3040</v>
      </c>
      <c r="O2026" s="3">
        <f t="shared" si="156"/>
        <v>2996.53</v>
      </c>
      <c r="P2026" s="3">
        <f t="shared" si="157"/>
        <v>1753.28</v>
      </c>
      <c r="Q2026" s="3">
        <f t="shared" si="158"/>
        <v>1243.25</v>
      </c>
      <c r="R2026" s="4">
        <f t="shared" si="159"/>
        <v>0.41489999999999999</v>
      </c>
      <c r="S2026" s="2">
        <v>3</v>
      </c>
      <c r="T2026" t="s">
        <v>46</v>
      </c>
      <c r="U2026">
        <v>2</v>
      </c>
    </row>
    <row r="2027" spans="1:21" x14ac:dyDescent="0.25">
      <c r="A2027" s="1">
        <v>46153</v>
      </c>
      <c r="B2027" t="s">
        <v>2218</v>
      </c>
      <c r="C2027" t="s">
        <v>218</v>
      </c>
      <c r="D2027" t="s">
        <v>71</v>
      </c>
      <c r="E2027" t="s">
        <v>72</v>
      </c>
      <c r="F2027" t="s">
        <v>26</v>
      </c>
      <c r="G2027" t="s">
        <v>27</v>
      </c>
      <c r="H2027" t="s">
        <v>86</v>
      </c>
      <c r="I2027" t="s">
        <v>77</v>
      </c>
      <c r="J2027" s="2">
        <v>3</v>
      </c>
      <c r="K2027" s="3">
        <v>1959.07</v>
      </c>
      <c r="L2027" s="3">
        <v>1280.94</v>
      </c>
      <c r="M2027" s="4">
        <v>0</v>
      </c>
      <c r="N2027" s="3">
        <f t="shared" si="155"/>
        <v>5877.21</v>
      </c>
      <c r="O2027" s="3">
        <f t="shared" si="156"/>
        <v>5877.21</v>
      </c>
      <c r="P2027" s="3">
        <f t="shared" si="157"/>
        <v>3842.82</v>
      </c>
      <c r="Q2027" s="3">
        <f t="shared" si="158"/>
        <v>2034.39</v>
      </c>
      <c r="R2027" s="4">
        <f t="shared" si="159"/>
        <v>0.34610000000000002</v>
      </c>
      <c r="S2027" s="2">
        <v>8</v>
      </c>
      <c r="T2027" t="s">
        <v>46</v>
      </c>
      <c r="U2027">
        <v>2</v>
      </c>
    </row>
    <row r="2028" spans="1:21" x14ac:dyDescent="0.25">
      <c r="A2028" s="1">
        <v>46193</v>
      </c>
      <c r="B2028" t="s">
        <v>2219</v>
      </c>
      <c r="C2028" t="s">
        <v>240</v>
      </c>
      <c r="D2028" t="s">
        <v>63</v>
      </c>
      <c r="E2028" t="s">
        <v>35</v>
      </c>
      <c r="F2028" t="s">
        <v>64</v>
      </c>
      <c r="G2028" t="s">
        <v>51</v>
      </c>
      <c r="H2028" t="s">
        <v>52</v>
      </c>
      <c r="I2028" t="s">
        <v>94</v>
      </c>
      <c r="J2028" s="2">
        <v>8</v>
      </c>
      <c r="K2028" s="3">
        <v>268.19</v>
      </c>
      <c r="L2028" s="3">
        <v>122.78</v>
      </c>
      <c r="M2028" s="4">
        <v>5.5899999999999998E-2</v>
      </c>
      <c r="N2028" s="3">
        <f t="shared" si="155"/>
        <v>2145.52</v>
      </c>
      <c r="O2028" s="3">
        <f t="shared" si="156"/>
        <v>2025.59</v>
      </c>
      <c r="P2028" s="3">
        <f t="shared" si="157"/>
        <v>982.24</v>
      </c>
      <c r="Q2028" s="3">
        <f t="shared" si="158"/>
        <v>1043.3499999999999</v>
      </c>
      <c r="R2028" s="4">
        <f t="shared" si="159"/>
        <v>0.5151</v>
      </c>
      <c r="S2028" s="2">
        <v>2</v>
      </c>
      <c r="T2028" t="s">
        <v>46</v>
      </c>
      <c r="U2028">
        <v>4</v>
      </c>
    </row>
    <row r="2029" spans="1:21" x14ac:dyDescent="0.25">
      <c r="A2029" s="1">
        <v>46077</v>
      </c>
      <c r="B2029" t="s">
        <v>2220</v>
      </c>
      <c r="C2029" t="s">
        <v>288</v>
      </c>
      <c r="D2029" t="s">
        <v>34</v>
      </c>
      <c r="E2029" t="s">
        <v>35</v>
      </c>
      <c r="F2029" t="s">
        <v>36</v>
      </c>
      <c r="G2029" t="s">
        <v>44</v>
      </c>
      <c r="H2029" t="s">
        <v>45</v>
      </c>
      <c r="I2029" t="s">
        <v>60</v>
      </c>
      <c r="J2029" s="2">
        <v>3</v>
      </c>
      <c r="K2029" s="3">
        <v>376.51</v>
      </c>
      <c r="L2029" s="3">
        <v>217.25</v>
      </c>
      <c r="M2029" s="4">
        <v>4.87E-2</v>
      </c>
      <c r="N2029" s="3">
        <f t="shared" si="155"/>
        <v>1129.53</v>
      </c>
      <c r="O2029" s="3">
        <f t="shared" si="156"/>
        <v>1074.52</v>
      </c>
      <c r="P2029" s="3">
        <f t="shared" si="157"/>
        <v>651.75</v>
      </c>
      <c r="Q2029" s="3">
        <f t="shared" si="158"/>
        <v>422.77</v>
      </c>
      <c r="R2029" s="4">
        <f t="shared" si="159"/>
        <v>0.39350000000000002</v>
      </c>
      <c r="S2029" s="2">
        <v>11</v>
      </c>
      <c r="T2029" t="s">
        <v>30</v>
      </c>
      <c r="U2029">
        <v>5</v>
      </c>
    </row>
    <row r="2030" spans="1:21" x14ac:dyDescent="0.25">
      <c r="A2030" s="1">
        <v>46228</v>
      </c>
      <c r="B2030" t="s">
        <v>2221</v>
      </c>
      <c r="C2030" t="s">
        <v>70</v>
      </c>
      <c r="D2030" t="s">
        <v>56</v>
      </c>
      <c r="E2030" t="s">
        <v>57</v>
      </c>
      <c r="F2030" t="s">
        <v>58</v>
      </c>
      <c r="G2030" t="s">
        <v>27</v>
      </c>
      <c r="H2030" t="s">
        <v>86</v>
      </c>
      <c r="I2030" t="s">
        <v>94</v>
      </c>
      <c r="J2030" s="2">
        <v>7</v>
      </c>
      <c r="K2030" s="3">
        <v>1878.86</v>
      </c>
      <c r="L2030" s="3">
        <v>1153.74</v>
      </c>
      <c r="M2030" s="4">
        <v>3.5000000000000003E-2</v>
      </c>
      <c r="N2030" s="3">
        <f t="shared" si="155"/>
        <v>13152.02</v>
      </c>
      <c r="O2030" s="3">
        <f t="shared" si="156"/>
        <v>12691.7</v>
      </c>
      <c r="P2030" s="3">
        <f t="shared" si="157"/>
        <v>8076.18</v>
      </c>
      <c r="Q2030" s="3">
        <f t="shared" si="158"/>
        <v>4615.5200000000004</v>
      </c>
      <c r="R2030" s="4">
        <f t="shared" si="159"/>
        <v>0.36370000000000002</v>
      </c>
      <c r="S2030" s="2">
        <v>2</v>
      </c>
      <c r="T2030" t="s">
        <v>46</v>
      </c>
      <c r="U2030">
        <v>2</v>
      </c>
    </row>
    <row r="2031" spans="1:21" x14ac:dyDescent="0.25">
      <c r="A2031" s="1">
        <v>46080</v>
      </c>
      <c r="B2031" t="s">
        <v>2222</v>
      </c>
      <c r="C2031" t="s">
        <v>216</v>
      </c>
      <c r="D2031" t="s">
        <v>43</v>
      </c>
      <c r="E2031" t="s">
        <v>25</v>
      </c>
      <c r="F2031" t="s">
        <v>64</v>
      </c>
      <c r="G2031" t="s">
        <v>37</v>
      </c>
      <c r="H2031" t="s">
        <v>104</v>
      </c>
      <c r="I2031" t="s">
        <v>94</v>
      </c>
      <c r="J2031" s="2">
        <v>1</v>
      </c>
      <c r="K2031" s="3">
        <v>319.68</v>
      </c>
      <c r="L2031" s="3">
        <v>143.34</v>
      </c>
      <c r="M2031" s="4">
        <v>3.2500000000000001E-2</v>
      </c>
      <c r="N2031" s="3">
        <f t="shared" si="155"/>
        <v>319.68</v>
      </c>
      <c r="O2031" s="3">
        <f t="shared" si="156"/>
        <v>309.29000000000002</v>
      </c>
      <c r="P2031" s="3">
        <f t="shared" si="157"/>
        <v>143.34</v>
      </c>
      <c r="Q2031" s="3">
        <f t="shared" si="158"/>
        <v>165.95</v>
      </c>
      <c r="R2031" s="4">
        <f t="shared" si="159"/>
        <v>0.53659999999999997</v>
      </c>
      <c r="S2031" s="2">
        <v>8</v>
      </c>
      <c r="T2031" t="s">
        <v>46</v>
      </c>
      <c r="U2031">
        <v>3</v>
      </c>
    </row>
    <row r="2032" spans="1:21" x14ac:dyDescent="0.25">
      <c r="A2032" s="1">
        <v>46135</v>
      </c>
      <c r="B2032" t="s">
        <v>2223</v>
      </c>
      <c r="C2032" t="s">
        <v>138</v>
      </c>
      <c r="D2032" t="s">
        <v>85</v>
      </c>
      <c r="E2032" t="s">
        <v>50</v>
      </c>
      <c r="F2032" t="s">
        <v>36</v>
      </c>
      <c r="G2032" t="s">
        <v>51</v>
      </c>
      <c r="H2032" t="s">
        <v>116</v>
      </c>
      <c r="I2032" t="s">
        <v>87</v>
      </c>
      <c r="J2032" s="2">
        <v>6</v>
      </c>
      <c r="K2032" s="3">
        <v>2900.66</v>
      </c>
      <c r="L2032" s="3">
        <v>1813.04</v>
      </c>
      <c r="M2032" s="4">
        <v>1.9400000000000001E-2</v>
      </c>
      <c r="N2032" s="3">
        <f t="shared" si="155"/>
        <v>17403.96</v>
      </c>
      <c r="O2032" s="3">
        <f t="shared" si="156"/>
        <v>17066.32</v>
      </c>
      <c r="P2032" s="3">
        <f t="shared" si="157"/>
        <v>10878.24</v>
      </c>
      <c r="Q2032" s="3">
        <f t="shared" si="158"/>
        <v>6188.08</v>
      </c>
      <c r="R2032" s="4">
        <f t="shared" si="159"/>
        <v>0.36259999999999998</v>
      </c>
      <c r="S2032" s="2">
        <v>3</v>
      </c>
      <c r="T2032" t="s">
        <v>46</v>
      </c>
      <c r="U2032">
        <v>2</v>
      </c>
    </row>
    <row r="2033" spans="1:22" x14ac:dyDescent="0.25">
      <c r="A2033" s="1">
        <v>46176</v>
      </c>
      <c r="B2033" t="s">
        <v>2224</v>
      </c>
      <c r="C2033" t="s">
        <v>226</v>
      </c>
      <c r="D2033" t="s">
        <v>130</v>
      </c>
      <c r="E2033" t="s">
        <v>72</v>
      </c>
      <c r="F2033" t="s">
        <v>58</v>
      </c>
      <c r="G2033" t="s">
        <v>44</v>
      </c>
      <c r="H2033" t="s">
        <v>45</v>
      </c>
      <c r="I2033" t="s">
        <v>77</v>
      </c>
      <c r="J2033" s="2">
        <v>1</v>
      </c>
      <c r="K2033" s="3">
        <v>393.69</v>
      </c>
      <c r="L2033" s="3">
        <v>209.41</v>
      </c>
      <c r="M2033" s="4">
        <v>0.1245</v>
      </c>
      <c r="N2033" s="3">
        <f t="shared" si="155"/>
        <v>393.69</v>
      </c>
      <c r="O2033" s="3">
        <f t="shared" si="156"/>
        <v>344.68</v>
      </c>
      <c r="P2033" s="3">
        <f t="shared" si="157"/>
        <v>209.41</v>
      </c>
      <c r="Q2033" s="3">
        <f t="shared" si="158"/>
        <v>135.27000000000001</v>
      </c>
      <c r="R2033" s="4">
        <f t="shared" si="159"/>
        <v>0.39250000000000002</v>
      </c>
      <c r="S2033" s="2">
        <v>8</v>
      </c>
      <c r="T2033" t="s">
        <v>46</v>
      </c>
      <c r="U2033">
        <v>2</v>
      </c>
    </row>
    <row r="2034" spans="1:22" x14ac:dyDescent="0.25">
      <c r="A2034" s="1">
        <v>46048</v>
      </c>
      <c r="B2034" t="s">
        <v>2225</v>
      </c>
      <c r="C2034" t="s">
        <v>476</v>
      </c>
      <c r="D2034" t="s">
        <v>56</v>
      </c>
      <c r="E2034" t="s">
        <v>57</v>
      </c>
      <c r="F2034" t="s">
        <v>64</v>
      </c>
      <c r="G2034" t="s">
        <v>27</v>
      </c>
      <c r="H2034" t="s">
        <v>68</v>
      </c>
      <c r="I2034" t="s">
        <v>29</v>
      </c>
      <c r="J2034" s="2">
        <v>6</v>
      </c>
      <c r="K2034" s="3">
        <v>1304.08</v>
      </c>
      <c r="L2034" s="3">
        <v>769.91</v>
      </c>
      <c r="M2034" s="4">
        <v>9.4799999999999995E-2</v>
      </c>
      <c r="N2034" s="3">
        <f t="shared" si="155"/>
        <v>7824.48</v>
      </c>
      <c r="O2034" s="3">
        <f t="shared" si="156"/>
        <v>7082.72</v>
      </c>
      <c r="P2034" s="3">
        <f t="shared" si="157"/>
        <v>4619.46</v>
      </c>
      <c r="Q2034" s="3">
        <f t="shared" si="158"/>
        <v>2463.2600000000002</v>
      </c>
      <c r="R2034" s="4">
        <f t="shared" si="159"/>
        <v>0.3478</v>
      </c>
      <c r="S2034" s="2">
        <v>8</v>
      </c>
      <c r="T2034" t="s">
        <v>46</v>
      </c>
      <c r="U2034">
        <v>4</v>
      </c>
    </row>
    <row r="2035" spans="1:22" x14ac:dyDescent="0.25">
      <c r="A2035" s="1">
        <v>46157</v>
      </c>
      <c r="B2035" t="s">
        <v>2226</v>
      </c>
      <c r="C2035" t="s">
        <v>370</v>
      </c>
      <c r="D2035" t="s">
        <v>24</v>
      </c>
      <c r="E2035" t="s">
        <v>25</v>
      </c>
      <c r="F2035" t="s">
        <v>58</v>
      </c>
      <c r="G2035" t="s">
        <v>37</v>
      </c>
      <c r="H2035" t="s">
        <v>104</v>
      </c>
      <c r="I2035" t="s">
        <v>29</v>
      </c>
      <c r="J2035" s="2">
        <v>2</v>
      </c>
      <c r="K2035" s="3">
        <v>333.77</v>
      </c>
      <c r="L2035" s="3">
        <v>134.46</v>
      </c>
      <c r="M2035" s="4">
        <v>3.5000000000000003E-2</v>
      </c>
      <c r="N2035" s="3">
        <f t="shared" si="155"/>
        <v>667.54</v>
      </c>
      <c r="O2035" s="3">
        <f t="shared" si="156"/>
        <v>644.17999999999995</v>
      </c>
      <c r="P2035" s="3">
        <f t="shared" si="157"/>
        <v>268.92</v>
      </c>
      <c r="Q2035" s="3">
        <f t="shared" si="158"/>
        <v>375.26</v>
      </c>
      <c r="R2035" s="4">
        <f t="shared" si="159"/>
        <v>0.58250000000000002</v>
      </c>
      <c r="S2035" s="2">
        <v>2</v>
      </c>
      <c r="T2035" t="s">
        <v>46</v>
      </c>
      <c r="U2035">
        <v>3</v>
      </c>
    </row>
    <row r="2036" spans="1:22" x14ac:dyDescent="0.25">
      <c r="A2036" s="1">
        <v>46051</v>
      </c>
      <c r="B2036" t="s">
        <v>2227</v>
      </c>
      <c r="C2036" t="s">
        <v>288</v>
      </c>
      <c r="D2036" t="s">
        <v>113</v>
      </c>
      <c r="E2036" t="s">
        <v>50</v>
      </c>
      <c r="F2036" t="s">
        <v>64</v>
      </c>
      <c r="G2036" t="s">
        <v>37</v>
      </c>
      <c r="H2036" t="s">
        <v>104</v>
      </c>
      <c r="I2036" t="s">
        <v>39</v>
      </c>
      <c r="J2036" s="2">
        <v>5</v>
      </c>
      <c r="K2036" s="3">
        <v>307.33</v>
      </c>
      <c r="L2036" s="3">
        <v>131.68</v>
      </c>
      <c r="M2036" s="4">
        <v>0</v>
      </c>
      <c r="N2036" s="3">
        <f t="shared" si="155"/>
        <v>1536.65</v>
      </c>
      <c r="O2036" s="3">
        <f t="shared" si="156"/>
        <v>1536.65</v>
      </c>
      <c r="P2036" s="3">
        <f t="shared" si="157"/>
        <v>658.4</v>
      </c>
      <c r="Q2036" s="3">
        <f t="shared" si="158"/>
        <v>878.25</v>
      </c>
      <c r="R2036" s="4">
        <f t="shared" si="159"/>
        <v>0.57150000000000001</v>
      </c>
      <c r="S2036" s="2">
        <v>3</v>
      </c>
      <c r="T2036" t="s">
        <v>46</v>
      </c>
      <c r="U2036">
        <v>2</v>
      </c>
    </row>
    <row r="2037" spans="1:22" x14ac:dyDescent="0.25">
      <c r="A2037" s="1">
        <v>46220</v>
      </c>
      <c r="B2037" t="s">
        <v>2228</v>
      </c>
      <c r="C2037" t="s">
        <v>23</v>
      </c>
      <c r="D2037" t="s">
        <v>85</v>
      </c>
      <c r="E2037" t="s">
        <v>50</v>
      </c>
      <c r="F2037" t="s">
        <v>26</v>
      </c>
      <c r="G2037" t="s">
        <v>37</v>
      </c>
      <c r="H2037" t="s">
        <v>104</v>
      </c>
      <c r="I2037" t="s">
        <v>77</v>
      </c>
      <c r="J2037" s="2">
        <v>3</v>
      </c>
      <c r="K2037" s="3">
        <v>322.8</v>
      </c>
      <c r="L2037" s="3">
        <v>140.4</v>
      </c>
      <c r="M2037" s="4">
        <v>3.9800000000000002E-2</v>
      </c>
      <c r="N2037" s="3">
        <f t="shared" si="155"/>
        <v>968.4</v>
      </c>
      <c r="O2037" s="3">
        <f t="shared" si="156"/>
        <v>929.86</v>
      </c>
      <c r="P2037" s="3">
        <f t="shared" si="157"/>
        <v>421.2</v>
      </c>
      <c r="Q2037" s="3">
        <f t="shared" si="158"/>
        <v>508.66</v>
      </c>
      <c r="R2037" s="4">
        <f t="shared" si="159"/>
        <v>0.54700000000000004</v>
      </c>
      <c r="S2037" s="2">
        <v>13</v>
      </c>
      <c r="T2037" t="s">
        <v>30</v>
      </c>
      <c r="U2037">
        <v>5</v>
      </c>
    </row>
    <row r="2038" spans="1:22" x14ac:dyDescent="0.25">
      <c r="A2038" s="1">
        <v>46122</v>
      </c>
      <c r="B2038" t="s">
        <v>2229</v>
      </c>
      <c r="C2038" t="s">
        <v>33</v>
      </c>
      <c r="D2038" t="s">
        <v>130</v>
      </c>
      <c r="E2038" t="s">
        <v>72</v>
      </c>
      <c r="F2038" t="s">
        <v>26</v>
      </c>
      <c r="G2038" t="s">
        <v>37</v>
      </c>
      <c r="H2038" t="s">
        <v>38</v>
      </c>
      <c r="I2038" t="s">
        <v>77</v>
      </c>
      <c r="J2038" s="2">
        <v>1</v>
      </c>
      <c r="K2038" s="3">
        <v>434.64</v>
      </c>
      <c r="L2038" s="3">
        <v>201.35</v>
      </c>
      <c r="M2038" s="4">
        <v>0</v>
      </c>
      <c r="N2038" s="3">
        <f t="shared" si="155"/>
        <v>434.64</v>
      </c>
      <c r="O2038" s="3">
        <f t="shared" si="156"/>
        <v>434.64</v>
      </c>
      <c r="P2038" s="3">
        <f t="shared" si="157"/>
        <v>201.35</v>
      </c>
      <c r="Q2038" s="3">
        <f t="shared" si="158"/>
        <v>233.29</v>
      </c>
      <c r="R2038" s="4">
        <f t="shared" si="159"/>
        <v>0.53669999999999995</v>
      </c>
      <c r="S2038" s="2">
        <v>6</v>
      </c>
      <c r="T2038" t="s">
        <v>46</v>
      </c>
      <c r="U2038">
        <v>5</v>
      </c>
    </row>
    <row r="2039" spans="1:22" x14ac:dyDescent="0.25">
      <c r="A2039" s="1">
        <v>46209</v>
      </c>
      <c r="B2039" t="s">
        <v>2230</v>
      </c>
      <c r="C2039" t="s">
        <v>142</v>
      </c>
      <c r="D2039" t="s">
        <v>130</v>
      </c>
      <c r="E2039" t="s">
        <v>72</v>
      </c>
      <c r="F2039" t="s">
        <v>58</v>
      </c>
      <c r="G2039" t="s">
        <v>44</v>
      </c>
      <c r="H2039" t="s">
        <v>124</v>
      </c>
      <c r="I2039" t="s">
        <v>39</v>
      </c>
      <c r="J2039" s="2">
        <v>1</v>
      </c>
      <c r="K2039" s="3">
        <v>5594.74</v>
      </c>
      <c r="L2039" s="3">
        <v>4300.83</v>
      </c>
      <c r="M2039" s="4">
        <v>0.14449999999999999</v>
      </c>
      <c r="N2039" s="3">
        <f t="shared" si="155"/>
        <v>5594.74</v>
      </c>
      <c r="O2039" s="3">
        <f t="shared" si="156"/>
        <v>4786.3</v>
      </c>
      <c r="P2039" s="3">
        <f t="shared" si="157"/>
        <v>4300.83</v>
      </c>
      <c r="Q2039" s="3">
        <f t="shared" si="158"/>
        <v>485.47</v>
      </c>
      <c r="R2039" s="4">
        <f t="shared" si="159"/>
        <v>0.1014</v>
      </c>
      <c r="S2039" s="2">
        <v>12</v>
      </c>
      <c r="T2039" t="s">
        <v>30</v>
      </c>
      <c r="U2039">
        <v>5</v>
      </c>
    </row>
    <row r="2040" spans="1:22" x14ac:dyDescent="0.25">
      <c r="A2040" s="1">
        <v>46154</v>
      </c>
      <c r="B2040" t="s">
        <v>2231</v>
      </c>
      <c r="C2040" t="s">
        <v>284</v>
      </c>
      <c r="D2040" t="s">
        <v>43</v>
      </c>
      <c r="E2040" t="s">
        <v>25</v>
      </c>
      <c r="F2040" t="s">
        <v>64</v>
      </c>
      <c r="G2040" t="s">
        <v>27</v>
      </c>
      <c r="H2040" t="s">
        <v>28</v>
      </c>
      <c r="I2040" t="s">
        <v>53</v>
      </c>
      <c r="J2040" s="2">
        <v>4</v>
      </c>
      <c r="K2040" s="3">
        <v>754.06</v>
      </c>
      <c r="L2040" s="3">
        <v>491.21</v>
      </c>
      <c r="M2040" s="4">
        <v>1.8E-3</v>
      </c>
      <c r="N2040" s="3">
        <f t="shared" si="155"/>
        <v>3016.24</v>
      </c>
      <c r="O2040" s="3">
        <f t="shared" si="156"/>
        <v>3010.81</v>
      </c>
      <c r="P2040" s="3">
        <f t="shared" si="157"/>
        <v>1964.84</v>
      </c>
      <c r="Q2040" s="3">
        <f t="shared" si="158"/>
        <v>1045.97</v>
      </c>
      <c r="R2040" s="4">
        <f t="shared" si="159"/>
        <v>0.34739999999999999</v>
      </c>
      <c r="S2040" s="2">
        <v>14</v>
      </c>
      <c r="T2040" t="s">
        <v>30</v>
      </c>
      <c r="U2040">
        <v>5</v>
      </c>
    </row>
    <row r="2041" spans="1:22" x14ac:dyDescent="0.25">
      <c r="A2041" s="1">
        <v>46026</v>
      </c>
      <c r="B2041" t="s">
        <v>2232</v>
      </c>
      <c r="C2041" t="s">
        <v>253</v>
      </c>
      <c r="D2041" t="s">
        <v>63</v>
      </c>
      <c r="E2041" t="s">
        <v>35</v>
      </c>
      <c r="F2041" t="s">
        <v>58</v>
      </c>
      <c r="G2041" t="s">
        <v>27</v>
      </c>
      <c r="H2041" t="s">
        <v>68</v>
      </c>
      <c r="I2041" t="s">
        <v>94</v>
      </c>
      <c r="J2041" s="2">
        <v>3</v>
      </c>
      <c r="K2041" s="3">
        <v>1313.95</v>
      </c>
      <c r="L2041" s="3">
        <v>772.12</v>
      </c>
      <c r="M2041" s="4">
        <v>9.4200000000000006E-2</v>
      </c>
      <c r="N2041" s="3">
        <f t="shared" si="155"/>
        <v>3941.85</v>
      </c>
      <c r="O2041" s="3">
        <f t="shared" si="156"/>
        <v>3570.53</v>
      </c>
      <c r="P2041" s="3">
        <f t="shared" si="157"/>
        <v>2316.36</v>
      </c>
      <c r="Q2041" s="3">
        <f t="shared" si="158"/>
        <v>1254.17</v>
      </c>
      <c r="R2041" s="4">
        <f t="shared" si="159"/>
        <v>0.3513</v>
      </c>
      <c r="S2041" s="2">
        <v>6</v>
      </c>
      <c r="T2041" t="s">
        <v>46</v>
      </c>
      <c r="U2041">
        <v>4</v>
      </c>
    </row>
    <row r="2042" spans="1:22" x14ac:dyDescent="0.25">
      <c r="A2042" s="1">
        <v>46204</v>
      </c>
      <c r="B2042" t="s">
        <v>2233</v>
      </c>
      <c r="C2042" t="s">
        <v>153</v>
      </c>
      <c r="D2042" t="s">
        <v>56</v>
      </c>
      <c r="E2042" t="s">
        <v>57</v>
      </c>
      <c r="F2042" t="s">
        <v>58</v>
      </c>
      <c r="G2042" t="s">
        <v>44</v>
      </c>
      <c r="H2042" t="s">
        <v>45</v>
      </c>
      <c r="I2042" t="s">
        <v>60</v>
      </c>
      <c r="J2042" s="2">
        <v>7</v>
      </c>
      <c r="K2042" s="3">
        <v>411.09</v>
      </c>
      <c r="L2042" s="3">
        <v>210.63</v>
      </c>
      <c r="M2042" s="4">
        <v>3.5000000000000003E-2</v>
      </c>
      <c r="N2042" s="3">
        <f t="shared" si="155"/>
        <v>2877.63</v>
      </c>
      <c r="O2042" s="3">
        <f t="shared" si="156"/>
        <v>2776.91</v>
      </c>
      <c r="P2042" s="3">
        <f t="shared" si="157"/>
        <v>1474.41</v>
      </c>
      <c r="Q2042" s="3">
        <f t="shared" si="158"/>
        <v>1302.5</v>
      </c>
      <c r="R2042" s="4">
        <f t="shared" si="159"/>
        <v>0.46899999999999997</v>
      </c>
      <c r="S2042" s="2">
        <v>13</v>
      </c>
      <c r="T2042" t="s">
        <v>30</v>
      </c>
      <c r="U2042">
        <v>2</v>
      </c>
    </row>
    <row r="2043" spans="1:22" x14ac:dyDescent="0.25">
      <c r="A2043" s="1">
        <v>46156</v>
      </c>
      <c r="B2043" t="s">
        <v>2234</v>
      </c>
      <c r="C2043" t="s">
        <v>336</v>
      </c>
      <c r="D2043" t="s">
        <v>34</v>
      </c>
      <c r="E2043" t="s">
        <v>35</v>
      </c>
      <c r="F2043" t="s">
        <v>36</v>
      </c>
      <c r="G2043" t="s">
        <v>51</v>
      </c>
      <c r="H2043" t="s">
        <v>116</v>
      </c>
      <c r="I2043" t="s">
        <v>74</v>
      </c>
      <c r="J2043" s="2">
        <v>4</v>
      </c>
      <c r="K2043" s="3">
        <v>2947.67</v>
      </c>
      <c r="L2043" s="3">
        <v>1831.99</v>
      </c>
      <c r="M2043" s="4">
        <v>7.2999999999999995E-2</v>
      </c>
      <c r="N2043" s="3">
        <f t="shared" si="155"/>
        <v>11790.68</v>
      </c>
      <c r="O2043" s="3">
        <f t="shared" si="156"/>
        <v>10929.96</v>
      </c>
      <c r="P2043" s="3">
        <f t="shared" si="157"/>
        <v>7327.96</v>
      </c>
      <c r="Q2043" s="3">
        <f t="shared" si="158"/>
        <v>3602</v>
      </c>
      <c r="R2043" s="4">
        <f t="shared" si="159"/>
        <v>0.3296</v>
      </c>
      <c r="S2043" s="2">
        <v>4</v>
      </c>
      <c r="T2043" t="s">
        <v>46</v>
      </c>
      <c r="U2043">
        <v>2</v>
      </c>
    </row>
    <row r="2044" spans="1:22" x14ac:dyDescent="0.25">
      <c r="A2044" s="1">
        <v>46190</v>
      </c>
      <c r="B2044" t="s">
        <v>2235</v>
      </c>
      <c r="C2044" t="s">
        <v>428</v>
      </c>
      <c r="D2044" t="s">
        <v>56</v>
      </c>
      <c r="E2044" t="s">
        <v>57</v>
      </c>
      <c r="F2044" t="s">
        <v>64</v>
      </c>
      <c r="G2044" t="s">
        <v>27</v>
      </c>
      <c r="H2044" t="s">
        <v>28</v>
      </c>
      <c r="I2044" t="s">
        <v>74</v>
      </c>
      <c r="J2044" s="2">
        <v>5</v>
      </c>
      <c r="K2044" s="3">
        <v>805.67</v>
      </c>
      <c r="L2044" s="3">
        <v>454.39</v>
      </c>
      <c r="M2044" s="4">
        <v>0</v>
      </c>
      <c r="N2044" s="3">
        <f t="shared" si="155"/>
        <v>4028.35</v>
      </c>
      <c r="O2044" s="3">
        <f t="shared" si="156"/>
        <v>4028.35</v>
      </c>
      <c r="P2044" s="3">
        <f t="shared" si="157"/>
        <v>2271.9499999999998</v>
      </c>
      <c r="Q2044" s="3">
        <f t="shared" si="158"/>
        <v>1756.4</v>
      </c>
      <c r="R2044" s="4">
        <f t="shared" si="159"/>
        <v>0.436</v>
      </c>
      <c r="S2044" s="2">
        <v>4</v>
      </c>
      <c r="T2044" t="s">
        <v>46</v>
      </c>
      <c r="U2044">
        <v>5</v>
      </c>
    </row>
    <row r="2045" spans="1:22" x14ac:dyDescent="0.25">
      <c r="A2045" s="1">
        <v>46037</v>
      </c>
      <c r="B2045" t="s">
        <v>2236</v>
      </c>
      <c r="C2045" t="s">
        <v>401</v>
      </c>
      <c r="D2045" t="s">
        <v>43</v>
      </c>
      <c r="E2045" t="s">
        <v>25</v>
      </c>
      <c r="F2045" t="s">
        <v>26</v>
      </c>
      <c r="G2045" t="s">
        <v>37</v>
      </c>
      <c r="H2045" t="s">
        <v>38</v>
      </c>
      <c r="I2045" t="s">
        <v>65</v>
      </c>
      <c r="J2045" s="2">
        <v>6</v>
      </c>
      <c r="K2045" s="3">
        <v>423.09</v>
      </c>
      <c r="L2045" s="3">
        <v>190.45</v>
      </c>
      <c r="M2045" s="4">
        <v>0</v>
      </c>
      <c r="N2045" s="3">
        <f t="shared" si="155"/>
        <v>2538.54</v>
      </c>
      <c r="O2045" s="3">
        <f t="shared" si="156"/>
        <v>2538.54</v>
      </c>
      <c r="P2045" s="3">
        <f t="shared" si="157"/>
        <v>1142.7</v>
      </c>
      <c r="Q2045" s="3">
        <f t="shared" si="158"/>
        <v>1395.84</v>
      </c>
      <c r="R2045" s="4">
        <f t="shared" si="159"/>
        <v>0.54990000000000006</v>
      </c>
      <c r="S2045" s="2">
        <v>2</v>
      </c>
      <c r="T2045" t="s">
        <v>46</v>
      </c>
      <c r="U2045">
        <v>5</v>
      </c>
    </row>
    <row r="2046" spans="1:22" x14ac:dyDescent="0.25">
      <c r="A2046" s="1">
        <v>46105</v>
      </c>
      <c r="B2046" t="s">
        <v>2237</v>
      </c>
      <c r="C2046" t="s">
        <v>606</v>
      </c>
      <c r="D2046" t="s">
        <v>85</v>
      </c>
      <c r="E2046" t="s">
        <v>50</v>
      </c>
      <c r="F2046" t="s">
        <v>58</v>
      </c>
      <c r="G2046" t="s">
        <v>27</v>
      </c>
      <c r="H2046" t="s">
        <v>68</v>
      </c>
      <c r="I2046" t="s">
        <v>94</v>
      </c>
      <c r="J2046" s="2">
        <v>2</v>
      </c>
      <c r="K2046" s="3">
        <v>1223.5999999999999</v>
      </c>
      <c r="L2046" s="3">
        <v>786.99</v>
      </c>
      <c r="M2046" s="4">
        <v>9.0499999999999997E-2</v>
      </c>
      <c r="N2046" s="3">
        <f t="shared" si="155"/>
        <v>2447.1999999999998</v>
      </c>
      <c r="O2046" s="3">
        <f t="shared" si="156"/>
        <v>2225.73</v>
      </c>
      <c r="P2046" s="3">
        <f t="shared" si="157"/>
        <v>1573.98</v>
      </c>
      <c r="Q2046" s="3">
        <f t="shared" si="158"/>
        <v>651.75</v>
      </c>
      <c r="R2046" s="4">
        <f t="shared" si="159"/>
        <v>0.2928</v>
      </c>
      <c r="S2046" s="2">
        <v>21</v>
      </c>
      <c r="T2046" t="s">
        <v>30</v>
      </c>
      <c r="U2046">
        <v>2</v>
      </c>
      <c r="V2046" t="s">
        <v>208</v>
      </c>
    </row>
    <row r="2047" spans="1:22" x14ac:dyDescent="0.25">
      <c r="A2047" s="1">
        <v>46149</v>
      </c>
      <c r="B2047" t="s">
        <v>2238</v>
      </c>
      <c r="C2047" t="s">
        <v>110</v>
      </c>
      <c r="D2047" t="s">
        <v>139</v>
      </c>
      <c r="E2047" t="s">
        <v>72</v>
      </c>
      <c r="F2047" t="s">
        <v>64</v>
      </c>
      <c r="G2047" t="s">
        <v>51</v>
      </c>
      <c r="H2047" t="s">
        <v>59</v>
      </c>
      <c r="I2047" t="s">
        <v>77</v>
      </c>
      <c r="J2047" s="2">
        <v>5</v>
      </c>
      <c r="K2047" s="3">
        <v>2315.7199999999998</v>
      </c>
      <c r="L2047" s="3">
        <v>1483.92</v>
      </c>
      <c r="M2047" s="4">
        <v>0</v>
      </c>
      <c r="N2047" s="3">
        <f t="shared" si="155"/>
        <v>11578.6</v>
      </c>
      <c r="O2047" s="3">
        <f t="shared" si="156"/>
        <v>11578.6</v>
      </c>
      <c r="P2047" s="3">
        <f t="shared" si="157"/>
        <v>7419.6</v>
      </c>
      <c r="Q2047" s="3">
        <f t="shared" si="158"/>
        <v>4159</v>
      </c>
      <c r="R2047" s="4">
        <f t="shared" si="159"/>
        <v>0.35920000000000002</v>
      </c>
      <c r="S2047" s="2">
        <v>9</v>
      </c>
      <c r="T2047" t="s">
        <v>46</v>
      </c>
      <c r="U2047">
        <v>3</v>
      </c>
    </row>
    <row r="2048" spans="1:22" x14ac:dyDescent="0.25">
      <c r="A2048" s="1">
        <v>46182</v>
      </c>
      <c r="B2048" t="s">
        <v>2239</v>
      </c>
      <c r="C2048" t="s">
        <v>176</v>
      </c>
      <c r="D2048" t="s">
        <v>49</v>
      </c>
      <c r="E2048" t="s">
        <v>50</v>
      </c>
      <c r="F2048" t="s">
        <v>64</v>
      </c>
      <c r="G2048" t="s">
        <v>37</v>
      </c>
      <c r="H2048" t="s">
        <v>178</v>
      </c>
      <c r="I2048" t="s">
        <v>87</v>
      </c>
      <c r="J2048" s="2">
        <v>5</v>
      </c>
      <c r="K2048" s="3">
        <v>525.07000000000005</v>
      </c>
      <c r="L2048" s="3">
        <v>251.66</v>
      </c>
      <c r="M2048" s="4">
        <v>8.2400000000000001E-2</v>
      </c>
      <c r="N2048" s="3">
        <f t="shared" si="155"/>
        <v>2625.35</v>
      </c>
      <c r="O2048" s="3">
        <f t="shared" si="156"/>
        <v>2409.02</v>
      </c>
      <c r="P2048" s="3">
        <f t="shared" si="157"/>
        <v>1258.3</v>
      </c>
      <c r="Q2048" s="3">
        <f t="shared" si="158"/>
        <v>1150.72</v>
      </c>
      <c r="R2048" s="4">
        <f t="shared" si="159"/>
        <v>0.47770000000000001</v>
      </c>
      <c r="S2048" s="2">
        <v>13</v>
      </c>
      <c r="T2048" t="s">
        <v>30</v>
      </c>
      <c r="U2048">
        <v>4</v>
      </c>
    </row>
    <row r="2049" spans="1:21" x14ac:dyDescent="0.25">
      <c r="A2049" s="1">
        <v>46102</v>
      </c>
      <c r="B2049" t="s">
        <v>2240</v>
      </c>
      <c r="C2049" t="s">
        <v>428</v>
      </c>
      <c r="D2049" t="s">
        <v>43</v>
      </c>
      <c r="E2049" t="s">
        <v>25</v>
      </c>
      <c r="F2049" t="s">
        <v>36</v>
      </c>
      <c r="G2049" t="s">
        <v>37</v>
      </c>
      <c r="H2049" t="s">
        <v>38</v>
      </c>
      <c r="I2049" t="s">
        <v>74</v>
      </c>
      <c r="J2049" s="2">
        <v>1</v>
      </c>
      <c r="K2049" s="3">
        <v>423.48</v>
      </c>
      <c r="L2049" s="3">
        <v>192.27</v>
      </c>
      <c r="M2049" s="4">
        <v>0.121</v>
      </c>
      <c r="N2049" s="3">
        <f t="shared" si="155"/>
        <v>423.48</v>
      </c>
      <c r="O2049" s="3">
        <f t="shared" si="156"/>
        <v>372.24</v>
      </c>
      <c r="P2049" s="3">
        <f t="shared" si="157"/>
        <v>192.27</v>
      </c>
      <c r="Q2049" s="3">
        <f t="shared" si="158"/>
        <v>179.97</v>
      </c>
      <c r="R2049" s="4">
        <f t="shared" si="159"/>
        <v>0.48349999999999999</v>
      </c>
      <c r="S2049" s="2">
        <v>14</v>
      </c>
      <c r="T2049" t="s">
        <v>30</v>
      </c>
      <c r="U2049">
        <v>2</v>
      </c>
    </row>
    <row r="2050" spans="1:21" x14ac:dyDescent="0.25">
      <c r="A2050" s="1">
        <v>46159</v>
      </c>
      <c r="B2050" t="s">
        <v>2241</v>
      </c>
      <c r="C2050" t="s">
        <v>220</v>
      </c>
      <c r="D2050" t="s">
        <v>24</v>
      </c>
      <c r="E2050" t="s">
        <v>25</v>
      </c>
      <c r="F2050" t="s">
        <v>36</v>
      </c>
      <c r="G2050" t="s">
        <v>37</v>
      </c>
      <c r="H2050" t="s">
        <v>178</v>
      </c>
      <c r="I2050" t="s">
        <v>39</v>
      </c>
      <c r="J2050" s="2">
        <v>7</v>
      </c>
      <c r="K2050" s="3">
        <v>489.57</v>
      </c>
      <c r="L2050" s="3">
        <v>247.75</v>
      </c>
      <c r="M2050" s="4">
        <v>8.0500000000000002E-2</v>
      </c>
      <c r="N2050" s="3">
        <f t="shared" ref="N2050:N2113" si="160">ROUND(J2050*K2050,2)</f>
        <v>3426.99</v>
      </c>
      <c r="O2050" s="3">
        <f t="shared" ref="O2050:O2113" si="161">ROUND(N2050*(1-M2050),2)</f>
        <v>3151.12</v>
      </c>
      <c r="P2050" s="3">
        <f t="shared" ref="P2050:P2113" si="162">ROUND(J2050*L2050,2)</f>
        <v>1734.25</v>
      </c>
      <c r="Q2050" s="3">
        <f t="shared" ref="Q2050:Q2113" si="163">ROUND(O2050-P2050,2)</f>
        <v>1416.87</v>
      </c>
      <c r="R2050" s="4">
        <f t="shared" ref="R2050:R2113" si="164">IF(O2050=0,0,ROUND(Q2050/O2050,4))</f>
        <v>0.4496</v>
      </c>
      <c r="S2050" s="2">
        <v>5</v>
      </c>
      <c r="T2050" t="s">
        <v>46</v>
      </c>
      <c r="U2050">
        <v>4</v>
      </c>
    </row>
    <row r="2051" spans="1:21" x14ac:dyDescent="0.25">
      <c r="A2051" s="1">
        <v>46112</v>
      </c>
      <c r="B2051" t="s">
        <v>2242</v>
      </c>
      <c r="C2051" t="s">
        <v>220</v>
      </c>
      <c r="D2051" t="s">
        <v>113</v>
      </c>
      <c r="E2051" t="s">
        <v>50</v>
      </c>
      <c r="F2051" t="s">
        <v>36</v>
      </c>
      <c r="G2051" t="s">
        <v>51</v>
      </c>
      <c r="H2051" t="s">
        <v>59</v>
      </c>
      <c r="I2051" t="s">
        <v>65</v>
      </c>
      <c r="J2051" s="2">
        <v>2</v>
      </c>
      <c r="K2051" s="3">
        <v>2191.11</v>
      </c>
      <c r="L2051" s="3">
        <v>1404.26</v>
      </c>
      <c r="M2051" s="4">
        <v>4.5600000000000002E-2</v>
      </c>
      <c r="N2051" s="3">
        <f t="shared" si="160"/>
        <v>4382.22</v>
      </c>
      <c r="O2051" s="3">
        <f t="shared" si="161"/>
        <v>4182.3900000000003</v>
      </c>
      <c r="P2051" s="3">
        <f t="shared" si="162"/>
        <v>2808.52</v>
      </c>
      <c r="Q2051" s="3">
        <f t="shared" si="163"/>
        <v>1373.87</v>
      </c>
      <c r="R2051" s="4">
        <f t="shared" si="164"/>
        <v>0.32850000000000001</v>
      </c>
      <c r="S2051" s="2">
        <v>10</v>
      </c>
      <c r="T2051" t="s">
        <v>46</v>
      </c>
      <c r="U2051">
        <v>4</v>
      </c>
    </row>
    <row r="2052" spans="1:21" x14ac:dyDescent="0.25">
      <c r="A2052" s="1">
        <v>46198</v>
      </c>
      <c r="B2052" t="s">
        <v>2243</v>
      </c>
      <c r="C2052" t="s">
        <v>218</v>
      </c>
      <c r="D2052" t="s">
        <v>49</v>
      </c>
      <c r="E2052" t="s">
        <v>50</v>
      </c>
      <c r="F2052" t="s">
        <v>58</v>
      </c>
      <c r="G2052" t="s">
        <v>44</v>
      </c>
      <c r="H2052" t="s">
        <v>45</v>
      </c>
      <c r="I2052" t="s">
        <v>29</v>
      </c>
      <c r="J2052" s="2">
        <v>2</v>
      </c>
      <c r="K2052" s="3">
        <v>406.66</v>
      </c>
      <c r="L2052" s="3">
        <v>219.97</v>
      </c>
      <c r="M2052" s="4">
        <v>5.2699999999999997E-2</v>
      </c>
      <c r="N2052" s="3">
        <f t="shared" si="160"/>
        <v>813.32</v>
      </c>
      <c r="O2052" s="3">
        <f t="shared" si="161"/>
        <v>770.46</v>
      </c>
      <c r="P2052" s="3">
        <f t="shared" si="162"/>
        <v>439.94</v>
      </c>
      <c r="Q2052" s="3">
        <f t="shared" si="163"/>
        <v>330.52</v>
      </c>
      <c r="R2052" s="4">
        <f t="shared" si="164"/>
        <v>0.42899999999999999</v>
      </c>
      <c r="S2052" s="2">
        <v>10</v>
      </c>
      <c r="T2052" t="s">
        <v>46</v>
      </c>
      <c r="U2052">
        <v>5</v>
      </c>
    </row>
    <row r="2053" spans="1:21" x14ac:dyDescent="0.25">
      <c r="A2053" s="1">
        <v>46216</v>
      </c>
      <c r="B2053" t="s">
        <v>2244</v>
      </c>
      <c r="C2053" t="s">
        <v>91</v>
      </c>
      <c r="D2053" t="s">
        <v>24</v>
      </c>
      <c r="E2053" t="s">
        <v>25</v>
      </c>
      <c r="F2053" t="s">
        <v>58</v>
      </c>
      <c r="G2053" t="s">
        <v>37</v>
      </c>
      <c r="H2053" t="s">
        <v>178</v>
      </c>
      <c r="I2053" t="s">
        <v>92</v>
      </c>
      <c r="J2053" s="2">
        <v>4</v>
      </c>
      <c r="K2053" s="3">
        <v>499.43</v>
      </c>
      <c r="L2053" s="3">
        <v>253.24</v>
      </c>
      <c r="M2053" s="4">
        <v>3.5000000000000003E-2</v>
      </c>
      <c r="N2053" s="3">
        <f t="shared" si="160"/>
        <v>1997.72</v>
      </c>
      <c r="O2053" s="3">
        <f t="shared" si="161"/>
        <v>1927.8</v>
      </c>
      <c r="P2053" s="3">
        <f t="shared" si="162"/>
        <v>1012.96</v>
      </c>
      <c r="Q2053" s="3">
        <f t="shared" si="163"/>
        <v>914.84</v>
      </c>
      <c r="R2053" s="4">
        <f t="shared" si="164"/>
        <v>0.47460000000000002</v>
      </c>
      <c r="S2053" s="2">
        <v>14</v>
      </c>
      <c r="T2053" t="s">
        <v>30</v>
      </c>
      <c r="U2053">
        <v>2</v>
      </c>
    </row>
    <row r="2054" spans="1:21" x14ac:dyDescent="0.25">
      <c r="A2054" s="1">
        <v>46069</v>
      </c>
      <c r="B2054" t="s">
        <v>2245</v>
      </c>
      <c r="C2054" t="s">
        <v>89</v>
      </c>
      <c r="D2054" t="s">
        <v>85</v>
      </c>
      <c r="E2054" t="s">
        <v>50</v>
      </c>
      <c r="F2054" t="s">
        <v>58</v>
      </c>
      <c r="G2054" t="s">
        <v>37</v>
      </c>
      <c r="H2054" t="s">
        <v>38</v>
      </c>
      <c r="I2054" t="s">
        <v>29</v>
      </c>
      <c r="J2054" s="2">
        <v>3</v>
      </c>
      <c r="K2054" s="3">
        <v>440.99</v>
      </c>
      <c r="L2054" s="3">
        <v>189.22</v>
      </c>
      <c r="M2054" s="4">
        <v>3.5000000000000003E-2</v>
      </c>
      <c r="N2054" s="3">
        <f t="shared" si="160"/>
        <v>1322.97</v>
      </c>
      <c r="O2054" s="3">
        <f t="shared" si="161"/>
        <v>1276.67</v>
      </c>
      <c r="P2054" s="3">
        <f t="shared" si="162"/>
        <v>567.66</v>
      </c>
      <c r="Q2054" s="3">
        <f t="shared" si="163"/>
        <v>709.01</v>
      </c>
      <c r="R2054" s="4">
        <f t="shared" si="164"/>
        <v>0.5554</v>
      </c>
      <c r="S2054" s="2">
        <v>4</v>
      </c>
      <c r="T2054" t="s">
        <v>46</v>
      </c>
      <c r="U2054">
        <v>5</v>
      </c>
    </row>
    <row r="2055" spans="1:21" x14ac:dyDescent="0.25">
      <c r="A2055" s="1">
        <v>46155</v>
      </c>
      <c r="B2055" t="s">
        <v>2246</v>
      </c>
      <c r="C2055" t="s">
        <v>184</v>
      </c>
      <c r="D2055" t="s">
        <v>130</v>
      </c>
      <c r="E2055" t="s">
        <v>72</v>
      </c>
      <c r="F2055" t="s">
        <v>36</v>
      </c>
      <c r="G2055" t="s">
        <v>27</v>
      </c>
      <c r="H2055" t="s">
        <v>86</v>
      </c>
      <c r="I2055" t="s">
        <v>87</v>
      </c>
      <c r="J2055" s="2">
        <v>8</v>
      </c>
      <c r="K2055" s="3">
        <v>1964.63</v>
      </c>
      <c r="L2055" s="3">
        <v>1257.1400000000001</v>
      </c>
      <c r="M2055" s="4">
        <v>0</v>
      </c>
      <c r="N2055" s="3">
        <f t="shared" si="160"/>
        <v>15717.04</v>
      </c>
      <c r="O2055" s="3">
        <f t="shared" si="161"/>
        <v>15717.04</v>
      </c>
      <c r="P2055" s="3">
        <f t="shared" si="162"/>
        <v>10057.120000000001</v>
      </c>
      <c r="Q2055" s="3">
        <f t="shared" si="163"/>
        <v>5659.92</v>
      </c>
      <c r="R2055" s="4">
        <f t="shared" si="164"/>
        <v>0.36009999999999998</v>
      </c>
      <c r="S2055" s="2">
        <v>13</v>
      </c>
      <c r="T2055" t="s">
        <v>30</v>
      </c>
      <c r="U2055">
        <v>3</v>
      </c>
    </row>
    <row r="2056" spans="1:21" x14ac:dyDescent="0.25">
      <c r="A2056" s="1">
        <v>46103</v>
      </c>
      <c r="B2056" t="s">
        <v>2247</v>
      </c>
      <c r="C2056" t="s">
        <v>42</v>
      </c>
      <c r="D2056" t="s">
        <v>63</v>
      </c>
      <c r="E2056" t="s">
        <v>35</v>
      </c>
      <c r="F2056" t="s">
        <v>26</v>
      </c>
      <c r="G2056" t="s">
        <v>37</v>
      </c>
      <c r="H2056" t="s">
        <v>104</v>
      </c>
      <c r="I2056" t="s">
        <v>53</v>
      </c>
      <c r="J2056" s="2">
        <v>2</v>
      </c>
      <c r="K2056" s="3">
        <v>306.5</v>
      </c>
      <c r="L2056" s="3">
        <v>136.33000000000001</v>
      </c>
      <c r="M2056" s="4">
        <v>7.0199999999999999E-2</v>
      </c>
      <c r="N2056" s="3">
        <f t="shared" si="160"/>
        <v>613</v>
      </c>
      <c r="O2056" s="3">
        <f t="shared" si="161"/>
        <v>569.97</v>
      </c>
      <c r="P2056" s="3">
        <f t="shared" si="162"/>
        <v>272.66000000000003</v>
      </c>
      <c r="Q2056" s="3">
        <f t="shared" si="163"/>
        <v>297.31</v>
      </c>
      <c r="R2056" s="4">
        <f t="shared" si="164"/>
        <v>0.52159999999999995</v>
      </c>
      <c r="S2056" s="2">
        <v>13</v>
      </c>
      <c r="T2056" t="s">
        <v>30</v>
      </c>
      <c r="U2056">
        <v>4</v>
      </c>
    </row>
    <row r="2057" spans="1:21" x14ac:dyDescent="0.25">
      <c r="A2057" s="1">
        <v>46175</v>
      </c>
      <c r="B2057" t="s">
        <v>2248</v>
      </c>
      <c r="C2057" t="s">
        <v>23</v>
      </c>
      <c r="D2057" t="s">
        <v>101</v>
      </c>
      <c r="E2057" t="s">
        <v>35</v>
      </c>
      <c r="F2057" t="s">
        <v>64</v>
      </c>
      <c r="G2057" t="s">
        <v>44</v>
      </c>
      <c r="H2057" t="s">
        <v>73</v>
      </c>
      <c r="I2057" t="s">
        <v>77</v>
      </c>
      <c r="J2057" s="2">
        <v>1</v>
      </c>
      <c r="K2057" s="3">
        <v>1729.15</v>
      </c>
      <c r="L2057" s="3">
        <v>1116.56</v>
      </c>
      <c r="M2057" s="4">
        <v>7.5499999999999998E-2</v>
      </c>
      <c r="N2057" s="3">
        <f t="shared" si="160"/>
        <v>1729.15</v>
      </c>
      <c r="O2057" s="3">
        <f t="shared" si="161"/>
        <v>1598.6</v>
      </c>
      <c r="P2057" s="3">
        <f t="shared" si="162"/>
        <v>1116.56</v>
      </c>
      <c r="Q2057" s="3">
        <f t="shared" si="163"/>
        <v>482.04</v>
      </c>
      <c r="R2057" s="4">
        <f t="shared" si="164"/>
        <v>0.30149999999999999</v>
      </c>
      <c r="S2057" s="2">
        <v>10</v>
      </c>
      <c r="T2057" t="s">
        <v>46</v>
      </c>
      <c r="U2057">
        <v>2</v>
      </c>
    </row>
    <row r="2058" spans="1:21" x14ac:dyDescent="0.25">
      <c r="A2058" s="1">
        <v>46181</v>
      </c>
      <c r="B2058" t="s">
        <v>2249</v>
      </c>
      <c r="C2058" t="s">
        <v>33</v>
      </c>
      <c r="D2058" t="s">
        <v>43</v>
      </c>
      <c r="E2058" t="s">
        <v>25</v>
      </c>
      <c r="F2058" t="s">
        <v>58</v>
      </c>
      <c r="G2058" t="s">
        <v>37</v>
      </c>
      <c r="H2058" t="s">
        <v>178</v>
      </c>
      <c r="I2058" t="s">
        <v>60</v>
      </c>
      <c r="J2058" s="2">
        <v>8</v>
      </c>
      <c r="K2058" s="3">
        <v>521.88</v>
      </c>
      <c r="L2058" s="3">
        <v>257.02</v>
      </c>
      <c r="M2058" s="4">
        <v>0.14430000000000001</v>
      </c>
      <c r="N2058" s="3">
        <f t="shared" si="160"/>
        <v>4175.04</v>
      </c>
      <c r="O2058" s="3">
        <f t="shared" si="161"/>
        <v>3572.58</v>
      </c>
      <c r="P2058" s="3">
        <f t="shared" si="162"/>
        <v>2056.16</v>
      </c>
      <c r="Q2058" s="3">
        <f t="shared" si="163"/>
        <v>1516.42</v>
      </c>
      <c r="R2058" s="4">
        <f t="shared" si="164"/>
        <v>0.42449999999999999</v>
      </c>
      <c r="S2058" s="2">
        <v>14</v>
      </c>
      <c r="T2058" t="s">
        <v>30</v>
      </c>
      <c r="U2058">
        <v>3</v>
      </c>
    </row>
    <row r="2059" spans="1:21" x14ac:dyDescent="0.25">
      <c r="A2059" s="1">
        <v>46163</v>
      </c>
      <c r="B2059" t="s">
        <v>2250</v>
      </c>
      <c r="C2059" t="s">
        <v>447</v>
      </c>
      <c r="D2059" t="s">
        <v>101</v>
      </c>
      <c r="E2059" t="s">
        <v>35</v>
      </c>
      <c r="F2059" t="s">
        <v>26</v>
      </c>
      <c r="G2059" t="s">
        <v>44</v>
      </c>
      <c r="H2059" t="s">
        <v>124</v>
      </c>
      <c r="I2059" t="s">
        <v>60</v>
      </c>
      <c r="J2059" s="2">
        <v>4</v>
      </c>
      <c r="K2059" s="3">
        <v>6131.77</v>
      </c>
      <c r="L2059" s="3">
        <v>4483.8999999999996</v>
      </c>
      <c r="M2059" s="4">
        <v>0</v>
      </c>
      <c r="N2059" s="3">
        <f t="shared" si="160"/>
        <v>24527.08</v>
      </c>
      <c r="O2059" s="3">
        <f t="shared" si="161"/>
        <v>24527.08</v>
      </c>
      <c r="P2059" s="3">
        <f t="shared" si="162"/>
        <v>17935.599999999999</v>
      </c>
      <c r="Q2059" s="3">
        <f t="shared" si="163"/>
        <v>6591.48</v>
      </c>
      <c r="R2059" s="4">
        <f t="shared" si="164"/>
        <v>0.26869999999999999</v>
      </c>
      <c r="S2059" s="2">
        <v>6</v>
      </c>
      <c r="T2059" t="s">
        <v>46</v>
      </c>
      <c r="U2059">
        <v>3</v>
      </c>
    </row>
    <row r="2060" spans="1:21" x14ac:dyDescent="0.25">
      <c r="A2060" s="1">
        <v>46086</v>
      </c>
      <c r="B2060" t="s">
        <v>2251</v>
      </c>
      <c r="C2060" t="s">
        <v>198</v>
      </c>
      <c r="D2060" t="s">
        <v>24</v>
      </c>
      <c r="E2060" t="s">
        <v>25</v>
      </c>
      <c r="F2060" t="s">
        <v>36</v>
      </c>
      <c r="G2060" t="s">
        <v>27</v>
      </c>
      <c r="H2060" t="s">
        <v>68</v>
      </c>
      <c r="I2060" t="s">
        <v>65</v>
      </c>
      <c r="J2060" s="2">
        <v>4</v>
      </c>
      <c r="K2060" s="3">
        <v>1249.51</v>
      </c>
      <c r="L2060" s="3">
        <v>769.02</v>
      </c>
      <c r="M2060" s="4">
        <v>3.7100000000000001E-2</v>
      </c>
      <c r="N2060" s="3">
        <f t="shared" si="160"/>
        <v>4998.04</v>
      </c>
      <c r="O2060" s="3">
        <f t="shared" si="161"/>
        <v>4812.6099999999997</v>
      </c>
      <c r="P2060" s="3">
        <f t="shared" si="162"/>
        <v>3076.08</v>
      </c>
      <c r="Q2060" s="3">
        <f t="shared" si="163"/>
        <v>1736.53</v>
      </c>
      <c r="R2060" s="4">
        <f t="shared" si="164"/>
        <v>0.36080000000000001</v>
      </c>
      <c r="S2060" s="2">
        <v>3</v>
      </c>
      <c r="T2060" t="s">
        <v>46</v>
      </c>
      <c r="U2060">
        <v>2</v>
      </c>
    </row>
    <row r="2061" spans="1:21" x14ac:dyDescent="0.25">
      <c r="A2061" s="1">
        <v>46188</v>
      </c>
      <c r="B2061" t="s">
        <v>2252</v>
      </c>
      <c r="C2061" t="s">
        <v>464</v>
      </c>
      <c r="D2061" t="s">
        <v>49</v>
      </c>
      <c r="E2061" t="s">
        <v>50</v>
      </c>
      <c r="F2061" t="s">
        <v>64</v>
      </c>
      <c r="G2061" t="s">
        <v>27</v>
      </c>
      <c r="H2061" t="s">
        <v>28</v>
      </c>
      <c r="I2061" t="s">
        <v>53</v>
      </c>
      <c r="J2061" s="2">
        <v>7</v>
      </c>
      <c r="K2061" s="3">
        <v>802.08</v>
      </c>
      <c r="L2061" s="3">
        <v>454.9</v>
      </c>
      <c r="M2061" s="4">
        <v>0</v>
      </c>
      <c r="N2061" s="3">
        <f t="shared" si="160"/>
        <v>5614.56</v>
      </c>
      <c r="O2061" s="3">
        <f t="shared" si="161"/>
        <v>5614.56</v>
      </c>
      <c r="P2061" s="3">
        <f t="shared" si="162"/>
        <v>3184.3</v>
      </c>
      <c r="Q2061" s="3">
        <f t="shared" si="163"/>
        <v>2430.2600000000002</v>
      </c>
      <c r="R2061" s="4">
        <f t="shared" si="164"/>
        <v>0.43280000000000002</v>
      </c>
      <c r="S2061" s="2">
        <v>6</v>
      </c>
      <c r="T2061" t="s">
        <v>40</v>
      </c>
    </row>
    <row r="2062" spans="1:21" x14ac:dyDescent="0.25">
      <c r="A2062" s="1">
        <v>46050</v>
      </c>
      <c r="B2062" t="s">
        <v>2253</v>
      </c>
      <c r="C2062" t="s">
        <v>146</v>
      </c>
      <c r="D2062" t="s">
        <v>130</v>
      </c>
      <c r="E2062" t="s">
        <v>72</v>
      </c>
      <c r="F2062" t="s">
        <v>36</v>
      </c>
      <c r="G2062" t="s">
        <v>44</v>
      </c>
      <c r="H2062" t="s">
        <v>73</v>
      </c>
      <c r="I2062" t="s">
        <v>65</v>
      </c>
      <c r="J2062" s="2">
        <v>3</v>
      </c>
      <c r="K2062" s="3">
        <v>1692.88</v>
      </c>
      <c r="L2062" s="3">
        <v>1166.3900000000001</v>
      </c>
      <c r="M2062" s="4">
        <v>0.112</v>
      </c>
      <c r="N2062" s="3">
        <f t="shared" si="160"/>
        <v>5078.6400000000003</v>
      </c>
      <c r="O2062" s="3">
        <f t="shared" si="161"/>
        <v>4509.83</v>
      </c>
      <c r="P2062" s="3">
        <f t="shared" si="162"/>
        <v>3499.17</v>
      </c>
      <c r="Q2062" s="3">
        <f t="shared" si="163"/>
        <v>1010.66</v>
      </c>
      <c r="R2062" s="4">
        <f t="shared" si="164"/>
        <v>0.22409999999999999</v>
      </c>
      <c r="S2062" s="2">
        <v>11</v>
      </c>
      <c r="T2062" t="s">
        <v>30</v>
      </c>
      <c r="U2062">
        <v>3</v>
      </c>
    </row>
    <row r="2063" spans="1:21" x14ac:dyDescent="0.25">
      <c r="A2063" s="1">
        <v>46047</v>
      </c>
      <c r="B2063" t="s">
        <v>2254</v>
      </c>
      <c r="C2063" t="s">
        <v>288</v>
      </c>
      <c r="D2063" t="s">
        <v>43</v>
      </c>
      <c r="E2063" t="s">
        <v>25</v>
      </c>
      <c r="F2063" t="s">
        <v>64</v>
      </c>
      <c r="G2063" t="s">
        <v>27</v>
      </c>
      <c r="H2063" t="s">
        <v>68</v>
      </c>
      <c r="I2063" t="s">
        <v>94</v>
      </c>
      <c r="J2063" s="2">
        <v>6</v>
      </c>
      <c r="K2063" s="3">
        <v>1239.03</v>
      </c>
      <c r="L2063" s="3">
        <v>830.05</v>
      </c>
      <c r="M2063" s="4">
        <v>0</v>
      </c>
      <c r="N2063" s="3">
        <f t="shared" si="160"/>
        <v>7434.18</v>
      </c>
      <c r="O2063" s="3">
        <f t="shared" si="161"/>
        <v>7434.18</v>
      </c>
      <c r="P2063" s="3">
        <f t="shared" si="162"/>
        <v>4980.3</v>
      </c>
      <c r="Q2063" s="3">
        <f t="shared" si="163"/>
        <v>2453.88</v>
      </c>
      <c r="R2063" s="4">
        <f t="shared" si="164"/>
        <v>0.3301</v>
      </c>
      <c r="S2063" s="2">
        <v>10</v>
      </c>
      <c r="T2063" t="s">
        <v>46</v>
      </c>
      <c r="U2063">
        <v>3</v>
      </c>
    </row>
    <row r="2064" spans="1:21" x14ac:dyDescent="0.25">
      <c r="A2064" s="1">
        <v>46167</v>
      </c>
      <c r="B2064" t="s">
        <v>2255</v>
      </c>
      <c r="C2064" t="s">
        <v>162</v>
      </c>
      <c r="D2064" t="s">
        <v>121</v>
      </c>
      <c r="E2064" t="s">
        <v>72</v>
      </c>
      <c r="F2064" t="s">
        <v>26</v>
      </c>
      <c r="G2064" t="s">
        <v>27</v>
      </c>
      <c r="H2064" t="s">
        <v>86</v>
      </c>
      <c r="I2064" t="s">
        <v>77</v>
      </c>
      <c r="J2064" s="2">
        <v>3</v>
      </c>
      <c r="K2064" s="3">
        <v>1850.55</v>
      </c>
      <c r="L2064" s="3">
        <v>1275.77</v>
      </c>
      <c r="M2064" s="4">
        <v>5.4600000000000003E-2</v>
      </c>
      <c r="N2064" s="3">
        <f t="shared" si="160"/>
        <v>5551.65</v>
      </c>
      <c r="O2064" s="3">
        <f t="shared" si="161"/>
        <v>5248.53</v>
      </c>
      <c r="P2064" s="3">
        <f t="shared" si="162"/>
        <v>3827.31</v>
      </c>
      <c r="Q2064" s="3">
        <f t="shared" si="163"/>
        <v>1421.22</v>
      </c>
      <c r="R2064" s="4">
        <f t="shared" si="164"/>
        <v>0.27079999999999999</v>
      </c>
      <c r="S2064" s="2">
        <v>13</v>
      </c>
      <c r="T2064" t="s">
        <v>30</v>
      </c>
      <c r="U2064">
        <v>4</v>
      </c>
    </row>
    <row r="2065" spans="1:21" x14ac:dyDescent="0.25">
      <c r="A2065" s="1">
        <v>46135</v>
      </c>
      <c r="B2065" t="s">
        <v>2256</v>
      </c>
      <c r="C2065" t="s">
        <v>375</v>
      </c>
      <c r="D2065" t="s">
        <v>63</v>
      </c>
      <c r="E2065" t="s">
        <v>35</v>
      </c>
      <c r="F2065" t="s">
        <v>58</v>
      </c>
      <c r="G2065" t="s">
        <v>27</v>
      </c>
      <c r="H2065" t="s">
        <v>86</v>
      </c>
      <c r="I2065" t="s">
        <v>87</v>
      </c>
      <c r="J2065" s="2">
        <v>2</v>
      </c>
      <c r="K2065" s="3">
        <v>1983.19</v>
      </c>
      <c r="L2065" s="3">
        <v>1186.72</v>
      </c>
      <c r="M2065" s="4">
        <v>6.3399999999999998E-2</v>
      </c>
      <c r="N2065" s="3">
        <f t="shared" si="160"/>
        <v>3966.38</v>
      </c>
      <c r="O2065" s="3">
        <f t="shared" si="161"/>
        <v>3714.91</v>
      </c>
      <c r="P2065" s="3">
        <f t="shared" si="162"/>
        <v>2373.44</v>
      </c>
      <c r="Q2065" s="3">
        <f t="shared" si="163"/>
        <v>1341.47</v>
      </c>
      <c r="R2065" s="4">
        <f t="shared" si="164"/>
        <v>0.36109999999999998</v>
      </c>
      <c r="S2065" s="2">
        <v>11</v>
      </c>
      <c r="T2065" t="s">
        <v>30</v>
      </c>
      <c r="U2065">
        <v>2</v>
      </c>
    </row>
    <row r="2066" spans="1:21" x14ac:dyDescent="0.25">
      <c r="A2066" s="1">
        <v>46056</v>
      </c>
      <c r="B2066" t="s">
        <v>2257</v>
      </c>
      <c r="C2066" t="s">
        <v>142</v>
      </c>
      <c r="D2066" t="s">
        <v>207</v>
      </c>
      <c r="E2066" t="s">
        <v>35</v>
      </c>
      <c r="F2066" t="s">
        <v>26</v>
      </c>
      <c r="G2066" t="s">
        <v>44</v>
      </c>
      <c r="H2066" t="s">
        <v>124</v>
      </c>
      <c r="I2066" t="s">
        <v>53</v>
      </c>
      <c r="J2066" s="2">
        <v>5</v>
      </c>
      <c r="K2066" s="3">
        <v>5788.02</v>
      </c>
      <c r="L2066" s="3">
        <v>4470.8999999999996</v>
      </c>
      <c r="M2066" s="4">
        <v>4.7600000000000003E-2</v>
      </c>
      <c r="N2066" s="3">
        <f t="shared" si="160"/>
        <v>28940.1</v>
      </c>
      <c r="O2066" s="3">
        <f t="shared" si="161"/>
        <v>27562.55</v>
      </c>
      <c r="P2066" s="3">
        <f t="shared" si="162"/>
        <v>22354.5</v>
      </c>
      <c r="Q2066" s="3">
        <f t="shared" si="163"/>
        <v>5208.05</v>
      </c>
      <c r="R2066" s="4">
        <f t="shared" si="164"/>
        <v>0.189</v>
      </c>
      <c r="S2066" s="2">
        <v>3</v>
      </c>
      <c r="T2066" t="s">
        <v>40</v>
      </c>
    </row>
    <row r="2067" spans="1:21" x14ac:dyDescent="0.25">
      <c r="A2067" s="1">
        <v>46211</v>
      </c>
      <c r="B2067" t="s">
        <v>2258</v>
      </c>
      <c r="C2067" t="s">
        <v>476</v>
      </c>
      <c r="D2067" t="s">
        <v>139</v>
      </c>
      <c r="E2067" t="s">
        <v>72</v>
      </c>
      <c r="F2067" t="s">
        <v>58</v>
      </c>
      <c r="G2067" t="s">
        <v>37</v>
      </c>
      <c r="H2067" t="s">
        <v>104</v>
      </c>
      <c r="I2067" t="s">
        <v>29</v>
      </c>
      <c r="J2067" s="2">
        <v>8</v>
      </c>
      <c r="K2067" s="3">
        <v>332.91</v>
      </c>
      <c r="L2067" s="3">
        <v>139.38</v>
      </c>
      <c r="M2067" s="4">
        <v>3.5000000000000003E-2</v>
      </c>
      <c r="N2067" s="3">
        <f t="shared" si="160"/>
        <v>2663.28</v>
      </c>
      <c r="O2067" s="3">
        <f t="shared" si="161"/>
        <v>2570.0700000000002</v>
      </c>
      <c r="P2067" s="3">
        <f t="shared" si="162"/>
        <v>1115.04</v>
      </c>
      <c r="Q2067" s="3">
        <f t="shared" si="163"/>
        <v>1455.03</v>
      </c>
      <c r="R2067" s="4">
        <f t="shared" si="164"/>
        <v>0.56610000000000005</v>
      </c>
      <c r="S2067" s="2">
        <v>12</v>
      </c>
      <c r="T2067" t="s">
        <v>30</v>
      </c>
      <c r="U2067">
        <v>2</v>
      </c>
    </row>
    <row r="2068" spans="1:21" x14ac:dyDescent="0.25">
      <c r="A2068" s="1">
        <v>46173</v>
      </c>
      <c r="B2068" t="s">
        <v>2259</v>
      </c>
      <c r="C2068" t="s">
        <v>100</v>
      </c>
      <c r="D2068" t="s">
        <v>49</v>
      </c>
      <c r="E2068" t="s">
        <v>50</v>
      </c>
      <c r="F2068" t="s">
        <v>26</v>
      </c>
      <c r="G2068" t="s">
        <v>37</v>
      </c>
      <c r="H2068" t="s">
        <v>104</v>
      </c>
      <c r="I2068" t="s">
        <v>60</v>
      </c>
      <c r="J2068" s="2">
        <v>4</v>
      </c>
      <c r="K2068" s="3">
        <v>332.5</v>
      </c>
      <c r="L2068" s="3">
        <v>140.56</v>
      </c>
      <c r="M2068" s="4">
        <v>1.8499999999999999E-2</v>
      </c>
      <c r="N2068" s="3">
        <f t="shared" si="160"/>
        <v>1330</v>
      </c>
      <c r="O2068" s="3">
        <f t="shared" si="161"/>
        <v>1305.4000000000001</v>
      </c>
      <c r="P2068" s="3">
        <f t="shared" si="162"/>
        <v>562.24</v>
      </c>
      <c r="Q2068" s="3">
        <f t="shared" si="163"/>
        <v>743.16</v>
      </c>
      <c r="R2068" s="4">
        <f t="shared" si="164"/>
        <v>0.56930000000000003</v>
      </c>
      <c r="S2068" s="2">
        <v>12</v>
      </c>
      <c r="T2068" t="s">
        <v>30</v>
      </c>
      <c r="U2068">
        <v>2</v>
      </c>
    </row>
    <row r="2069" spans="1:21" x14ac:dyDescent="0.25">
      <c r="A2069" s="1">
        <v>46219</v>
      </c>
      <c r="B2069" t="s">
        <v>2260</v>
      </c>
      <c r="C2069" t="s">
        <v>214</v>
      </c>
      <c r="D2069" t="s">
        <v>121</v>
      </c>
      <c r="E2069" t="s">
        <v>72</v>
      </c>
      <c r="F2069" t="s">
        <v>26</v>
      </c>
      <c r="G2069" t="s">
        <v>27</v>
      </c>
      <c r="H2069" t="s">
        <v>68</v>
      </c>
      <c r="I2069" t="s">
        <v>29</v>
      </c>
      <c r="J2069" s="2">
        <v>8</v>
      </c>
      <c r="K2069" s="3">
        <v>1236.22</v>
      </c>
      <c r="L2069" s="3">
        <v>819.81</v>
      </c>
      <c r="M2069" s="4">
        <v>0.1283</v>
      </c>
      <c r="N2069" s="3">
        <f t="shared" si="160"/>
        <v>9889.76</v>
      </c>
      <c r="O2069" s="3">
        <f t="shared" si="161"/>
        <v>8620.9</v>
      </c>
      <c r="P2069" s="3">
        <f t="shared" si="162"/>
        <v>6558.48</v>
      </c>
      <c r="Q2069" s="3">
        <f t="shared" si="163"/>
        <v>2062.42</v>
      </c>
      <c r="R2069" s="4">
        <f t="shared" si="164"/>
        <v>0.2392</v>
      </c>
      <c r="S2069" s="2">
        <v>3</v>
      </c>
      <c r="T2069" t="s">
        <v>46</v>
      </c>
      <c r="U2069">
        <v>5</v>
      </c>
    </row>
    <row r="2070" spans="1:21" x14ac:dyDescent="0.25">
      <c r="A2070" s="1">
        <v>46025</v>
      </c>
      <c r="B2070" t="s">
        <v>2261</v>
      </c>
      <c r="C2070" t="s">
        <v>174</v>
      </c>
      <c r="D2070" t="s">
        <v>43</v>
      </c>
      <c r="E2070" t="s">
        <v>25</v>
      </c>
      <c r="F2070" t="s">
        <v>26</v>
      </c>
      <c r="G2070" t="s">
        <v>27</v>
      </c>
      <c r="H2070" t="s">
        <v>28</v>
      </c>
      <c r="I2070" t="s">
        <v>53</v>
      </c>
      <c r="J2070" s="2">
        <v>6</v>
      </c>
      <c r="K2070" s="3">
        <v>815.49</v>
      </c>
      <c r="L2070" s="3">
        <v>468.25</v>
      </c>
      <c r="M2070" s="4">
        <v>0</v>
      </c>
      <c r="N2070" s="3">
        <f t="shared" si="160"/>
        <v>4892.9399999999996</v>
      </c>
      <c r="O2070" s="3">
        <f t="shared" si="161"/>
        <v>4892.9399999999996</v>
      </c>
      <c r="P2070" s="3">
        <f t="shared" si="162"/>
        <v>2809.5</v>
      </c>
      <c r="Q2070" s="3">
        <f t="shared" si="163"/>
        <v>2083.44</v>
      </c>
      <c r="R2070" s="4">
        <f t="shared" si="164"/>
        <v>0.42580000000000001</v>
      </c>
      <c r="S2070" s="2">
        <v>8</v>
      </c>
      <c r="T2070" t="s">
        <v>46</v>
      </c>
      <c r="U2070">
        <v>2</v>
      </c>
    </row>
    <row r="2071" spans="1:21" x14ac:dyDescent="0.25">
      <c r="A2071" s="1">
        <v>46122</v>
      </c>
      <c r="B2071" t="s">
        <v>2262</v>
      </c>
      <c r="C2071" t="s">
        <v>62</v>
      </c>
      <c r="D2071" t="s">
        <v>130</v>
      </c>
      <c r="E2071" t="s">
        <v>72</v>
      </c>
      <c r="F2071" t="s">
        <v>26</v>
      </c>
      <c r="G2071" t="s">
        <v>51</v>
      </c>
      <c r="H2071" t="s">
        <v>116</v>
      </c>
      <c r="I2071" t="s">
        <v>53</v>
      </c>
      <c r="J2071" s="2">
        <v>3</v>
      </c>
      <c r="K2071" s="3">
        <v>2691.17</v>
      </c>
      <c r="L2071" s="3">
        <v>1828.89</v>
      </c>
      <c r="M2071" s="4">
        <v>2.24E-2</v>
      </c>
      <c r="N2071" s="3">
        <f t="shared" si="160"/>
        <v>8073.51</v>
      </c>
      <c r="O2071" s="3">
        <f t="shared" si="161"/>
        <v>7892.66</v>
      </c>
      <c r="P2071" s="3">
        <f t="shared" si="162"/>
        <v>5486.67</v>
      </c>
      <c r="Q2071" s="3">
        <f t="shared" si="163"/>
        <v>2405.9899999999998</v>
      </c>
      <c r="R2071" s="4">
        <f t="shared" si="164"/>
        <v>0.30480000000000002</v>
      </c>
      <c r="S2071" s="2">
        <v>14</v>
      </c>
      <c r="T2071" t="s">
        <v>30</v>
      </c>
      <c r="U2071">
        <v>5</v>
      </c>
    </row>
    <row r="2072" spans="1:21" x14ac:dyDescent="0.25">
      <c r="A2072" s="1">
        <v>46147</v>
      </c>
      <c r="B2072" t="s">
        <v>2263</v>
      </c>
      <c r="C2072" t="s">
        <v>321</v>
      </c>
      <c r="D2072" t="s">
        <v>126</v>
      </c>
      <c r="E2072" t="s">
        <v>57</v>
      </c>
      <c r="F2072" t="s">
        <v>26</v>
      </c>
      <c r="G2072" t="s">
        <v>27</v>
      </c>
      <c r="H2072" t="s">
        <v>28</v>
      </c>
      <c r="I2072" t="s">
        <v>92</v>
      </c>
      <c r="J2072" s="2">
        <v>6</v>
      </c>
      <c r="K2072" s="3">
        <v>803.45</v>
      </c>
      <c r="L2072" s="3">
        <v>439.79</v>
      </c>
      <c r="M2072" s="4">
        <v>0</v>
      </c>
      <c r="N2072" s="3">
        <f t="shared" si="160"/>
        <v>4820.7</v>
      </c>
      <c r="O2072" s="3">
        <f t="shared" si="161"/>
        <v>4820.7</v>
      </c>
      <c r="P2072" s="3">
        <f t="shared" si="162"/>
        <v>2638.74</v>
      </c>
      <c r="Q2072" s="3">
        <f t="shared" si="163"/>
        <v>2181.96</v>
      </c>
      <c r="R2072" s="4">
        <f t="shared" si="164"/>
        <v>0.4526</v>
      </c>
      <c r="S2072" s="2">
        <v>7</v>
      </c>
      <c r="T2072" t="s">
        <v>46</v>
      </c>
      <c r="U2072">
        <v>3</v>
      </c>
    </row>
    <row r="2073" spans="1:21" x14ac:dyDescent="0.25">
      <c r="A2073" s="1">
        <v>46101</v>
      </c>
      <c r="B2073" t="s">
        <v>2264</v>
      </c>
      <c r="C2073" t="s">
        <v>687</v>
      </c>
      <c r="D2073" t="s">
        <v>113</v>
      </c>
      <c r="E2073" t="s">
        <v>50</v>
      </c>
      <c r="F2073" t="s">
        <v>58</v>
      </c>
      <c r="G2073" t="s">
        <v>44</v>
      </c>
      <c r="H2073" t="s">
        <v>73</v>
      </c>
      <c r="I2073" t="s">
        <v>94</v>
      </c>
      <c r="J2073" s="2">
        <v>7</v>
      </c>
      <c r="K2073" s="3">
        <v>1742.47</v>
      </c>
      <c r="L2073" s="3">
        <v>1045.6300000000001</v>
      </c>
      <c r="M2073" s="4">
        <v>0.12520000000000001</v>
      </c>
      <c r="N2073" s="3">
        <f t="shared" si="160"/>
        <v>12197.29</v>
      </c>
      <c r="O2073" s="3">
        <f t="shared" si="161"/>
        <v>10670.19</v>
      </c>
      <c r="P2073" s="3">
        <f t="shared" si="162"/>
        <v>7319.41</v>
      </c>
      <c r="Q2073" s="3">
        <f t="shared" si="163"/>
        <v>3350.78</v>
      </c>
      <c r="R2073" s="4">
        <f t="shared" si="164"/>
        <v>0.314</v>
      </c>
      <c r="S2073" s="2">
        <v>2</v>
      </c>
      <c r="T2073" t="s">
        <v>46</v>
      </c>
      <c r="U2073">
        <v>5</v>
      </c>
    </row>
    <row r="2074" spans="1:21" x14ac:dyDescent="0.25">
      <c r="A2074" s="1">
        <v>46028</v>
      </c>
      <c r="B2074" t="s">
        <v>2265</v>
      </c>
      <c r="C2074" t="s">
        <v>288</v>
      </c>
      <c r="D2074" t="s">
        <v>34</v>
      </c>
      <c r="E2074" t="s">
        <v>35</v>
      </c>
      <c r="F2074" t="s">
        <v>64</v>
      </c>
      <c r="G2074" t="s">
        <v>27</v>
      </c>
      <c r="H2074" t="s">
        <v>86</v>
      </c>
      <c r="I2074" t="s">
        <v>77</v>
      </c>
      <c r="J2074" s="2">
        <v>3</v>
      </c>
      <c r="K2074" s="3">
        <v>1986.59</v>
      </c>
      <c r="L2074" s="3">
        <v>1144.78</v>
      </c>
      <c r="M2074" s="4">
        <v>0.1031</v>
      </c>
      <c r="N2074" s="3">
        <f t="shared" si="160"/>
        <v>5959.77</v>
      </c>
      <c r="O2074" s="3">
        <f t="shared" si="161"/>
        <v>5345.32</v>
      </c>
      <c r="P2074" s="3">
        <f t="shared" si="162"/>
        <v>3434.34</v>
      </c>
      <c r="Q2074" s="3">
        <f t="shared" si="163"/>
        <v>1910.98</v>
      </c>
      <c r="R2074" s="4">
        <f t="shared" si="164"/>
        <v>0.35749999999999998</v>
      </c>
      <c r="S2074" s="2">
        <v>4</v>
      </c>
      <c r="T2074" t="s">
        <v>46</v>
      </c>
      <c r="U2074">
        <v>5</v>
      </c>
    </row>
    <row r="2075" spans="1:21" x14ac:dyDescent="0.25">
      <c r="A2075" s="1">
        <v>46039</v>
      </c>
      <c r="B2075" t="s">
        <v>2266</v>
      </c>
      <c r="C2075" t="s">
        <v>168</v>
      </c>
      <c r="D2075" t="s">
        <v>139</v>
      </c>
      <c r="E2075" t="s">
        <v>72</v>
      </c>
      <c r="F2075" t="s">
        <v>64</v>
      </c>
      <c r="G2075" t="s">
        <v>37</v>
      </c>
      <c r="H2075" t="s">
        <v>38</v>
      </c>
      <c r="I2075" t="s">
        <v>29</v>
      </c>
      <c r="J2075" s="2">
        <v>8</v>
      </c>
      <c r="K2075" s="3">
        <v>408.92</v>
      </c>
      <c r="L2075" s="3">
        <v>193.64</v>
      </c>
      <c r="M2075" s="4">
        <v>0</v>
      </c>
      <c r="N2075" s="3">
        <f t="shared" si="160"/>
        <v>3271.36</v>
      </c>
      <c r="O2075" s="3">
        <f t="shared" si="161"/>
        <v>3271.36</v>
      </c>
      <c r="P2075" s="3">
        <f t="shared" si="162"/>
        <v>1549.12</v>
      </c>
      <c r="Q2075" s="3">
        <f t="shared" si="163"/>
        <v>1722.24</v>
      </c>
      <c r="R2075" s="4">
        <f t="shared" si="164"/>
        <v>0.52649999999999997</v>
      </c>
      <c r="S2075" s="2">
        <v>6</v>
      </c>
      <c r="T2075" t="s">
        <v>46</v>
      </c>
      <c r="U2075">
        <v>4</v>
      </c>
    </row>
    <row r="2076" spans="1:21" x14ac:dyDescent="0.25">
      <c r="A2076" s="1">
        <v>46046</v>
      </c>
      <c r="B2076" t="s">
        <v>2267</v>
      </c>
      <c r="C2076" t="s">
        <v>103</v>
      </c>
      <c r="D2076" t="s">
        <v>130</v>
      </c>
      <c r="E2076" t="s">
        <v>72</v>
      </c>
      <c r="F2076" t="s">
        <v>36</v>
      </c>
      <c r="G2076" t="s">
        <v>27</v>
      </c>
      <c r="H2076" t="s">
        <v>86</v>
      </c>
      <c r="I2076" t="s">
        <v>94</v>
      </c>
      <c r="J2076" s="2">
        <v>7</v>
      </c>
      <c r="K2076" s="3">
        <v>1937.38</v>
      </c>
      <c r="L2076" s="3">
        <v>1195.77</v>
      </c>
      <c r="M2076" s="4">
        <v>4.3900000000000002E-2</v>
      </c>
      <c r="N2076" s="3">
        <f t="shared" si="160"/>
        <v>13561.66</v>
      </c>
      <c r="O2076" s="3">
        <f t="shared" si="161"/>
        <v>12966.3</v>
      </c>
      <c r="P2076" s="3">
        <f t="shared" si="162"/>
        <v>8370.39</v>
      </c>
      <c r="Q2076" s="3">
        <f t="shared" si="163"/>
        <v>4595.91</v>
      </c>
      <c r="R2076" s="4">
        <f t="shared" si="164"/>
        <v>0.35449999999999998</v>
      </c>
      <c r="S2076" s="2">
        <v>11</v>
      </c>
      <c r="T2076" t="s">
        <v>30</v>
      </c>
      <c r="U2076">
        <v>4</v>
      </c>
    </row>
    <row r="2077" spans="1:21" x14ac:dyDescent="0.25">
      <c r="A2077" s="1">
        <v>46032</v>
      </c>
      <c r="B2077" t="s">
        <v>2268</v>
      </c>
      <c r="C2077" t="s">
        <v>329</v>
      </c>
      <c r="D2077" t="s">
        <v>130</v>
      </c>
      <c r="E2077" t="s">
        <v>72</v>
      </c>
      <c r="F2077" t="s">
        <v>64</v>
      </c>
      <c r="G2077" t="s">
        <v>37</v>
      </c>
      <c r="H2077" t="s">
        <v>38</v>
      </c>
      <c r="I2077" t="s">
        <v>29</v>
      </c>
      <c r="J2077" s="2">
        <v>7</v>
      </c>
      <c r="K2077" s="3">
        <v>443.19</v>
      </c>
      <c r="L2077" s="3">
        <v>189.62</v>
      </c>
      <c r="M2077" s="4">
        <v>0.1197</v>
      </c>
      <c r="N2077" s="3">
        <f t="shared" si="160"/>
        <v>3102.33</v>
      </c>
      <c r="O2077" s="3">
        <f t="shared" si="161"/>
        <v>2730.98</v>
      </c>
      <c r="P2077" s="3">
        <f t="shared" si="162"/>
        <v>1327.34</v>
      </c>
      <c r="Q2077" s="3">
        <f t="shared" si="163"/>
        <v>1403.64</v>
      </c>
      <c r="R2077" s="4">
        <f t="shared" si="164"/>
        <v>0.51400000000000001</v>
      </c>
      <c r="S2077" s="2">
        <v>10</v>
      </c>
      <c r="T2077" t="s">
        <v>46</v>
      </c>
      <c r="U2077">
        <v>2</v>
      </c>
    </row>
    <row r="2078" spans="1:21" x14ac:dyDescent="0.25">
      <c r="A2078" s="1">
        <v>46138</v>
      </c>
      <c r="B2078" t="s">
        <v>2269</v>
      </c>
      <c r="C2078" t="s">
        <v>456</v>
      </c>
      <c r="D2078" t="s">
        <v>139</v>
      </c>
      <c r="E2078" t="s">
        <v>72</v>
      </c>
      <c r="F2078" t="s">
        <v>58</v>
      </c>
      <c r="G2078" t="s">
        <v>37</v>
      </c>
      <c r="H2078" t="s">
        <v>104</v>
      </c>
      <c r="I2078" t="s">
        <v>60</v>
      </c>
      <c r="J2078" s="2">
        <v>8</v>
      </c>
      <c r="K2078" s="3">
        <v>322.29000000000002</v>
      </c>
      <c r="L2078" s="3">
        <v>136.74</v>
      </c>
      <c r="M2078" s="4">
        <v>0.1646</v>
      </c>
      <c r="N2078" s="3">
        <f t="shared" si="160"/>
        <v>2578.3200000000002</v>
      </c>
      <c r="O2078" s="3">
        <f t="shared" si="161"/>
        <v>2153.9299999999998</v>
      </c>
      <c r="P2078" s="3">
        <f t="shared" si="162"/>
        <v>1093.92</v>
      </c>
      <c r="Q2078" s="3">
        <f t="shared" si="163"/>
        <v>1060.01</v>
      </c>
      <c r="R2078" s="4">
        <f t="shared" si="164"/>
        <v>0.49209999999999998</v>
      </c>
      <c r="S2078" s="2">
        <v>6</v>
      </c>
      <c r="T2078" t="s">
        <v>46</v>
      </c>
      <c r="U2078">
        <v>4</v>
      </c>
    </row>
    <row r="2079" spans="1:21" x14ac:dyDescent="0.25">
      <c r="A2079" s="1">
        <v>46059</v>
      </c>
      <c r="B2079" t="s">
        <v>2270</v>
      </c>
      <c r="C2079" t="s">
        <v>386</v>
      </c>
      <c r="D2079" t="s">
        <v>101</v>
      </c>
      <c r="E2079" t="s">
        <v>35</v>
      </c>
      <c r="F2079" t="s">
        <v>58</v>
      </c>
      <c r="G2079" t="s">
        <v>37</v>
      </c>
      <c r="H2079" t="s">
        <v>104</v>
      </c>
      <c r="I2079" t="s">
        <v>87</v>
      </c>
      <c r="J2079" s="2">
        <v>7</v>
      </c>
      <c r="K2079" s="3">
        <v>323.12</v>
      </c>
      <c r="L2079" s="3">
        <v>136.07</v>
      </c>
      <c r="M2079" s="4">
        <v>0.16089999999999999</v>
      </c>
      <c r="N2079" s="3">
        <f t="shared" si="160"/>
        <v>2261.84</v>
      </c>
      <c r="O2079" s="3">
        <f t="shared" si="161"/>
        <v>1897.91</v>
      </c>
      <c r="P2079" s="3">
        <f t="shared" si="162"/>
        <v>952.49</v>
      </c>
      <c r="Q2079" s="3">
        <f t="shared" si="163"/>
        <v>945.42</v>
      </c>
      <c r="R2079" s="4">
        <f t="shared" si="164"/>
        <v>0.49809999999999999</v>
      </c>
      <c r="S2079" s="2">
        <v>4</v>
      </c>
      <c r="T2079" t="s">
        <v>46</v>
      </c>
      <c r="U2079">
        <v>3</v>
      </c>
    </row>
    <row r="2080" spans="1:21" x14ac:dyDescent="0.25">
      <c r="A2080" s="1">
        <v>46082</v>
      </c>
      <c r="B2080" t="s">
        <v>2271</v>
      </c>
      <c r="C2080" t="s">
        <v>243</v>
      </c>
      <c r="D2080" t="s">
        <v>97</v>
      </c>
      <c r="E2080" t="s">
        <v>57</v>
      </c>
      <c r="F2080" t="s">
        <v>64</v>
      </c>
      <c r="G2080" t="s">
        <v>44</v>
      </c>
      <c r="H2080" t="s">
        <v>124</v>
      </c>
      <c r="I2080" t="s">
        <v>74</v>
      </c>
      <c r="J2080" s="2">
        <v>8</v>
      </c>
      <c r="K2080" s="3">
        <v>5792.3</v>
      </c>
      <c r="L2080" s="3">
        <v>4467.47</v>
      </c>
      <c r="M2080" s="4">
        <v>0</v>
      </c>
      <c r="N2080" s="3">
        <f t="shared" si="160"/>
        <v>46338.400000000001</v>
      </c>
      <c r="O2080" s="3">
        <f t="shared" si="161"/>
        <v>46338.400000000001</v>
      </c>
      <c r="P2080" s="3">
        <f t="shared" si="162"/>
        <v>35739.760000000002</v>
      </c>
      <c r="Q2080" s="3">
        <f t="shared" si="163"/>
        <v>10598.64</v>
      </c>
      <c r="R2080" s="4">
        <f t="shared" si="164"/>
        <v>0.22869999999999999</v>
      </c>
      <c r="S2080" s="2">
        <v>11</v>
      </c>
      <c r="T2080" t="s">
        <v>30</v>
      </c>
      <c r="U2080">
        <v>5</v>
      </c>
    </row>
    <row r="2081" spans="1:21" x14ac:dyDescent="0.25">
      <c r="A2081" s="1">
        <v>46194</v>
      </c>
      <c r="B2081" t="s">
        <v>2272</v>
      </c>
      <c r="C2081" t="s">
        <v>164</v>
      </c>
      <c r="D2081" t="s">
        <v>49</v>
      </c>
      <c r="E2081" t="s">
        <v>50</v>
      </c>
      <c r="F2081" t="s">
        <v>64</v>
      </c>
      <c r="G2081" t="s">
        <v>27</v>
      </c>
      <c r="H2081" t="s">
        <v>68</v>
      </c>
      <c r="I2081" t="s">
        <v>60</v>
      </c>
      <c r="J2081" s="2">
        <v>4</v>
      </c>
      <c r="K2081" s="3">
        <v>1222.58</v>
      </c>
      <c r="L2081" s="3">
        <v>788.12</v>
      </c>
      <c r="M2081" s="4">
        <v>4.58E-2</v>
      </c>
      <c r="N2081" s="3">
        <f t="shared" si="160"/>
        <v>4890.32</v>
      </c>
      <c r="O2081" s="3">
        <f t="shared" si="161"/>
        <v>4666.34</v>
      </c>
      <c r="P2081" s="3">
        <f t="shared" si="162"/>
        <v>3152.48</v>
      </c>
      <c r="Q2081" s="3">
        <f t="shared" si="163"/>
        <v>1513.86</v>
      </c>
      <c r="R2081" s="4">
        <f t="shared" si="164"/>
        <v>0.32440000000000002</v>
      </c>
      <c r="S2081" s="2">
        <v>10</v>
      </c>
      <c r="T2081" t="s">
        <v>46</v>
      </c>
      <c r="U2081">
        <v>5</v>
      </c>
    </row>
    <row r="2082" spans="1:21" x14ac:dyDescent="0.25">
      <c r="A2082" s="1">
        <v>46085</v>
      </c>
      <c r="B2082" t="s">
        <v>2273</v>
      </c>
      <c r="C2082" t="s">
        <v>67</v>
      </c>
      <c r="D2082" t="s">
        <v>63</v>
      </c>
      <c r="E2082" t="s">
        <v>35</v>
      </c>
      <c r="F2082" t="s">
        <v>58</v>
      </c>
      <c r="G2082" t="s">
        <v>44</v>
      </c>
      <c r="H2082" t="s">
        <v>45</v>
      </c>
      <c r="I2082" t="s">
        <v>77</v>
      </c>
      <c r="J2082" s="2">
        <v>2</v>
      </c>
      <c r="K2082" s="3">
        <v>406.64</v>
      </c>
      <c r="L2082" s="3">
        <v>212.58</v>
      </c>
      <c r="M2082" s="4">
        <v>8.3199999999999996E-2</v>
      </c>
      <c r="N2082" s="3">
        <f t="shared" si="160"/>
        <v>813.28</v>
      </c>
      <c r="O2082" s="3">
        <f t="shared" si="161"/>
        <v>745.62</v>
      </c>
      <c r="P2082" s="3">
        <f t="shared" si="162"/>
        <v>425.16</v>
      </c>
      <c r="Q2082" s="3">
        <f t="shared" si="163"/>
        <v>320.45999999999998</v>
      </c>
      <c r="R2082" s="4">
        <f t="shared" si="164"/>
        <v>0.42980000000000002</v>
      </c>
      <c r="S2082" s="2">
        <v>5</v>
      </c>
      <c r="T2082" t="s">
        <v>46</v>
      </c>
      <c r="U2082">
        <v>2</v>
      </c>
    </row>
    <row r="2083" spans="1:21" x14ac:dyDescent="0.25">
      <c r="A2083" s="1">
        <v>46223</v>
      </c>
      <c r="B2083" t="s">
        <v>2274</v>
      </c>
      <c r="C2083" t="s">
        <v>447</v>
      </c>
      <c r="D2083" t="s">
        <v>130</v>
      </c>
      <c r="E2083" t="s">
        <v>72</v>
      </c>
      <c r="F2083" t="s">
        <v>36</v>
      </c>
      <c r="G2083" t="s">
        <v>37</v>
      </c>
      <c r="H2083" t="s">
        <v>178</v>
      </c>
      <c r="I2083" t="s">
        <v>87</v>
      </c>
      <c r="J2083" s="2">
        <v>8</v>
      </c>
      <c r="K2083" s="3">
        <v>521.41</v>
      </c>
      <c r="L2083" s="3">
        <v>258.74</v>
      </c>
      <c r="M2083" s="4">
        <v>7.9399999999999998E-2</v>
      </c>
      <c r="N2083" s="3">
        <f t="shared" si="160"/>
        <v>4171.28</v>
      </c>
      <c r="O2083" s="3">
        <f t="shared" si="161"/>
        <v>3840.08</v>
      </c>
      <c r="P2083" s="3">
        <f t="shared" si="162"/>
        <v>2069.92</v>
      </c>
      <c r="Q2083" s="3">
        <f t="shared" si="163"/>
        <v>1770.16</v>
      </c>
      <c r="R2083" s="4">
        <f t="shared" si="164"/>
        <v>0.46100000000000002</v>
      </c>
      <c r="S2083" s="2">
        <v>6</v>
      </c>
      <c r="T2083" t="s">
        <v>46</v>
      </c>
      <c r="U2083">
        <v>5</v>
      </c>
    </row>
    <row r="2084" spans="1:21" x14ac:dyDescent="0.25">
      <c r="A2084" s="1">
        <v>46036</v>
      </c>
      <c r="B2084" t="s">
        <v>2275</v>
      </c>
      <c r="C2084" t="s">
        <v>381</v>
      </c>
      <c r="D2084" t="s">
        <v>43</v>
      </c>
      <c r="E2084" t="s">
        <v>25</v>
      </c>
      <c r="F2084" t="s">
        <v>64</v>
      </c>
      <c r="G2084" t="s">
        <v>44</v>
      </c>
      <c r="H2084" t="s">
        <v>124</v>
      </c>
      <c r="I2084" t="s">
        <v>74</v>
      </c>
      <c r="J2084" s="2">
        <v>8</v>
      </c>
      <c r="K2084" s="3">
        <v>6170.53</v>
      </c>
      <c r="L2084" s="3">
        <v>4589.62</v>
      </c>
      <c r="M2084" s="4">
        <v>3.0099999999999998E-2</v>
      </c>
      <c r="N2084" s="3">
        <f t="shared" si="160"/>
        <v>49364.24</v>
      </c>
      <c r="O2084" s="3">
        <f t="shared" si="161"/>
        <v>47878.38</v>
      </c>
      <c r="P2084" s="3">
        <f t="shared" si="162"/>
        <v>36716.959999999999</v>
      </c>
      <c r="Q2084" s="3">
        <f t="shared" si="163"/>
        <v>11161.42</v>
      </c>
      <c r="R2084" s="4">
        <f t="shared" si="164"/>
        <v>0.2331</v>
      </c>
      <c r="S2084" s="2">
        <v>2</v>
      </c>
      <c r="T2084" t="s">
        <v>46</v>
      </c>
      <c r="U2084">
        <v>3</v>
      </c>
    </row>
    <row r="2085" spans="1:21" x14ac:dyDescent="0.25">
      <c r="A2085" s="1">
        <v>46062</v>
      </c>
      <c r="B2085" t="s">
        <v>2276</v>
      </c>
      <c r="C2085" t="s">
        <v>308</v>
      </c>
      <c r="D2085" t="s">
        <v>101</v>
      </c>
      <c r="E2085" t="s">
        <v>35</v>
      </c>
      <c r="F2085" t="s">
        <v>58</v>
      </c>
      <c r="G2085" t="s">
        <v>37</v>
      </c>
      <c r="H2085" t="s">
        <v>38</v>
      </c>
      <c r="I2085" t="s">
        <v>94</v>
      </c>
      <c r="J2085" s="2">
        <v>3</v>
      </c>
      <c r="K2085" s="3">
        <v>424.66</v>
      </c>
      <c r="L2085" s="3">
        <v>197.37</v>
      </c>
      <c r="M2085" s="4">
        <v>0.1225</v>
      </c>
      <c r="N2085" s="3">
        <f t="shared" si="160"/>
        <v>1273.98</v>
      </c>
      <c r="O2085" s="3">
        <f t="shared" si="161"/>
        <v>1117.92</v>
      </c>
      <c r="P2085" s="3">
        <f t="shared" si="162"/>
        <v>592.11</v>
      </c>
      <c r="Q2085" s="3">
        <f t="shared" si="163"/>
        <v>525.80999999999995</v>
      </c>
      <c r="R2085" s="4">
        <f t="shared" si="164"/>
        <v>0.4703</v>
      </c>
      <c r="S2085" s="2">
        <v>2</v>
      </c>
      <c r="T2085" t="s">
        <v>46</v>
      </c>
      <c r="U2085">
        <v>4</v>
      </c>
    </row>
    <row r="2086" spans="1:21" x14ac:dyDescent="0.25">
      <c r="A2086" s="1">
        <v>46128</v>
      </c>
      <c r="B2086" t="s">
        <v>2277</v>
      </c>
      <c r="C2086" t="s">
        <v>523</v>
      </c>
      <c r="D2086" t="s">
        <v>34</v>
      </c>
      <c r="E2086" t="s">
        <v>35</v>
      </c>
      <c r="F2086" t="s">
        <v>64</v>
      </c>
      <c r="G2086" t="s">
        <v>37</v>
      </c>
      <c r="H2086" t="s">
        <v>104</v>
      </c>
      <c r="I2086" t="s">
        <v>60</v>
      </c>
      <c r="J2086" s="2">
        <v>2</v>
      </c>
      <c r="K2086" s="3">
        <v>315.52</v>
      </c>
      <c r="L2086" s="3">
        <v>141.04</v>
      </c>
      <c r="M2086" s="4">
        <v>2.8799999999999999E-2</v>
      </c>
      <c r="N2086" s="3">
        <f t="shared" si="160"/>
        <v>631.04</v>
      </c>
      <c r="O2086" s="3">
        <f t="shared" si="161"/>
        <v>612.87</v>
      </c>
      <c r="P2086" s="3">
        <f t="shared" si="162"/>
        <v>282.08</v>
      </c>
      <c r="Q2086" s="3">
        <f t="shared" si="163"/>
        <v>330.79</v>
      </c>
      <c r="R2086" s="4">
        <f t="shared" si="164"/>
        <v>0.53969999999999996</v>
      </c>
      <c r="S2086" s="2">
        <v>4</v>
      </c>
      <c r="T2086" t="s">
        <v>46</v>
      </c>
      <c r="U2086">
        <v>4</v>
      </c>
    </row>
    <row r="2087" spans="1:21" x14ac:dyDescent="0.25">
      <c r="A2087" s="1">
        <v>46222</v>
      </c>
      <c r="B2087" t="s">
        <v>2278</v>
      </c>
      <c r="C2087" t="s">
        <v>329</v>
      </c>
      <c r="D2087" t="s">
        <v>43</v>
      </c>
      <c r="E2087" t="s">
        <v>25</v>
      </c>
      <c r="F2087" t="s">
        <v>58</v>
      </c>
      <c r="G2087" t="s">
        <v>51</v>
      </c>
      <c r="H2087" t="s">
        <v>59</v>
      </c>
      <c r="I2087" t="s">
        <v>94</v>
      </c>
      <c r="J2087" s="2">
        <v>2</v>
      </c>
      <c r="K2087" s="3">
        <v>2269.2800000000002</v>
      </c>
      <c r="L2087" s="3">
        <v>1482.4</v>
      </c>
      <c r="M2087" s="4">
        <v>0.1016</v>
      </c>
      <c r="N2087" s="3">
        <f t="shared" si="160"/>
        <v>4538.5600000000004</v>
      </c>
      <c r="O2087" s="3">
        <f t="shared" si="161"/>
        <v>4077.44</v>
      </c>
      <c r="P2087" s="3">
        <f t="shared" si="162"/>
        <v>2964.8</v>
      </c>
      <c r="Q2087" s="3">
        <f t="shared" si="163"/>
        <v>1112.6400000000001</v>
      </c>
      <c r="R2087" s="4">
        <f t="shared" si="164"/>
        <v>0.27289999999999998</v>
      </c>
      <c r="S2087" s="2">
        <v>5</v>
      </c>
      <c r="T2087" t="s">
        <v>46</v>
      </c>
      <c r="U2087">
        <v>5</v>
      </c>
    </row>
    <row r="2088" spans="1:21" x14ac:dyDescent="0.25">
      <c r="A2088" s="1">
        <v>46038</v>
      </c>
      <c r="B2088" t="s">
        <v>2279</v>
      </c>
      <c r="C2088" t="s">
        <v>216</v>
      </c>
      <c r="D2088" t="s">
        <v>130</v>
      </c>
      <c r="E2088" t="s">
        <v>72</v>
      </c>
      <c r="F2088" t="s">
        <v>58</v>
      </c>
      <c r="G2088" t="s">
        <v>37</v>
      </c>
      <c r="H2088" t="s">
        <v>104</v>
      </c>
      <c r="I2088" t="s">
        <v>77</v>
      </c>
      <c r="J2088" s="2">
        <v>2</v>
      </c>
      <c r="K2088" s="3">
        <v>332.7</v>
      </c>
      <c r="L2088" s="3">
        <v>140.54</v>
      </c>
      <c r="M2088" s="4">
        <v>0.1371</v>
      </c>
      <c r="N2088" s="3">
        <f t="shared" si="160"/>
        <v>665.4</v>
      </c>
      <c r="O2088" s="3">
        <f t="shared" si="161"/>
        <v>574.16999999999996</v>
      </c>
      <c r="P2088" s="3">
        <f t="shared" si="162"/>
        <v>281.08</v>
      </c>
      <c r="Q2088" s="3">
        <f t="shared" si="163"/>
        <v>293.08999999999997</v>
      </c>
      <c r="R2088" s="4">
        <f t="shared" si="164"/>
        <v>0.51049999999999995</v>
      </c>
      <c r="S2088" s="2">
        <v>8</v>
      </c>
      <c r="T2088" t="s">
        <v>46</v>
      </c>
      <c r="U2088">
        <v>3</v>
      </c>
    </row>
    <row r="2089" spans="1:21" x14ac:dyDescent="0.25">
      <c r="A2089" s="1">
        <v>46028</v>
      </c>
      <c r="B2089" t="s">
        <v>2280</v>
      </c>
      <c r="C2089" t="s">
        <v>500</v>
      </c>
      <c r="D2089" t="s">
        <v>85</v>
      </c>
      <c r="E2089" t="s">
        <v>50</v>
      </c>
      <c r="F2089" t="s">
        <v>58</v>
      </c>
      <c r="G2089" t="s">
        <v>27</v>
      </c>
      <c r="H2089" t="s">
        <v>68</v>
      </c>
      <c r="I2089" t="s">
        <v>60</v>
      </c>
      <c r="J2089" s="2">
        <v>6</v>
      </c>
      <c r="K2089" s="3">
        <v>1319.29</v>
      </c>
      <c r="L2089" s="3">
        <v>798.99</v>
      </c>
      <c r="M2089" s="4">
        <v>3.5000000000000003E-2</v>
      </c>
      <c r="N2089" s="3">
        <f t="shared" si="160"/>
        <v>7915.74</v>
      </c>
      <c r="O2089" s="3">
        <f t="shared" si="161"/>
        <v>7638.69</v>
      </c>
      <c r="P2089" s="3">
        <f t="shared" si="162"/>
        <v>4793.9399999999996</v>
      </c>
      <c r="Q2089" s="3">
        <f t="shared" si="163"/>
        <v>2844.75</v>
      </c>
      <c r="R2089" s="4">
        <f t="shared" si="164"/>
        <v>0.37240000000000001</v>
      </c>
      <c r="S2089" s="2">
        <v>12</v>
      </c>
      <c r="T2089" t="s">
        <v>30</v>
      </c>
      <c r="U2089">
        <v>5</v>
      </c>
    </row>
    <row r="2090" spans="1:21" x14ac:dyDescent="0.25">
      <c r="A2090" s="1">
        <v>46133</v>
      </c>
      <c r="B2090" t="s">
        <v>2281</v>
      </c>
      <c r="C2090" t="s">
        <v>336</v>
      </c>
      <c r="D2090" t="s">
        <v>85</v>
      </c>
      <c r="E2090" t="s">
        <v>50</v>
      </c>
      <c r="F2090" t="s">
        <v>36</v>
      </c>
      <c r="G2090" t="s">
        <v>51</v>
      </c>
      <c r="H2090" t="s">
        <v>116</v>
      </c>
      <c r="I2090" t="s">
        <v>53</v>
      </c>
      <c r="J2090" s="2">
        <v>4</v>
      </c>
      <c r="K2090" s="3">
        <v>2814.48</v>
      </c>
      <c r="L2090" s="3">
        <v>1750.04</v>
      </c>
      <c r="M2090" s="4">
        <v>5.9299999999999999E-2</v>
      </c>
      <c r="N2090" s="3">
        <f t="shared" si="160"/>
        <v>11257.92</v>
      </c>
      <c r="O2090" s="3">
        <f t="shared" si="161"/>
        <v>10590.33</v>
      </c>
      <c r="P2090" s="3">
        <f t="shared" si="162"/>
        <v>7000.16</v>
      </c>
      <c r="Q2090" s="3">
        <f t="shared" si="163"/>
        <v>3590.17</v>
      </c>
      <c r="R2090" s="4">
        <f t="shared" si="164"/>
        <v>0.33900000000000002</v>
      </c>
      <c r="S2090" s="2">
        <v>8</v>
      </c>
      <c r="T2090" t="s">
        <v>46</v>
      </c>
      <c r="U2090">
        <v>3</v>
      </c>
    </row>
    <row r="2091" spans="1:21" x14ac:dyDescent="0.25">
      <c r="A2091" s="1">
        <v>46124</v>
      </c>
      <c r="B2091" t="s">
        <v>2282</v>
      </c>
      <c r="C2091" t="s">
        <v>180</v>
      </c>
      <c r="D2091" t="s">
        <v>34</v>
      </c>
      <c r="E2091" t="s">
        <v>35</v>
      </c>
      <c r="F2091" t="s">
        <v>58</v>
      </c>
      <c r="G2091" t="s">
        <v>44</v>
      </c>
      <c r="H2091" t="s">
        <v>45</v>
      </c>
      <c r="I2091" t="s">
        <v>94</v>
      </c>
      <c r="J2091" s="2">
        <v>7</v>
      </c>
      <c r="K2091" s="3">
        <v>391.4</v>
      </c>
      <c r="L2091" s="3">
        <v>201.62</v>
      </c>
      <c r="M2091" s="4">
        <v>0.14430000000000001</v>
      </c>
      <c r="N2091" s="3">
        <f t="shared" si="160"/>
        <v>2739.8</v>
      </c>
      <c r="O2091" s="3">
        <f t="shared" si="161"/>
        <v>2344.4499999999998</v>
      </c>
      <c r="P2091" s="3">
        <f t="shared" si="162"/>
        <v>1411.34</v>
      </c>
      <c r="Q2091" s="3">
        <f t="shared" si="163"/>
        <v>933.11</v>
      </c>
      <c r="R2091" s="4">
        <f t="shared" si="164"/>
        <v>0.39800000000000002</v>
      </c>
      <c r="S2091" s="2">
        <v>6</v>
      </c>
      <c r="T2091" t="s">
        <v>46</v>
      </c>
      <c r="U2091">
        <v>5</v>
      </c>
    </row>
    <row r="2092" spans="1:21" x14ac:dyDescent="0.25">
      <c r="A2092" s="1">
        <v>46165</v>
      </c>
      <c r="B2092" t="s">
        <v>2283</v>
      </c>
      <c r="C2092" t="s">
        <v>456</v>
      </c>
      <c r="D2092" t="s">
        <v>139</v>
      </c>
      <c r="E2092" t="s">
        <v>72</v>
      </c>
      <c r="F2092" t="s">
        <v>36</v>
      </c>
      <c r="G2092" t="s">
        <v>44</v>
      </c>
      <c r="H2092" t="s">
        <v>124</v>
      </c>
      <c r="I2092" t="s">
        <v>87</v>
      </c>
      <c r="J2092" s="2">
        <v>3</v>
      </c>
      <c r="K2092" s="3">
        <v>6209.63</v>
      </c>
      <c r="L2092" s="3">
        <v>4620.76</v>
      </c>
      <c r="M2092" s="4">
        <v>4.2000000000000003E-2</v>
      </c>
      <c r="N2092" s="3">
        <f t="shared" si="160"/>
        <v>18628.89</v>
      </c>
      <c r="O2092" s="3">
        <f t="shared" si="161"/>
        <v>17846.48</v>
      </c>
      <c r="P2092" s="3">
        <f t="shared" si="162"/>
        <v>13862.28</v>
      </c>
      <c r="Q2092" s="3">
        <f t="shared" si="163"/>
        <v>3984.2</v>
      </c>
      <c r="R2092" s="4">
        <f t="shared" si="164"/>
        <v>0.22320000000000001</v>
      </c>
      <c r="S2092" s="2">
        <v>2</v>
      </c>
      <c r="T2092" t="s">
        <v>46</v>
      </c>
      <c r="U2092">
        <v>5</v>
      </c>
    </row>
    <row r="2093" spans="1:21" x14ac:dyDescent="0.25">
      <c r="A2093" s="1">
        <v>46124</v>
      </c>
      <c r="B2093" t="s">
        <v>2284</v>
      </c>
      <c r="C2093" t="s">
        <v>500</v>
      </c>
      <c r="D2093" t="s">
        <v>34</v>
      </c>
      <c r="E2093" t="s">
        <v>35</v>
      </c>
      <c r="F2093" t="s">
        <v>64</v>
      </c>
      <c r="G2093" t="s">
        <v>51</v>
      </c>
      <c r="H2093" t="s">
        <v>59</v>
      </c>
      <c r="I2093" t="s">
        <v>39</v>
      </c>
      <c r="J2093" s="2">
        <v>5</v>
      </c>
      <c r="K2093" s="3">
        <v>2225.7199999999998</v>
      </c>
      <c r="L2093" s="3">
        <v>1452.07</v>
      </c>
      <c r="M2093" s="4">
        <v>8.1199999999999994E-2</v>
      </c>
      <c r="N2093" s="3">
        <f t="shared" si="160"/>
        <v>11128.6</v>
      </c>
      <c r="O2093" s="3">
        <f t="shared" si="161"/>
        <v>10224.959999999999</v>
      </c>
      <c r="P2093" s="3">
        <f t="shared" si="162"/>
        <v>7260.35</v>
      </c>
      <c r="Q2093" s="3">
        <f t="shared" si="163"/>
        <v>2964.61</v>
      </c>
      <c r="R2093" s="4">
        <f t="shared" si="164"/>
        <v>0.28989999999999999</v>
      </c>
      <c r="S2093" s="2">
        <v>4</v>
      </c>
      <c r="T2093" t="s">
        <v>46</v>
      </c>
      <c r="U2093">
        <v>3</v>
      </c>
    </row>
    <row r="2094" spans="1:21" x14ac:dyDescent="0.25">
      <c r="A2094" s="1">
        <v>46166</v>
      </c>
      <c r="B2094" t="s">
        <v>2285</v>
      </c>
      <c r="C2094" t="s">
        <v>103</v>
      </c>
      <c r="D2094" t="s">
        <v>113</v>
      </c>
      <c r="E2094" t="s">
        <v>50</v>
      </c>
      <c r="F2094" t="s">
        <v>58</v>
      </c>
      <c r="G2094" t="s">
        <v>37</v>
      </c>
      <c r="H2094" t="s">
        <v>104</v>
      </c>
      <c r="I2094" t="s">
        <v>29</v>
      </c>
      <c r="J2094" s="2">
        <v>7</v>
      </c>
      <c r="K2094" s="3">
        <v>311.19</v>
      </c>
      <c r="L2094" s="3">
        <v>136.38</v>
      </c>
      <c r="M2094" s="4">
        <v>0.16400000000000001</v>
      </c>
      <c r="N2094" s="3">
        <f t="shared" si="160"/>
        <v>2178.33</v>
      </c>
      <c r="O2094" s="3">
        <f t="shared" si="161"/>
        <v>1821.08</v>
      </c>
      <c r="P2094" s="3">
        <f t="shared" si="162"/>
        <v>954.66</v>
      </c>
      <c r="Q2094" s="3">
        <f t="shared" si="163"/>
        <v>866.42</v>
      </c>
      <c r="R2094" s="4">
        <f t="shared" si="164"/>
        <v>0.4758</v>
      </c>
      <c r="S2094" s="2">
        <v>9</v>
      </c>
      <c r="T2094" t="s">
        <v>46</v>
      </c>
      <c r="U2094">
        <v>4</v>
      </c>
    </row>
    <row r="2095" spans="1:21" x14ac:dyDescent="0.25">
      <c r="A2095" s="1">
        <v>46189</v>
      </c>
      <c r="B2095" t="s">
        <v>2286</v>
      </c>
      <c r="C2095" t="s">
        <v>55</v>
      </c>
      <c r="D2095" t="s">
        <v>43</v>
      </c>
      <c r="E2095" t="s">
        <v>25</v>
      </c>
      <c r="F2095" t="s">
        <v>36</v>
      </c>
      <c r="G2095" t="s">
        <v>44</v>
      </c>
      <c r="H2095" t="s">
        <v>45</v>
      </c>
      <c r="I2095" t="s">
        <v>60</v>
      </c>
      <c r="J2095" s="2">
        <v>7</v>
      </c>
      <c r="K2095" s="3">
        <v>384.6</v>
      </c>
      <c r="L2095" s="3">
        <v>220</v>
      </c>
      <c r="M2095" s="4">
        <v>3.9800000000000002E-2</v>
      </c>
      <c r="N2095" s="3">
        <f t="shared" si="160"/>
        <v>2692.2</v>
      </c>
      <c r="O2095" s="3">
        <f t="shared" si="161"/>
        <v>2585.0500000000002</v>
      </c>
      <c r="P2095" s="3">
        <f t="shared" si="162"/>
        <v>1540</v>
      </c>
      <c r="Q2095" s="3">
        <f t="shared" si="163"/>
        <v>1045.05</v>
      </c>
      <c r="R2095" s="4">
        <f t="shared" si="164"/>
        <v>0.40429999999999999</v>
      </c>
      <c r="S2095" s="2">
        <v>13</v>
      </c>
      <c r="T2095" t="s">
        <v>30</v>
      </c>
      <c r="U2095">
        <v>2</v>
      </c>
    </row>
    <row r="2096" spans="1:21" x14ac:dyDescent="0.25">
      <c r="A2096" s="1">
        <v>46092</v>
      </c>
      <c r="B2096" t="s">
        <v>2287</v>
      </c>
      <c r="C2096" t="s">
        <v>275</v>
      </c>
      <c r="D2096" t="s">
        <v>101</v>
      </c>
      <c r="E2096" t="s">
        <v>35</v>
      </c>
      <c r="F2096" t="s">
        <v>58</v>
      </c>
      <c r="G2096" t="s">
        <v>51</v>
      </c>
      <c r="H2096" t="s">
        <v>52</v>
      </c>
      <c r="I2096" t="s">
        <v>39</v>
      </c>
      <c r="J2096" s="2">
        <v>2</v>
      </c>
      <c r="K2096" s="3">
        <v>271.02</v>
      </c>
      <c r="L2096" s="3">
        <v>118.33</v>
      </c>
      <c r="M2096" s="4">
        <v>0.1353</v>
      </c>
      <c r="N2096" s="3">
        <f t="shared" si="160"/>
        <v>542.04</v>
      </c>
      <c r="O2096" s="3">
        <f t="shared" si="161"/>
        <v>468.7</v>
      </c>
      <c r="P2096" s="3">
        <f t="shared" si="162"/>
        <v>236.66</v>
      </c>
      <c r="Q2096" s="3">
        <f t="shared" si="163"/>
        <v>232.04</v>
      </c>
      <c r="R2096" s="4">
        <f t="shared" si="164"/>
        <v>0.49509999999999998</v>
      </c>
      <c r="S2096" s="2">
        <v>13</v>
      </c>
      <c r="T2096" t="s">
        <v>30</v>
      </c>
      <c r="U2096">
        <v>2</v>
      </c>
    </row>
    <row r="2097" spans="1:22" x14ac:dyDescent="0.25">
      <c r="A2097" s="1">
        <v>46223</v>
      </c>
      <c r="B2097" t="s">
        <v>2288</v>
      </c>
      <c r="C2097" t="s">
        <v>70</v>
      </c>
      <c r="D2097" t="s">
        <v>43</v>
      </c>
      <c r="E2097" t="s">
        <v>25</v>
      </c>
      <c r="F2097" t="s">
        <v>64</v>
      </c>
      <c r="G2097" t="s">
        <v>51</v>
      </c>
      <c r="H2097" t="s">
        <v>116</v>
      </c>
      <c r="I2097" t="s">
        <v>39</v>
      </c>
      <c r="J2097" s="2">
        <v>3</v>
      </c>
      <c r="K2097" s="3">
        <v>2836.3</v>
      </c>
      <c r="L2097" s="3">
        <v>1858.41</v>
      </c>
      <c r="M2097" s="4">
        <v>0</v>
      </c>
      <c r="N2097" s="3">
        <f t="shared" si="160"/>
        <v>8508.9</v>
      </c>
      <c r="O2097" s="3">
        <f t="shared" si="161"/>
        <v>8508.9</v>
      </c>
      <c r="P2097" s="3">
        <f t="shared" si="162"/>
        <v>5575.23</v>
      </c>
      <c r="Q2097" s="3">
        <f t="shared" si="163"/>
        <v>2933.67</v>
      </c>
      <c r="R2097" s="4">
        <f t="shared" si="164"/>
        <v>0.3448</v>
      </c>
      <c r="S2097" s="2">
        <v>9</v>
      </c>
      <c r="T2097" t="s">
        <v>46</v>
      </c>
      <c r="U2097">
        <v>5</v>
      </c>
    </row>
    <row r="2098" spans="1:22" x14ac:dyDescent="0.25">
      <c r="A2098" s="1">
        <v>46111</v>
      </c>
      <c r="B2098" t="s">
        <v>2289</v>
      </c>
      <c r="C2098" t="s">
        <v>76</v>
      </c>
      <c r="D2098" t="s">
        <v>97</v>
      </c>
      <c r="E2098" t="s">
        <v>57</v>
      </c>
      <c r="F2098" t="s">
        <v>64</v>
      </c>
      <c r="G2098" t="s">
        <v>27</v>
      </c>
      <c r="H2098" t="s">
        <v>68</v>
      </c>
      <c r="I2098" t="s">
        <v>53</v>
      </c>
      <c r="J2098" s="2">
        <v>5</v>
      </c>
      <c r="K2098" s="3">
        <v>1234.27</v>
      </c>
      <c r="L2098" s="3">
        <v>752.57</v>
      </c>
      <c r="M2098" s="4">
        <v>0</v>
      </c>
      <c r="N2098" s="3">
        <f t="shared" si="160"/>
        <v>6171.35</v>
      </c>
      <c r="O2098" s="3">
        <f t="shared" si="161"/>
        <v>6171.35</v>
      </c>
      <c r="P2098" s="3">
        <f t="shared" si="162"/>
        <v>3762.85</v>
      </c>
      <c r="Q2098" s="3">
        <f t="shared" si="163"/>
        <v>2408.5</v>
      </c>
      <c r="R2098" s="4">
        <f t="shared" si="164"/>
        <v>0.39029999999999998</v>
      </c>
      <c r="S2098" s="2">
        <v>4</v>
      </c>
      <c r="T2098" t="s">
        <v>46</v>
      </c>
      <c r="U2098">
        <v>3</v>
      </c>
    </row>
    <row r="2099" spans="1:22" x14ac:dyDescent="0.25">
      <c r="A2099" s="1">
        <v>46162</v>
      </c>
      <c r="B2099" t="s">
        <v>2290</v>
      </c>
      <c r="C2099" t="s">
        <v>76</v>
      </c>
      <c r="D2099" t="s">
        <v>101</v>
      </c>
      <c r="E2099" t="s">
        <v>35</v>
      </c>
      <c r="F2099" t="s">
        <v>64</v>
      </c>
      <c r="G2099" t="s">
        <v>51</v>
      </c>
      <c r="H2099" t="s">
        <v>52</v>
      </c>
      <c r="I2099" t="s">
        <v>87</v>
      </c>
      <c r="J2099" s="2">
        <v>5</v>
      </c>
      <c r="K2099" s="3">
        <v>272.02</v>
      </c>
      <c r="L2099" s="3">
        <v>113.33</v>
      </c>
      <c r="M2099" s="4">
        <v>9.4700000000000006E-2</v>
      </c>
      <c r="N2099" s="3">
        <f t="shared" si="160"/>
        <v>1360.1</v>
      </c>
      <c r="O2099" s="3">
        <f t="shared" si="161"/>
        <v>1231.3</v>
      </c>
      <c r="P2099" s="3">
        <f t="shared" si="162"/>
        <v>566.65</v>
      </c>
      <c r="Q2099" s="3">
        <f t="shared" si="163"/>
        <v>664.65</v>
      </c>
      <c r="R2099" s="4">
        <f t="shared" si="164"/>
        <v>0.53979999999999995</v>
      </c>
      <c r="S2099" s="2">
        <v>4</v>
      </c>
      <c r="T2099" t="s">
        <v>46</v>
      </c>
      <c r="U2099">
        <v>5</v>
      </c>
    </row>
    <row r="2100" spans="1:22" x14ac:dyDescent="0.25">
      <c r="A2100" s="1">
        <v>46186</v>
      </c>
      <c r="B2100" t="s">
        <v>2291</v>
      </c>
      <c r="C2100" t="s">
        <v>214</v>
      </c>
      <c r="D2100" t="s">
        <v>207</v>
      </c>
      <c r="E2100" t="s">
        <v>35</v>
      </c>
      <c r="F2100" t="s">
        <v>26</v>
      </c>
      <c r="G2100" t="s">
        <v>51</v>
      </c>
      <c r="H2100" t="s">
        <v>52</v>
      </c>
      <c r="I2100" t="s">
        <v>53</v>
      </c>
      <c r="J2100" s="2">
        <v>3</v>
      </c>
      <c r="K2100" s="3">
        <v>250.89</v>
      </c>
      <c r="L2100" s="3">
        <v>123.9</v>
      </c>
      <c r="M2100" s="4">
        <v>0</v>
      </c>
      <c r="N2100" s="3">
        <f t="shared" si="160"/>
        <v>752.67</v>
      </c>
      <c r="O2100" s="3">
        <f t="shared" si="161"/>
        <v>752.67</v>
      </c>
      <c r="P2100" s="3">
        <f t="shared" si="162"/>
        <v>371.7</v>
      </c>
      <c r="Q2100" s="3">
        <f t="shared" si="163"/>
        <v>380.97</v>
      </c>
      <c r="R2100" s="4">
        <f t="shared" si="164"/>
        <v>0.50619999999999998</v>
      </c>
      <c r="S2100" s="2">
        <v>3</v>
      </c>
      <c r="T2100" t="s">
        <v>46</v>
      </c>
      <c r="U2100">
        <v>2</v>
      </c>
    </row>
    <row r="2101" spans="1:22" x14ac:dyDescent="0.25">
      <c r="A2101" s="1">
        <v>46203</v>
      </c>
      <c r="B2101" t="s">
        <v>2292</v>
      </c>
      <c r="C2101" t="s">
        <v>527</v>
      </c>
      <c r="D2101" t="s">
        <v>63</v>
      </c>
      <c r="E2101" t="s">
        <v>35</v>
      </c>
      <c r="F2101" t="s">
        <v>36</v>
      </c>
      <c r="G2101" t="s">
        <v>37</v>
      </c>
      <c r="H2101" t="s">
        <v>38</v>
      </c>
      <c r="I2101" t="s">
        <v>92</v>
      </c>
      <c r="J2101" s="2">
        <v>6</v>
      </c>
      <c r="K2101" s="3">
        <v>414.19</v>
      </c>
      <c r="L2101" s="3">
        <v>192.63</v>
      </c>
      <c r="M2101" s="4">
        <v>0</v>
      </c>
      <c r="N2101" s="3">
        <f t="shared" si="160"/>
        <v>2485.14</v>
      </c>
      <c r="O2101" s="3">
        <f t="shared" si="161"/>
        <v>2485.14</v>
      </c>
      <c r="P2101" s="3">
        <f t="shared" si="162"/>
        <v>1155.78</v>
      </c>
      <c r="Q2101" s="3">
        <f t="shared" si="163"/>
        <v>1329.36</v>
      </c>
      <c r="R2101" s="4">
        <f t="shared" si="164"/>
        <v>0.53490000000000004</v>
      </c>
      <c r="S2101" s="2">
        <v>4</v>
      </c>
      <c r="T2101" t="s">
        <v>46</v>
      </c>
      <c r="U2101">
        <v>2</v>
      </c>
    </row>
    <row r="2102" spans="1:22" x14ac:dyDescent="0.25">
      <c r="A2102" s="1">
        <v>46093</v>
      </c>
      <c r="B2102" t="s">
        <v>2293</v>
      </c>
      <c r="C2102" t="s">
        <v>148</v>
      </c>
      <c r="D2102" t="s">
        <v>43</v>
      </c>
      <c r="E2102" t="s">
        <v>25</v>
      </c>
      <c r="F2102" t="s">
        <v>36</v>
      </c>
      <c r="G2102" t="s">
        <v>44</v>
      </c>
      <c r="H2102" t="s">
        <v>124</v>
      </c>
      <c r="I2102" t="s">
        <v>60</v>
      </c>
      <c r="J2102" s="2">
        <v>2</v>
      </c>
      <c r="K2102" s="3">
        <v>5698.41</v>
      </c>
      <c r="L2102" s="3">
        <v>4440.75</v>
      </c>
      <c r="M2102" s="4">
        <v>0</v>
      </c>
      <c r="N2102" s="3">
        <f t="shared" si="160"/>
        <v>11396.82</v>
      </c>
      <c r="O2102" s="3">
        <f t="shared" si="161"/>
        <v>11396.82</v>
      </c>
      <c r="P2102" s="3">
        <f t="shared" si="162"/>
        <v>8881.5</v>
      </c>
      <c r="Q2102" s="3">
        <f t="shared" si="163"/>
        <v>2515.3200000000002</v>
      </c>
      <c r="R2102" s="4">
        <f t="shared" si="164"/>
        <v>0.22070000000000001</v>
      </c>
      <c r="S2102" s="2">
        <v>8</v>
      </c>
      <c r="T2102" t="s">
        <v>46</v>
      </c>
      <c r="U2102">
        <v>5</v>
      </c>
    </row>
    <row r="2103" spans="1:22" x14ac:dyDescent="0.25">
      <c r="A2103" s="1">
        <v>46169</v>
      </c>
      <c r="B2103" t="s">
        <v>2294</v>
      </c>
      <c r="C2103" t="s">
        <v>96</v>
      </c>
      <c r="D2103" t="s">
        <v>139</v>
      </c>
      <c r="E2103" t="s">
        <v>72</v>
      </c>
      <c r="F2103" t="s">
        <v>26</v>
      </c>
      <c r="G2103" t="s">
        <v>27</v>
      </c>
      <c r="H2103" t="s">
        <v>68</v>
      </c>
      <c r="I2103" t="s">
        <v>39</v>
      </c>
      <c r="J2103" s="2">
        <v>4</v>
      </c>
      <c r="K2103" s="3">
        <v>1252.26</v>
      </c>
      <c r="L2103" s="3">
        <v>822.96</v>
      </c>
      <c r="M2103" s="4">
        <v>9.7699999999999995E-2</v>
      </c>
      <c r="N2103" s="3">
        <f t="shared" si="160"/>
        <v>5009.04</v>
      </c>
      <c r="O2103" s="3">
        <f t="shared" si="161"/>
        <v>4519.66</v>
      </c>
      <c r="P2103" s="3">
        <f t="shared" si="162"/>
        <v>3291.84</v>
      </c>
      <c r="Q2103" s="3">
        <f t="shared" si="163"/>
        <v>1227.82</v>
      </c>
      <c r="R2103" s="4">
        <f t="shared" si="164"/>
        <v>0.2717</v>
      </c>
      <c r="S2103" s="2">
        <v>3</v>
      </c>
      <c r="T2103" t="s">
        <v>46</v>
      </c>
      <c r="U2103">
        <v>2</v>
      </c>
    </row>
    <row r="2104" spans="1:22" x14ac:dyDescent="0.25">
      <c r="A2104" s="1">
        <v>46185</v>
      </c>
      <c r="B2104" t="s">
        <v>2295</v>
      </c>
      <c r="C2104" t="s">
        <v>174</v>
      </c>
      <c r="D2104" t="s">
        <v>207</v>
      </c>
      <c r="E2104" t="s">
        <v>35</v>
      </c>
      <c r="F2104" t="s">
        <v>58</v>
      </c>
      <c r="G2104" t="s">
        <v>37</v>
      </c>
      <c r="H2104" t="s">
        <v>38</v>
      </c>
      <c r="I2104" t="s">
        <v>60</v>
      </c>
      <c r="J2104" s="2">
        <v>8</v>
      </c>
      <c r="K2104" s="3">
        <v>451.98</v>
      </c>
      <c r="L2104" s="3">
        <v>195.92</v>
      </c>
      <c r="M2104" s="4">
        <v>3.5000000000000003E-2</v>
      </c>
      <c r="N2104" s="3">
        <f t="shared" si="160"/>
        <v>3615.84</v>
      </c>
      <c r="O2104" s="3">
        <f t="shared" si="161"/>
        <v>3489.29</v>
      </c>
      <c r="P2104" s="3">
        <f t="shared" si="162"/>
        <v>1567.36</v>
      </c>
      <c r="Q2104" s="3">
        <f t="shared" si="163"/>
        <v>1921.93</v>
      </c>
      <c r="R2104" s="4">
        <f t="shared" si="164"/>
        <v>0.55079999999999996</v>
      </c>
      <c r="S2104" s="2">
        <v>12</v>
      </c>
      <c r="T2104" t="s">
        <v>30</v>
      </c>
      <c r="U2104">
        <v>3</v>
      </c>
    </row>
    <row r="2105" spans="1:22" x14ac:dyDescent="0.25">
      <c r="A2105" s="1">
        <v>46125</v>
      </c>
      <c r="B2105" t="s">
        <v>2296</v>
      </c>
      <c r="C2105" t="s">
        <v>523</v>
      </c>
      <c r="D2105" t="s">
        <v>63</v>
      </c>
      <c r="E2105" t="s">
        <v>35</v>
      </c>
      <c r="F2105" t="s">
        <v>36</v>
      </c>
      <c r="G2105" t="s">
        <v>37</v>
      </c>
      <c r="H2105" t="s">
        <v>104</v>
      </c>
      <c r="I2105" t="s">
        <v>74</v>
      </c>
      <c r="J2105" s="2">
        <v>5</v>
      </c>
      <c r="K2105" s="3">
        <v>337.31</v>
      </c>
      <c r="L2105" s="3">
        <v>130.59</v>
      </c>
      <c r="M2105" s="4">
        <v>5.6000000000000001E-2</v>
      </c>
      <c r="N2105" s="3">
        <f t="shared" si="160"/>
        <v>1686.55</v>
      </c>
      <c r="O2105" s="3">
        <f t="shared" si="161"/>
        <v>1592.1</v>
      </c>
      <c r="P2105" s="3">
        <f t="shared" si="162"/>
        <v>652.95000000000005</v>
      </c>
      <c r="Q2105" s="3">
        <f t="shared" si="163"/>
        <v>939.15</v>
      </c>
      <c r="R2105" s="4">
        <f t="shared" si="164"/>
        <v>0.58989999999999998</v>
      </c>
      <c r="S2105" s="2">
        <v>7</v>
      </c>
      <c r="T2105" t="s">
        <v>46</v>
      </c>
      <c r="U2105">
        <v>2</v>
      </c>
    </row>
    <row r="2106" spans="1:22" x14ac:dyDescent="0.25">
      <c r="A2106" s="1">
        <v>46081</v>
      </c>
      <c r="B2106" t="s">
        <v>2297</v>
      </c>
      <c r="C2106" t="s">
        <v>82</v>
      </c>
      <c r="D2106" t="s">
        <v>113</v>
      </c>
      <c r="E2106" t="s">
        <v>50</v>
      </c>
      <c r="F2106" t="s">
        <v>36</v>
      </c>
      <c r="G2106" t="s">
        <v>27</v>
      </c>
      <c r="H2106" t="s">
        <v>68</v>
      </c>
      <c r="I2106" t="s">
        <v>77</v>
      </c>
      <c r="J2106" s="2">
        <v>4</v>
      </c>
      <c r="K2106" s="3">
        <v>1216.1199999999999</v>
      </c>
      <c r="L2106" s="3">
        <v>804.13</v>
      </c>
      <c r="M2106" s="4">
        <v>8.6999999999999994E-3</v>
      </c>
      <c r="N2106" s="3">
        <f t="shared" si="160"/>
        <v>4864.4799999999996</v>
      </c>
      <c r="O2106" s="3">
        <f t="shared" si="161"/>
        <v>4822.16</v>
      </c>
      <c r="P2106" s="3">
        <f t="shared" si="162"/>
        <v>3216.52</v>
      </c>
      <c r="Q2106" s="3">
        <f t="shared" si="163"/>
        <v>1605.64</v>
      </c>
      <c r="R2106" s="4">
        <f t="shared" si="164"/>
        <v>0.33300000000000002</v>
      </c>
      <c r="S2106" s="2">
        <v>7</v>
      </c>
      <c r="T2106" t="s">
        <v>46</v>
      </c>
      <c r="U2106">
        <v>4</v>
      </c>
    </row>
    <row r="2107" spans="1:22" x14ac:dyDescent="0.25">
      <c r="A2107" s="1">
        <v>46227</v>
      </c>
      <c r="B2107" t="s">
        <v>2298</v>
      </c>
      <c r="C2107" t="s">
        <v>381</v>
      </c>
      <c r="D2107" t="s">
        <v>97</v>
      </c>
      <c r="E2107" t="s">
        <v>57</v>
      </c>
      <c r="F2107" t="s">
        <v>36</v>
      </c>
      <c r="G2107" t="s">
        <v>37</v>
      </c>
      <c r="H2107" t="s">
        <v>178</v>
      </c>
      <c r="I2107" t="s">
        <v>74</v>
      </c>
      <c r="J2107" s="2">
        <v>1</v>
      </c>
      <c r="K2107" s="3">
        <v>524.03</v>
      </c>
      <c r="L2107" s="3">
        <v>234.01</v>
      </c>
      <c r="M2107" s="4">
        <v>1.61E-2</v>
      </c>
      <c r="N2107" s="3">
        <f t="shared" si="160"/>
        <v>524.03</v>
      </c>
      <c r="O2107" s="3">
        <f t="shared" si="161"/>
        <v>515.59</v>
      </c>
      <c r="P2107" s="3">
        <f t="shared" si="162"/>
        <v>234.01</v>
      </c>
      <c r="Q2107" s="3">
        <f t="shared" si="163"/>
        <v>281.58</v>
      </c>
      <c r="R2107" s="4">
        <f t="shared" si="164"/>
        <v>0.54610000000000003</v>
      </c>
      <c r="S2107" s="2">
        <v>8</v>
      </c>
      <c r="T2107" t="s">
        <v>46</v>
      </c>
      <c r="U2107">
        <v>5</v>
      </c>
    </row>
    <row r="2108" spans="1:22" x14ac:dyDescent="0.25">
      <c r="A2108" s="1">
        <v>46122</v>
      </c>
      <c r="B2108" t="s">
        <v>2299</v>
      </c>
      <c r="C2108" t="s">
        <v>146</v>
      </c>
      <c r="D2108" t="s">
        <v>101</v>
      </c>
      <c r="E2108" t="s">
        <v>35</v>
      </c>
      <c r="F2108" t="s">
        <v>64</v>
      </c>
      <c r="G2108" t="s">
        <v>51</v>
      </c>
      <c r="H2108" t="s">
        <v>52</v>
      </c>
      <c r="I2108" t="s">
        <v>74</v>
      </c>
      <c r="J2108" s="2">
        <v>3</v>
      </c>
      <c r="K2108" s="3">
        <v>247.35</v>
      </c>
      <c r="L2108" s="3">
        <v>120.09</v>
      </c>
      <c r="M2108" s="4">
        <v>4.5999999999999999E-3</v>
      </c>
      <c r="N2108" s="3">
        <f t="shared" si="160"/>
        <v>742.05</v>
      </c>
      <c r="O2108" s="3">
        <f t="shared" si="161"/>
        <v>738.64</v>
      </c>
      <c r="P2108" s="3">
        <f t="shared" si="162"/>
        <v>360.27</v>
      </c>
      <c r="Q2108" s="3">
        <f t="shared" si="163"/>
        <v>378.37</v>
      </c>
      <c r="R2108" s="4">
        <f t="shared" si="164"/>
        <v>0.51229999999999998</v>
      </c>
      <c r="S2108" s="2">
        <v>7</v>
      </c>
      <c r="T2108" t="s">
        <v>46</v>
      </c>
      <c r="U2108">
        <v>5</v>
      </c>
    </row>
    <row r="2109" spans="1:22" x14ac:dyDescent="0.25">
      <c r="A2109" s="1">
        <v>46070</v>
      </c>
      <c r="B2109" t="s">
        <v>2300</v>
      </c>
      <c r="C2109" t="s">
        <v>180</v>
      </c>
      <c r="D2109" t="s">
        <v>130</v>
      </c>
      <c r="E2109" t="s">
        <v>72</v>
      </c>
      <c r="F2109" t="s">
        <v>64</v>
      </c>
      <c r="G2109" t="s">
        <v>37</v>
      </c>
      <c r="H2109" t="s">
        <v>104</v>
      </c>
      <c r="I2109" t="s">
        <v>94</v>
      </c>
      <c r="J2109" s="2">
        <v>4</v>
      </c>
      <c r="K2109" s="3">
        <v>307.81</v>
      </c>
      <c r="L2109" s="3">
        <v>141.44999999999999</v>
      </c>
      <c r="M2109" s="4">
        <v>0</v>
      </c>
      <c r="N2109" s="3">
        <f t="shared" si="160"/>
        <v>1231.24</v>
      </c>
      <c r="O2109" s="3">
        <f t="shared" si="161"/>
        <v>1231.24</v>
      </c>
      <c r="P2109" s="3">
        <f t="shared" si="162"/>
        <v>565.79999999999995</v>
      </c>
      <c r="Q2109" s="3">
        <f t="shared" si="163"/>
        <v>665.44</v>
      </c>
      <c r="R2109" s="4">
        <f t="shared" si="164"/>
        <v>0.54049999999999998</v>
      </c>
      <c r="S2109" s="2">
        <v>10</v>
      </c>
      <c r="T2109" t="s">
        <v>46</v>
      </c>
      <c r="U2109">
        <v>2</v>
      </c>
    </row>
    <row r="2110" spans="1:22" x14ac:dyDescent="0.25">
      <c r="A2110" s="1">
        <v>46036</v>
      </c>
      <c r="B2110" t="s">
        <v>2301</v>
      </c>
      <c r="C2110" t="s">
        <v>336</v>
      </c>
      <c r="D2110" t="s">
        <v>56</v>
      </c>
      <c r="E2110" t="s">
        <v>57</v>
      </c>
      <c r="F2110" t="s">
        <v>64</v>
      </c>
      <c r="G2110" t="s">
        <v>27</v>
      </c>
      <c r="H2110" t="s">
        <v>68</v>
      </c>
      <c r="I2110" t="s">
        <v>29</v>
      </c>
      <c r="J2110" s="2">
        <v>6</v>
      </c>
      <c r="K2110" s="3">
        <v>1311.06</v>
      </c>
      <c r="L2110" s="3">
        <v>771.78</v>
      </c>
      <c r="M2110" s="4">
        <v>7.5499999999999998E-2</v>
      </c>
      <c r="N2110" s="3">
        <f t="shared" si="160"/>
        <v>7866.36</v>
      </c>
      <c r="O2110" s="3">
        <f t="shared" si="161"/>
        <v>7272.45</v>
      </c>
      <c r="P2110" s="3">
        <f t="shared" si="162"/>
        <v>4630.68</v>
      </c>
      <c r="Q2110" s="3">
        <f t="shared" si="163"/>
        <v>2641.77</v>
      </c>
      <c r="R2110" s="4">
        <f t="shared" si="164"/>
        <v>0.36330000000000001</v>
      </c>
      <c r="S2110" s="2">
        <v>14</v>
      </c>
      <c r="T2110" t="s">
        <v>30</v>
      </c>
      <c r="U2110">
        <v>4</v>
      </c>
    </row>
    <row r="2111" spans="1:22" x14ac:dyDescent="0.25">
      <c r="A2111" s="1">
        <v>46206</v>
      </c>
      <c r="B2111" t="s">
        <v>2302</v>
      </c>
      <c r="C2111" t="s">
        <v>288</v>
      </c>
      <c r="D2111" t="s">
        <v>139</v>
      </c>
      <c r="E2111" t="s">
        <v>72</v>
      </c>
      <c r="F2111" t="s">
        <v>64</v>
      </c>
      <c r="G2111" t="s">
        <v>37</v>
      </c>
      <c r="H2111" t="s">
        <v>178</v>
      </c>
      <c r="I2111" t="s">
        <v>77</v>
      </c>
      <c r="J2111" s="2">
        <v>7</v>
      </c>
      <c r="K2111" s="3">
        <v>527.48</v>
      </c>
      <c r="L2111" s="3">
        <v>255.95</v>
      </c>
      <c r="M2111" s="4">
        <v>0</v>
      </c>
      <c r="N2111" s="3">
        <f t="shared" si="160"/>
        <v>3692.36</v>
      </c>
      <c r="O2111" s="3">
        <f t="shared" si="161"/>
        <v>3692.36</v>
      </c>
      <c r="P2111" s="3">
        <f t="shared" si="162"/>
        <v>1791.65</v>
      </c>
      <c r="Q2111" s="3">
        <f t="shared" si="163"/>
        <v>1900.71</v>
      </c>
      <c r="R2111" s="4">
        <f t="shared" si="164"/>
        <v>0.51480000000000004</v>
      </c>
      <c r="S2111" s="2">
        <v>14</v>
      </c>
      <c r="T2111" t="s">
        <v>30</v>
      </c>
      <c r="U2111">
        <v>2</v>
      </c>
    </row>
    <row r="2112" spans="1:22" x14ac:dyDescent="0.25">
      <c r="A2112" s="1">
        <v>46051</v>
      </c>
      <c r="B2112" t="s">
        <v>2303</v>
      </c>
      <c r="C2112" t="s">
        <v>42</v>
      </c>
      <c r="D2112" t="s">
        <v>71</v>
      </c>
      <c r="E2112" t="s">
        <v>72</v>
      </c>
      <c r="F2112" t="s">
        <v>36</v>
      </c>
      <c r="G2112" t="s">
        <v>44</v>
      </c>
      <c r="H2112" t="s">
        <v>45</v>
      </c>
      <c r="I2112" t="s">
        <v>77</v>
      </c>
      <c r="J2112" s="2">
        <v>1</v>
      </c>
      <c r="K2112" s="3">
        <v>394.3</v>
      </c>
      <c r="L2112" s="3">
        <v>464.7</v>
      </c>
      <c r="M2112" s="4">
        <v>0</v>
      </c>
      <c r="N2112" s="3">
        <f t="shared" si="160"/>
        <v>394.3</v>
      </c>
      <c r="O2112" s="3">
        <f t="shared" si="161"/>
        <v>394.3</v>
      </c>
      <c r="P2112" s="3">
        <f t="shared" si="162"/>
        <v>464.7</v>
      </c>
      <c r="Q2112" s="3">
        <f t="shared" si="163"/>
        <v>-70.400000000000006</v>
      </c>
      <c r="R2112" s="4">
        <f t="shared" si="164"/>
        <v>-0.17849999999999999</v>
      </c>
      <c r="S2112" s="2">
        <v>4</v>
      </c>
      <c r="T2112" t="s">
        <v>46</v>
      </c>
      <c r="U2112">
        <v>2</v>
      </c>
      <c r="V2112" t="s">
        <v>388</v>
      </c>
    </row>
    <row r="2113" spans="1:22" x14ac:dyDescent="0.25">
      <c r="A2113" s="1">
        <v>46234</v>
      </c>
      <c r="B2113" t="s">
        <v>2304</v>
      </c>
      <c r="C2113" t="s">
        <v>96</v>
      </c>
      <c r="D2113" t="s">
        <v>49</v>
      </c>
      <c r="E2113" t="s">
        <v>50</v>
      </c>
      <c r="F2113" t="s">
        <v>26</v>
      </c>
      <c r="G2113" t="s">
        <v>44</v>
      </c>
      <c r="H2113" t="s">
        <v>73</v>
      </c>
      <c r="I2113" t="s">
        <v>60</v>
      </c>
      <c r="J2113" s="2">
        <v>1</v>
      </c>
      <c r="K2113" s="3">
        <v>1757.68</v>
      </c>
      <c r="L2113" s="3">
        <v>1040.26</v>
      </c>
      <c r="M2113" s="4">
        <v>0</v>
      </c>
      <c r="N2113" s="3">
        <f t="shared" si="160"/>
        <v>1757.68</v>
      </c>
      <c r="O2113" s="3">
        <f t="shared" si="161"/>
        <v>1757.68</v>
      </c>
      <c r="P2113" s="3">
        <f t="shared" si="162"/>
        <v>1040.26</v>
      </c>
      <c r="Q2113" s="3">
        <f t="shared" si="163"/>
        <v>717.42</v>
      </c>
      <c r="R2113" s="4">
        <f t="shared" si="164"/>
        <v>0.40820000000000001</v>
      </c>
      <c r="S2113" s="2">
        <v>12</v>
      </c>
      <c r="T2113" t="s">
        <v>30</v>
      </c>
      <c r="U2113">
        <v>5</v>
      </c>
    </row>
    <row r="2114" spans="1:22" x14ac:dyDescent="0.25">
      <c r="A2114" s="1">
        <v>46117</v>
      </c>
      <c r="B2114" t="s">
        <v>2305</v>
      </c>
      <c r="C2114" t="s">
        <v>157</v>
      </c>
      <c r="D2114" t="s">
        <v>101</v>
      </c>
      <c r="E2114" t="s">
        <v>35</v>
      </c>
      <c r="F2114" t="s">
        <v>26</v>
      </c>
      <c r="G2114" t="s">
        <v>27</v>
      </c>
      <c r="H2114" t="s">
        <v>68</v>
      </c>
      <c r="I2114" t="s">
        <v>87</v>
      </c>
      <c r="J2114" s="2">
        <v>7</v>
      </c>
      <c r="K2114" s="3">
        <v>1311.89</v>
      </c>
      <c r="L2114" s="3">
        <v>765.58</v>
      </c>
      <c r="M2114" s="4">
        <v>0</v>
      </c>
      <c r="N2114" s="3">
        <f t="shared" ref="N2114:N2177" si="165">ROUND(J2114*K2114,2)</f>
        <v>9183.23</v>
      </c>
      <c r="O2114" s="3">
        <f t="shared" ref="O2114:O2177" si="166">ROUND(N2114*(1-M2114),2)</f>
        <v>9183.23</v>
      </c>
      <c r="P2114" s="3">
        <f t="shared" ref="P2114:P2177" si="167">ROUND(J2114*L2114,2)</f>
        <v>5359.06</v>
      </c>
      <c r="Q2114" s="3">
        <f t="shared" ref="Q2114:Q2177" si="168">ROUND(O2114-P2114,2)</f>
        <v>3824.17</v>
      </c>
      <c r="R2114" s="4">
        <f t="shared" ref="R2114:R2177" si="169">IF(O2114=0,0,ROUND(Q2114/O2114,4))</f>
        <v>0.41639999999999999</v>
      </c>
      <c r="S2114" s="2">
        <v>6</v>
      </c>
      <c r="T2114" t="s">
        <v>46</v>
      </c>
      <c r="U2114">
        <v>5</v>
      </c>
    </row>
    <row r="2115" spans="1:22" x14ac:dyDescent="0.25">
      <c r="A2115" s="1">
        <v>46053</v>
      </c>
      <c r="B2115" t="s">
        <v>2306</v>
      </c>
      <c r="C2115" t="s">
        <v>447</v>
      </c>
      <c r="D2115" t="s">
        <v>139</v>
      </c>
      <c r="E2115" t="s">
        <v>72</v>
      </c>
      <c r="F2115" t="s">
        <v>26</v>
      </c>
      <c r="G2115" t="s">
        <v>27</v>
      </c>
      <c r="H2115" t="s">
        <v>68</v>
      </c>
      <c r="I2115" t="s">
        <v>77</v>
      </c>
      <c r="J2115" s="2">
        <v>5</v>
      </c>
      <c r="K2115" s="3">
        <v>1294.53</v>
      </c>
      <c r="L2115" s="3">
        <v>807.83</v>
      </c>
      <c r="M2115" s="4">
        <v>6.8000000000000005E-2</v>
      </c>
      <c r="N2115" s="3">
        <f t="shared" si="165"/>
        <v>6472.65</v>
      </c>
      <c r="O2115" s="3">
        <f t="shared" si="166"/>
        <v>6032.51</v>
      </c>
      <c r="P2115" s="3">
        <f t="shared" si="167"/>
        <v>4039.15</v>
      </c>
      <c r="Q2115" s="3">
        <f t="shared" si="168"/>
        <v>1993.36</v>
      </c>
      <c r="R2115" s="4">
        <f t="shared" si="169"/>
        <v>0.33040000000000003</v>
      </c>
      <c r="S2115" s="2">
        <v>5</v>
      </c>
      <c r="T2115" t="s">
        <v>46</v>
      </c>
      <c r="U2115">
        <v>3</v>
      </c>
    </row>
    <row r="2116" spans="1:22" x14ac:dyDescent="0.25">
      <c r="A2116" s="1">
        <v>46131</v>
      </c>
      <c r="B2116" t="s">
        <v>2307</v>
      </c>
      <c r="C2116" t="s">
        <v>76</v>
      </c>
      <c r="D2116" t="s">
        <v>113</v>
      </c>
      <c r="E2116" t="s">
        <v>50</v>
      </c>
      <c r="F2116" t="s">
        <v>36</v>
      </c>
      <c r="G2116" t="s">
        <v>44</v>
      </c>
      <c r="H2116" t="s">
        <v>73</v>
      </c>
      <c r="I2116" t="s">
        <v>74</v>
      </c>
      <c r="J2116" s="2">
        <v>4</v>
      </c>
      <c r="K2116" s="3">
        <v>1781.2</v>
      </c>
      <c r="L2116" s="3">
        <v>1058.29</v>
      </c>
      <c r="M2116" s="4">
        <v>0</v>
      </c>
      <c r="N2116" s="3">
        <f t="shared" si="165"/>
        <v>7124.8</v>
      </c>
      <c r="O2116" s="3">
        <f t="shared" si="166"/>
        <v>7124.8</v>
      </c>
      <c r="P2116" s="3">
        <f t="shared" si="167"/>
        <v>4233.16</v>
      </c>
      <c r="Q2116" s="3">
        <f t="shared" si="168"/>
        <v>2891.64</v>
      </c>
      <c r="R2116" s="4">
        <f t="shared" si="169"/>
        <v>0.40589999999999998</v>
      </c>
      <c r="S2116" s="2">
        <v>2</v>
      </c>
      <c r="T2116" t="s">
        <v>46</v>
      </c>
      <c r="U2116">
        <v>3</v>
      </c>
    </row>
    <row r="2117" spans="1:22" x14ac:dyDescent="0.25">
      <c r="A2117" s="1">
        <v>46199</v>
      </c>
      <c r="B2117" t="s">
        <v>2308</v>
      </c>
      <c r="C2117" t="s">
        <v>214</v>
      </c>
      <c r="D2117" t="s">
        <v>121</v>
      </c>
      <c r="E2117" t="s">
        <v>72</v>
      </c>
      <c r="F2117" t="s">
        <v>36</v>
      </c>
      <c r="G2117" t="s">
        <v>51</v>
      </c>
      <c r="H2117" t="s">
        <v>52</v>
      </c>
      <c r="I2117" t="s">
        <v>39</v>
      </c>
      <c r="J2117" s="2">
        <v>3</v>
      </c>
      <c r="K2117" s="3">
        <v>271.2</v>
      </c>
      <c r="L2117" s="3">
        <v>121.13</v>
      </c>
      <c r="M2117" s="4">
        <v>0</v>
      </c>
      <c r="N2117" s="3">
        <f t="shared" si="165"/>
        <v>813.6</v>
      </c>
      <c r="O2117" s="3">
        <f t="shared" si="166"/>
        <v>813.6</v>
      </c>
      <c r="P2117" s="3">
        <f t="shared" si="167"/>
        <v>363.39</v>
      </c>
      <c r="Q2117" s="3">
        <f t="shared" si="168"/>
        <v>450.21</v>
      </c>
      <c r="R2117" s="4">
        <f t="shared" si="169"/>
        <v>0.5534</v>
      </c>
      <c r="S2117" s="2">
        <v>14</v>
      </c>
      <c r="T2117" t="s">
        <v>30</v>
      </c>
      <c r="U2117">
        <v>2</v>
      </c>
    </row>
    <row r="2118" spans="1:22" x14ac:dyDescent="0.25">
      <c r="A2118" s="1">
        <v>46030</v>
      </c>
      <c r="B2118" t="s">
        <v>2309</v>
      </c>
      <c r="C2118" t="s">
        <v>220</v>
      </c>
      <c r="D2118" t="s">
        <v>101</v>
      </c>
      <c r="E2118" t="s">
        <v>35</v>
      </c>
      <c r="F2118" t="s">
        <v>58</v>
      </c>
      <c r="G2118" t="s">
        <v>51</v>
      </c>
      <c r="H2118" t="s">
        <v>59</v>
      </c>
      <c r="I2118" t="s">
        <v>60</v>
      </c>
      <c r="J2118" s="2">
        <v>3</v>
      </c>
      <c r="K2118" s="3">
        <v>2172.1</v>
      </c>
      <c r="L2118" s="3">
        <v>1360.82</v>
      </c>
      <c r="M2118" s="4">
        <v>3.5000000000000003E-2</v>
      </c>
      <c r="N2118" s="3">
        <f t="shared" si="165"/>
        <v>6516.3</v>
      </c>
      <c r="O2118" s="3">
        <f t="shared" si="166"/>
        <v>6288.23</v>
      </c>
      <c r="P2118" s="3">
        <f t="shared" si="167"/>
        <v>4082.46</v>
      </c>
      <c r="Q2118" s="3">
        <f t="shared" si="168"/>
        <v>2205.77</v>
      </c>
      <c r="R2118" s="4">
        <f t="shared" si="169"/>
        <v>0.3508</v>
      </c>
      <c r="S2118" s="2">
        <v>2</v>
      </c>
      <c r="T2118" t="s">
        <v>46</v>
      </c>
      <c r="U2118">
        <v>2</v>
      </c>
    </row>
    <row r="2119" spans="1:22" x14ac:dyDescent="0.25">
      <c r="A2119" s="1">
        <v>46167</v>
      </c>
      <c r="B2119" t="s">
        <v>2310</v>
      </c>
      <c r="C2119" t="s">
        <v>294</v>
      </c>
      <c r="D2119" t="s">
        <v>121</v>
      </c>
      <c r="E2119" t="s">
        <v>72</v>
      </c>
      <c r="F2119" t="s">
        <v>26</v>
      </c>
      <c r="G2119" t="s">
        <v>51</v>
      </c>
      <c r="H2119" t="s">
        <v>52</v>
      </c>
      <c r="I2119" t="s">
        <v>29</v>
      </c>
      <c r="J2119" s="2">
        <v>8</v>
      </c>
      <c r="K2119" s="3">
        <v>269.33999999999997</v>
      </c>
      <c r="L2119" s="3">
        <v>127.27</v>
      </c>
      <c r="M2119" s="4">
        <v>4.3E-3</v>
      </c>
      <c r="N2119" s="3">
        <f t="shared" si="165"/>
        <v>2154.7199999999998</v>
      </c>
      <c r="O2119" s="3">
        <f t="shared" si="166"/>
        <v>2145.4499999999998</v>
      </c>
      <c r="P2119" s="3">
        <f t="shared" si="167"/>
        <v>1018.16</v>
      </c>
      <c r="Q2119" s="3">
        <f t="shared" si="168"/>
        <v>1127.29</v>
      </c>
      <c r="R2119" s="4">
        <f t="shared" si="169"/>
        <v>0.52539999999999998</v>
      </c>
      <c r="S2119" s="2">
        <v>23</v>
      </c>
      <c r="T2119" t="s">
        <v>30</v>
      </c>
      <c r="U2119">
        <v>1</v>
      </c>
      <c r="V2119" t="s">
        <v>208</v>
      </c>
    </row>
    <row r="2120" spans="1:22" x14ac:dyDescent="0.25">
      <c r="A2120" s="1">
        <v>46232</v>
      </c>
      <c r="B2120" t="s">
        <v>1495</v>
      </c>
      <c r="C2120" t="s">
        <v>123</v>
      </c>
      <c r="D2120" t="s">
        <v>113</v>
      </c>
      <c r="E2120" t="s">
        <v>50</v>
      </c>
      <c r="F2120" t="s">
        <v>26</v>
      </c>
      <c r="G2120" t="s">
        <v>51</v>
      </c>
      <c r="H2120" t="s">
        <v>116</v>
      </c>
      <c r="I2120" t="s">
        <v>53</v>
      </c>
      <c r="J2120" s="2">
        <v>7</v>
      </c>
      <c r="K2120" s="3">
        <v>2716.57</v>
      </c>
      <c r="L2120" s="3">
        <v>1750.19</v>
      </c>
      <c r="M2120" s="4">
        <v>0</v>
      </c>
      <c r="N2120" s="3">
        <f t="shared" si="165"/>
        <v>19015.990000000002</v>
      </c>
      <c r="O2120" s="3">
        <f t="shared" si="166"/>
        <v>19015.990000000002</v>
      </c>
      <c r="P2120" s="3">
        <f t="shared" si="167"/>
        <v>12251.33</v>
      </c>
      <c r="Q2120" s="3">
        <f t="shared" si="168"/>
        <v>6764.66</v>
      </c>
      <c r="R2120" s="4">
        <f t="shared" si="169"/>
        <v>0.35570000000000002</v>
      </c>
      <c r="S2120" s="2">
        <v>3</v>
      </c>
      <c r="T2120" t="s">
        <v>46</v>
      </c>
      <c r="U2120">
        <v>5</v>
      </c>
    </row>
    <row r="2121" spans="1:22" x14ac:dyDescent="0.25">
      <c r="A2121" s="1">
        <v>46134</v>
      </c>
      <c r="B2121" t="s">
        <v>2311</v>
      </c>
      <c r="C2121" t="s">
        <v>392</v>
      </c>
      <c r="D2121" t="s">
        <v>101</v>
      </c>
      <c r="E2121" t="s">
        <v>35</v>
      </c>
      <c r="F2121" t="s">
        <v>26</v>
      </c>
      <c r="G2121" t="s">
        <v>51</v>
      </c>
      <c r="H2121" t="s">
        <v>116</v>
      </c>
      <c r="I2121" t="s">
        <v>60</v>
      </c>
      <c r="J2121" s="2">
        <v>2</v>
      </c>
      <c r="K2121" s="3">
        <v>2879.1</v>
      </c>
      <c r="L2121" s="3">
        <v>1786.06</v>
      </c>
      <c r="M2121" s="4">
        <v>0</v>
      </c>
      <c r="N2121" s="3">
        <f t="shared" si="165"/>
        <v>5758.2</v>
      </c>
      <c r="O2121" s="3">
        <f t="shared" si="166"/>
        <v>5758.2</v>
      </c>
      <c r="P2121" s="3">
        <f t="shared" si="167"/>
        <v>3572.12</v>
      </c>
      <c r="Q2121" s="3">
        <f t="shared" si="168"/>
        <v>2186.08</v>
      </c>
      <c r="R2121" s="4">
        <f t="shared" si="169"/>
        <v>0.37959999999999999</v>
      </c>
      <c r="S2121" s="2">
        <v>13</v>
      </c>
      <c r="T2121" t="s">
        <v>30</v>
      </c>
      <c r="U2121">
        <v>5</v>
      </c>
    </row>
    <row r="2122" spans="1:22" x14ac:dyDescent="0.25">
      <c r="A2122" s="1">
        <v>46078</v>
      </c>
      <c r="B2122" t="s">
        <v>2312</v>
      </c>
      <c r="C2122" t="s">
        <v>132</v>
      </c>
      <c r="D2122" t="s">
        <v>139</v>
      </c>
      <c r="E2122" t="s">
        <v>72</v>
      </c>
      <c r="F2122" t="s">
        <v>26</v>
      </c>
      <c r="G2122" t="s">
        <v>27</v>
      </c>
      <c r="H2122" t="s">
        <v>86</v>
      </c>
      <c r="I2122" t="s">
        <v>92</v>
      </c>
      <c r="J2122" s="2">
        <v>3</v>
      </c>
      <c r="K2122" s="3">
        <v>1876.89</v>
      </c>
      <c r="L2122" s="3">
        <v>1201.56</v>
      </c>
      <c r="M2122" s="4">
        <v>0</v>
      </c>
      <c r="N2122" s="3">
        <f t="shared" si="165"/>
        <v>5630.67</v>
      </c>
      <c r="O2122" s="3">
        <f t="shared" si="166"/>
        <v>5630.67</v>
      </c>
      <c r="P2122" s="3">
        <f t="shared" si="167"/>
        <v>3604.68</v>
      </c>
      <c r="Q2122" s="3">
        <f t="shared" si="168"/>
        <v>2025.99</v>
      </c>
      <c r="R2122" s="4">
        <f t="shared" si="169"/>
        <v>0.35980000000000001</v>
      </c>
      <c r="S2122" s="2">
        <v>7</v>
      </c>
      <c r="T2122" t="s">
        <v>46</v>
      </c>
      <c r="U2122">
        <v>2</v>
      </c>
    </row>
    <row r="2123" spans="1:22" x14ac:dyDescent="0.25">
      <c r="A2123" s="1">
        <v>46038</v>
      </c>
      <c r="B2123" t="s">
        <v>2313</v>
      </c>
      <c r="C2123" t="s">
        <v>115</v>
      </c>
      <c r="D2123" t="s">
        <v>130</v>
      </c>
      <c r="E2123" t="s">
        <v>72</v>
      </c>
      <c r="F2123" t="s">
        <v>58</v>
      </c>
      <c r="G2123" t="s">
        <v>27</v>
      </c>
      <c r="H2123" t="s">
        <v>68</v>
      </c>
      <c r="I2123" t="s">
        <v>94</v>
      </c>
      <c r="J2123" s="2">
        <v>1</v>
      </c>
      <c r="K2123" s="3">
        <v>1292.03</v>
      </c>
      <c r="L2123" s="3">
        <v>796.22</v>
      </c>
      <c r="M2123" s="4">
        <v>3.5000000000000003E-2</v>
      </c>
      <c r="N2123" s="3">
        <f t="shared" si="165"/>
        <v>1292.03</v>
      </c>
      <c r="O2123" s="3">
        <f t="shared" si="166"/>
        <v>1246.81</v>
      </c>
      <c r="P2123" s="3">
        <f t="shared" si="167"/>
        <v>796.22</v>
      </c>
      <c r="Q2123" s="3">
        <f t="shared" si="168"/>
        <v>450.59</v>
      </c>
      <c r="R2123" s="4">
        <f t="shared" si="169"/>
        <v>0.3614</v>
      </c>
      <c r="S2123" s="2">
        <v>13</v>
      </c>
      <c r="T2123" t="s">
        <v>30</v>
      </c>
      <c r="U2123">
        <v>3</v>
      </c>
    </row>
    <row r="2124" spans="1:22" x14ac:dyDescent="0.25">
      <c r="A2124" s="1">
        <v>46087</v>
      </c>
      <c r="B2124" t="s">
        <v>2314</v>
      </c>
      <c r="C2124" t="s">
        <v>331</v>
      </c>
      <c r="D2124" t="s">
        <v>63</v>
      </c>
      <c r="E2124" t="s">
        <v>35</v>
      </c>
      <c r="F2124" t="s">
        <v>26</v>
      </c>
      <c r="G2124" t="s">
        <v>37</v>
      </c>
      <c r="H2124" t="s">
        <v>178</v>
      </c>
      <c r="I2124" t="s">
        <v>94</v>
      </c>
      <c r="J2124" s="2">
        <v>6</v>
      </c>
      <c r="K2124" s="3">
        <v>532.61</v>
      </c>
      <c r="L2124" s="3">
        <v>233.55</v>
      </c>
      <c r="M2124" s="4">
        <v>0.126</v>
      </c>
      <c r="N2124" s="3">
        <f t="shared" si="165"/>
        <v>3195.66</v>
      </c>
      <c r="O2124" s="3">
        <f t="shared" si="166"/>
        <v>2793.01</v>
      </c>
      <c r="P2124" s="3">
        <f t="shared" si="167"/>
        <v>1401.3</v>
      </c>
      <c r="Q2124" s="3">
        <f t="shared" si="168"/>
        <v>1391.71</v>
      </c>
      <c r="R2124" s="4">
        <f t="shared" si="169"/>
        <v>0.49830000000000002</v>
      </c>
      <c r="S2124" s="2">
        <v>13</v>
      </c>
      <c r="T2124" t="s">
        <v>30</v>
      </c>
      <c r="U2124">
        <v>2</v>
      </c>
    </row>
    <row r="2125" spans="1:22" x14ac:dyDescent="0.25">
      <c r="A2125" s="1">
        <v>46115</v>
      </c>
      <c r="B2125" t="s">
        <v>2315</v>
      </c>
      <c r="C2125" t="s">
        <v>100</v>
      </c>
      <c r="D2125" t="s">
        <v>126</v>
      </c>
      <c r="E2125" t="s">
        <v>57</v>
      </c>
      <c r="F2125" t="s">
        <v>36</v>
      </c>
      <c r="G2125" t="s">
        <v>27</v>
      </c>
      <c r="H2125" t="s">
        <v>28</v>
      </c>
      <c r="I2125" t="s">
        <v>39</v>
      </c>
      <c r="J2125" s="2">
        <v>6</v>
      </c>
      <c r="K2125" s="3">
        <v>803.91</v>
      </c>
      <c r="L2125" s="3">
        <v>471.16</v>
      </c>
      <c r="M2125" s="4">
        <v>9.1499999999999998E-2</v>
      </c>
      <c r="N2125" s="3">
        <f t="shared" si="165"/>
        <v>4823.46</v>
      </c>
      <c r="O2125" s="3">
        <f t="shared" si="166"/>
        <v>4382.1099999999997</v>
      </c>
      <c r="P2125" s="3">
        <f t="shared" si="167"/>
        <v>2826.96</v>
      </c>
      <c r="Q2125" s="3">
        <f t="shared" si="168"/>
        <v>1555.15</v>
      </c>
      <c r="R2125" s="4">
        <f t="shared" si="169"/>
        <v>0.35489999999999999</v>
      </c>
      <c r="S2125" s="2">
        <v>5</v>
      </c>
      <c r="T2125" t="s">
        <v>46</v>
      </c>
      <c r="U2125">
        <v>4</v>
      </c>
    </row>
    <row r="2126" spans="1:22" x14ac:dyDescent="0.25">
      <c r="A2126" s="1">
        <v>46177</v>
      </c>
      <c r="B2126" t="s">
        <v>2316</v>
      </c>
      <c r="C2126" t="s">
        <v>370</v>
      </c>
      <c r="D2126" t="s">
        <v>71</v>
      </c>
      <c r="E2126" t="s">
        <v>72</v>
      </c>
      <c r="F2126" t="s">
        <v>64</v>
      </c>
      <c r="G2126" t="s">
        <v>51</v>
      </c>
      <c r="H2126" t="s">
        <v>116</v>
      </c>
      <c r="I2126" t="s">
        <v>87</v>
      </c>
      <c r="J2126" s="2">
        <v>8</v>
      </c>
      <c r="K2126" s="3">
        <v>2920.68</v>
      </c>
      <c r="L2126" s="3">
        <v>1812.17</v>
      </c>
      <c r="M2126" s="4">
        <v>0</v>
      </c>
      <c r="N2126" s="3">
        <f t="shared" si="165"/>
        <v>23365.439999999999</v>
      </c>
      <c r="O2126" s="3">
        <f t="shared" si="166"/>
        <v>23365.439999999999</v>
      </c>
      <c r="P2126" s="3">
        <f t="shared" si="167"/>
        <v>14497.36</v>
      </c>
      <c r="Q2126" s="3">
        <f t="shared" si="168"/>
        <v>8868.08</v>
      </c>
      <c r="R2126" s="4">
        <f t="shared" si="169"/>
        <v>0.3795</v>
      </c>
      <c r="S2126" s="2">
        <v>11</v>
      </c>
      <c r="T2126" t="s">
        <v>30</v>
      </c>
      <c r="U2126">
        <v>5</v>
      </c>
    </row>
    <row r="2127" spans="1:22" x14ac:dyDescent="0.25">
      <c r="A2127" s="1">
        <v>46130</v>
      </c>
      <c r="B2127" t="s">
        <v>2317</v>
      </c>
      <c r="C2127" t="s">
        <v>70</v>
      </c>
      <c r="D2127" t="s">
        <v>207</v>
      </c>
      <c r="E2127" t="s">
        <v>35</v>
      </c>
      <c r="F2127" t="s">
        <v>36</v>
      </c>
      <c r="G2127" t="s">
        <v>37</v>
      </c>
      <c r="H2127" t="s">
        <v>178</v>
      </c>
      <c r="I2127" t="s">
        <v>53</v>
      </c>
      <c r="J2127" s="2">
        <v>5</v>
      </c>
      <c r="K2127" s="3">
        <v>513.9</v>
      </c>
      <c r="L2127" s="3">
        <v>245.37</v>
      </c>
      <c r="M2127" s="4">
        <v>6.8000000000000005E-2</v>
      </c>
      <c r="N2127" s="3">
        <f t="shared" si="165"/>
        <v>2569.5</v>
      </c>
      <c r="O2127" s="3">
        <f t="shared" si="166"/>
        <v>2394.77</v>
      </c>
      <c r="P2127" s="3">
        <f t="shared" si="167"/>
        <v>1226.8499999999999</v>
      </c>
      <c r="Q2127" s="3">
        <f t="shared" si="168"/>
        <v>1167.92</v>
      </c>
      <c r="R2127" s="4">
        <f t="shared" si="169"/>
        <v>0.48770000000000002</v>
      </c>
      <c r="S2127" s="2">
        <v>8</v>
      </c>
      <c r="T2127" t="s">
        <v>46</v>
      </c>
      <c r="U2127">
        <v>3</v>
      </c>
    </row>
    <row r="2128" spans="1:22" x14ac:dyDescent="0.25">
      <c r="A2128" s="1">
        <v>46188</v>
      </c>
      <c r="B2128" t="s">
        <v>2318</v>
      </c>
      <c r="C2128" t="s">
        <v>190</v>
      </c>
      <c r="D2128" t="s">
        <v>49</v>
      </c>
      <c r="E2128" t="s">
        <v>50</v>
      </c>
      <c r="F2128" t="s">
        <v>26</v>
      </c>
      <c r="G2128" t="s">
        <v>44</v>
      </c>
      <c r="H2128" t="s">
        <v>124</v>
      </c>
      <c r="I2128" t="s">
        <v>92</v>
      </c>
      <c r="J2128" s="2">
        <v>5</v>
      </c>
      <c r="K2128" s="3">
        <v>5784.95</v>
      </c>
      <c r="L2128" s="3">
        <v>4268.8599999999997</v>
      </c>
      <c r="M2128" s="4">
        <v>1.7600000000000001E-2</v>
      </c>
      <c r="N2128" s="3">
        <f t="shared" si="165"/>
        <v>28924.75</v>
      </c>
      <c r="O2128" s="3">
        <f t="shared" si="166"/>
        <v>28415.67</v>
      </c>
      <c r="P2128" s="3">
        <f t="shared" si="167"/>
        <v>21344.3</v>
      </c>
      <c r="Q2128" s="3">
        <f t="shared" si="168"/>
        <v>7071.37</v>
      </c>
      <c r="R2128" s="4">
        <f t="shared" si="169"/>
        <v>0.24890000000000001</v>
      </c>
      <c r="S2128" s="2">
        <v>6</v>
      </c>
      <c r="T2128" t="s">
        <v>46</v>
      </c>
      <c r="U2128">
        <v>2</v>
      </c>
    </row>
    <row r="2129" spans="1:21" x14ac:dyDescent="0.25">
      <c r="A2129" s="1">
        <v>46211</v>
      </c>
      <c r="B2129" t="s">
        <v>2319</v>
      </c>
      <c r="C2129" t="s">
        <v>590</v>
      </c>
      <c r="D2129" t="s">
        <v>101</v>
      </c>
      <c r="E2129" t="s">
        <v>35</v>
      </c>
      <c r="F2129" t="s">
        <v>26</v>
      </c>
      <c r="G2129" t="s">
        <v>27</v>
      </c>
      <c r="H2129" t="s">
        <v>86</v>
      </c>
      <c r="I2129" t="s">
        <v>29</v>
      </c>
      <c r="J2129" s="2">
        <v>8</v>
      </c>
      <c r="K2129" s="3">
        <v>1912.9</v>
      </c>
      <c r="L2129" s="3">
        <v>1243.46</v>
      </c>
      <c r="M2129" s="4">
        <v>9.9299999999999999E-2</v>
      </c>
      <c r="N2129" s="3">
        <f t="shared" si="165"/>
        <v>15303.2</v>
      </c>
      <c r="O2129" s="3">
        <f t="shared" si="166"/>
        <v>13783.59</v>
      </c>
      <c r="P2129" s="3">
        <f t="shared" si="167"/>
        <v>9947.68</v>
      </c>
      <c r="Q2129" s="3">
        <f t="shared" si="168"/>
        <v>3835.91</v>
      </c>
      <c r="R2129" s="4">
        <f t="shared" si="169"/>
        <v>0.27829999999999999</v>
      </c>
      <c r="S2129" s="2">
        <v>6</v>
      </c>
      <c r="T2129" t="s">
        <v>46</v>
      </c>
      <c r="U2129">
        <v>2</v>
      </c>
    </row>
    <row r="2130" spans="1:21" x14ac:dyDescent="0.25">
      <c r="A2130" s="1">
        <v>46112</v>
      </c>
      <c r="B2130" t="s">
        <v>2320</v>
      </c>
      <c r="C2130" t="s">
        <v>247</v>
      </c>
      <c r="D2130" t="s">
        <v>97</v>
      </c>
      <c r="E2130" t="s">
        <v>57</v>
      </c>
      <c r="F2130" t="s">
        <v>58</v>
      </c>
      <c r="G2130" t="s">
        <v>37</v>
      </c>
      <c r="H2130" t="s">
        <v>104</v>
      </c>
      <c r="I2130" t="s">
        <v>29</v>
      </c>
      <c r="J2130" s="2">
        <v>5</v>
      </c>
      <c r="K2130" s="3">
        <v>306.97000000000003</v>
      </c>
      <c r="L2130" s="3">
        <v>131.88999999999999</v>
      </c>
      <c r="M2130" s="4">
        <v>0.1222</v>
      </c>
      <c r="N2130" s="3">
        <f t="shared" si="165"/>
        <v>1534.85</v>
      </c>
      <c r="O2130" s="3">
        <f t="shared" si="166"/>
        <v>1347.29</v>
      </c>
      <c r="P2130" s="3">
        <f t="shared" si="167"/>
        <v>659.45</v>
      </c>
      <c r="Q2130" s="3">
        <f t="shared" si="168"/>
        <v>687.84</v>
      </c>
      <c r="R2130" s="4">
        <f t="shared" si="169"/>
        <v>0.51049999999999995</v>
      </c>
      <c r="S2130" s="2">
        <v>5</v>
      </c>
      <c r="T2130" t="s">
        <v>46</v>
      </c>
      <c r="U2130">
        <v>4</v>
      </c>
    </row>
    <row r="2131" spans="1:21" x14ac:dyDescent="0.25">
      <c r="A2131" s="1">
        <v>46047</v>
      </c>
      <c r="B2131" t="s">
        <v>2321</v>
      </c>
      <c r="C2131" t="s">
        <v>253</v>
      </c>
      <c r="D2131" t="s">
        <v>63</v>
      </c>
      <c r="E2131" t="s">
        <v>35</v>
      </c>
      <c r="F2131" t="s">
        <v>36</v>
      </c>
      <c r="G2131" t="s">
        <v>44</v>
      </c>
      <c r="H2131" t="s">
        <v>45</v>
      </c>
      <c r="I2131" t="s">
        <v>87</v>
      </c>
      <c r="J2131" s="2">
        <v>7</v>
      </c>
      <c r="K2131" s="3">
        <v>388.31</v>
      </c>
      <c r="L2131" s="3">
        <v>203.68</v>
      </c>
      <c r="M2131" s="4">
        <v>0</v>
      </c>
      <c r="N2131" s="3">
        <f t="shared" si="165"/>
        <v>2718.17</v>
      </c>
      <c r="O2131" s="3">
        <f t="shared" si="166"/>
        <v>2718.17</v>
      </c>
      <c r="P2131" s="3">
        <f t="shared" si="167"/>
        <v>1425.76</v>
      </c>
      <c r="Q2131" s="3">
        <f t="shared" si="168"/>
        <v>1292.4100000000001</v>
      </c>
      <c r="R2131" s="4">
        <f t="shared" si="169"/>
        <v>0.47549999999999998</v>
      </c>
      <c r="S2131" s="2">
        <v>10</v>
      </c>
      <c r="T2131" t="s">
        <v>46</v>
      </c>
      <c r="U2131">
        <v>5</v>
      </c>
    </row>
    <row r="2132" spans="1:21" x14ac:dyDescent="0.25">
      <c r="A2132" s="1">
        <v>46111</v>
      </c>
      <c r="B2132" t="s">
        <v>2322</v>
      </c>
      <c r="C2132" t="s">
        <v>146</v>
      </c>
      <c r="D2132" t="s">
        <v>34</v>
      </c>
      <c r="E2132" t="s">
        <v>35</v>
      </c>
      <c r="F2132" t="s">
        <v>36</v>
      </c>
      <c r="G2132" t="s">
        <v>37</v>
      </c>
      <c r="H2132" t="s">
        <v>178</v>
      </c>
      <c r="I2132" t="s">
        <v>92</v>
      </c>
      <c r="J2132" s="2">
        <v>3</v>
      </c>
      <c r="K2132" s="3">
        <v>503.08</v>
      </c>
      <c r="L2132" s="3">
        <v>250.13</v>
      </c>
      <c r="M2132" s="4">
        <v>0</v>
      </c>
      <c r="N2132" s="3">
        <f t="shared" si="165"/>
        <v>1509.24</v>
      </c>
      <c r="O2132" s="3">
        <f t="shared" si="166"/>
        <v>1509.24</v>
      </c>
      <c r="P2132" s="3">
        <f t="shared" si="167"/>
        <v>750.39</v>
      </c>
      <c r="Q2132" s="3">
        <f t="shared" si="168"/>
        <v>758.85</v>
      </c>
      <c r="R2132" s="4">
        <f t="shared" si="169"/>
        <v>0.50280000000000002</v>
      </c>
      <c r="S2132" s="2">
        <v>10</v>
      </c>
      <c r="T2132" t="s">
        <v>46</v>
      </c>
      <c r="U2132">
        <v>5</v>
      </c>
    </row>
    <row r="2133" spans="1:21" x14ac:dyDescent="0.25">
      <c r="A2133" s="1">
        <v>46176</v>
      </c>
      <c r="B2133" t="s">
        <v>2323</v>
      </c>
      <c r="C2133" t="s">
        <v>148</v>
      </c>
      <c r="D2133" t="s">
        <v>207</v>
      </c>
      <c r="E2133" t="s">
        <v>35</v>
      </c>
      <c r="F2133" t="s">
        <v>26</v>
      </c>
      <c r="G2133" t="s">
        <v>44</v>
      </c>
      <c r="H2133" t="s">
        <v>124</v>
      </c>
      <c r="I2133" t="s">
        <v>60</v>
      </c>
      <c r="J2133" s="2">
        <v>2</v>
      </c>
      <c r="K2133" s="3">
        <v>5744.13</v>
      </c>
      <c r="L2133" s="3">
        <v>4393.07</v>
      </c>
      <c r="M2133" s="4">
        <v>0.1195</v>
      </c>
      <c r="N2133" s="3">
        <f t="shared" si="165"/>
        <v>11488.26</v>
      </c>
      <c r="O2133" s="3">
        <f t="shared" si="166"/>
        <v>10115.41</v>
      </c>
      <c r="P2133" s="3">
        <f t="shared" si="167"/>
        <v>8786.14</v>
      </c>
      <c r="Q2133" s="3">
        <f t="shared" si="168"/>
        <v>1329.27</v>
      </c>
      <c r="R2133" s="4">
        <f t="shared" si="169"/>
        <v>0.13139999999999999</v>
      </c>
      <c r="S2133" s="2">
        <v>5</v>
      </c>
      <c r="T2133" t="s">
        <v>46</v>
      </c>
      <c r="U2133">
        <v>2</v>
      </c>
    </row>
    <row r="2134" spans="1:21" x14ac:dyDescent="0.25">
      <c r="A2134" s="1">
        <v>46113</v>
      </c>
      <c r="B2134" t="s">
        <v>2324</v>
      </c>
      <c r="C2134" t="s">
        <v>286</v>
      </c>
      <c r="D2134" t="s">
        <v>126</v>
      </c>
      <c r="E2134" t="s">
        <v>57</v>
      </c>
      <c r="F2134" t="s">
        <v>26</v>
      </c>
      <c r="G2134" t="s">
        <v>37</v>
      </c>
      <c r="H2134" t="s">
        <v>38</v>
      </c>
      <c r="I2134" t="s">
        <v>60</v>
      </c>
      <c r="J2134" s="2">
        <v>4</v>
      </c>
      <c r="K2134" s="3">
        <v>407.2</v>
      </c>
      <c r="L2134" s="3">
        <v>197.97</v>
      </c>
      <c r="M2134" s="4">
        <v>4.7199999999999999E-2</v>
      </c>
      <c r="N2134" s="3">
        <f t="shared" si="165"/>
        <v>1628.8</v>
      </c>
      <c r="O2134" s="3">
        <f t="shared" si="166"/>
        <v>1551.92</v>
      </c>
      <c r="P2134" s="3">
        <f t="shared" si="167"/>
        <v>791.88</v>
      </c>
      <c r="Q2134" s="3">
        <f t="shared" si="168"/>
        <v>760.04</v>
      </c>
      <c r="R2134" s="4">
        <f t="shared" si="169"/>
        <v>0.48970000000000002</v>
      </c>
      <c r="S2134" s="2">
        <v>12</v>
      </c>
      <c r="T2134" t="s">
        <v>30</v>
      </c>
      <c r="U2134">
        <v>5</v>
      </c>
    </row>
    <row r="2135" spans="1:21" x14ac:dyDescent="0.25">
      <c r="A2135" s="1">
        <v>46125</v>
      </c>
      <c r="B2135" t="s">
        <v>2325</v>
      </c>
      <c r="C2135" t="s">
        <v>211</v>
      </c>
      <c r="D2135" t="s">
        <v>63</v>
      </c>
      <c r="E2135" t="s">
        <v>35</v>
      </c>
      <c r="F2135" t="s">
        <v>58</v>
      </c>
      <c r="G2135" t="s">
        <v>27</v>
      </c>
      <c r="H2135" t="s">
        <v>86</v>
      </c>
      <c r="I2135" t="s">
        <v>29</v>
      </c>
      <c r="J2135" s="2">
        <v>5</v>
      </c>
      <c r="K2135" s="3">
        <v>1992.25</v>
      </c>
      <c r="L2135" s="3">
        <v>1235.98</v>
      </c>
      <c r="M2135" s="4">
        <v>3.5000000000000003E-2</v>
      </c>
      <c r="N2135" s="3">
        <f t="shared" si="165"/>
        <v>9961.25</v>
      </c>
      <c r="O2135" s="3">
        <f t="shared" si="166"/>
        <v>9612.61</v>
      </c>
      <c r="P2135" s="3">
        <f t="shared" si="167"/>
        <v>6179.9</v>
      </c>
      <c r="Q2135" s="3">
        <f t="shared" si="168"/>
        <v>3432.71</v>
      </c>
      <c r="R2135" s="4">
        <f t="shared" si="169"/>
        <v>0.35709999999999997</v>
      </c>
      <c r="S2135" s="2">
        <v>3</v>
      </c>
      <c r="T2135" t="s">
        <v>46</v>
      </c>
      <c r="U2135">
        <v>3</v>
      </c>
    </row>
    <row r="2136" spans="1:21" x14ac:dyDescent="0.25">
      <c r="A2136" s="1">
        <v>46078</v>
      </c>
      <c r="B2136" t="s">
        <v>2326</v>
      </c>
      <c r="C2136" t="s">
        <v>226</v>
      </c>
      <c r="D2136" t="s">
        <v>139</v>
      </c>
      <c r="E2136" t="s">
        <v>72</v>
      </c>
      <c r="F2136" t="s">
        <v>26</v>
      </c>
      <c r="G2136" t="s">
        <v>44</v>
      </c>
      <c r="H2136" t="s">
        <v>124</v>
      </c>
      <c r="I2136" t="s">
        <v>39</v>
      </c>
      <c r="J2136" s="2">
        <v>6</v>
      </c>
      <c r="K2136" s="3">
        <v>6084.81</v>
      </c>
      <c r="L2136" s="3">
        <v>4629.1499999999996</v>
      </c>
      <c r="M2136" s="4">
        <v>0</v>
      </c>
      <c r="N2136" s="3">
        <f t="shared" si="165"/>
        <v>36508.86</v>
      </c>
      <c r="O2136" s="3">
        <f t="shared" si="166"/>
        <v>36508.86</v>
      </c>
      <c r="P2136" s="3">
        <f t="shared" si="167"/>
        <v>27774.9</v>
      </c>
      <c r="Q2136" s="3">
        <f t="shared" si="168"/>
        <v>8733.9599999999991</v>
      </c>
      <c r="R2136" s="4">
        <f t="shared" si="169"/>
        <v>0.2392</v>
      </c>
      <c r="S2136" s="2">
        <v>5</v>
      </c>
      <c r="T2136" t="s">
        <v>40</v>
      </c>
    </row>
    <row r="2137" spans="1:21" x14ac:dyDescent="0.25">
      <c r="A2137" s="1">
        <v>46121</v>
      </c>
      <c r="B2137" t="s">
        <v>2327</v>
      </c>
      <c r="C2137" t="s">
        <v>103</v>
      </c>
      <c r="D2137" t="s">
        <v>24</v>
      </c>
      <c r="E2137" t="s">
        <v>25</v>
      </c>
      <c r="F2137" t="s">
        <v>36</v>
      </c>
      <c r="G2137" t="s">
        <v>37</v>
      </c>
      <c r="H2137" t="s">
        <v>178</v>
      </c>
      <c r="I2137" t="s">
        <v>65</v>
      </c>
      <c r="J2137" s="2">
        <v>8</v>
      </c>
      <c r="K2137" s="3">
        <v>504.33</v>
      </c>
      <c r="L2137" s="3">
        <v>257.52999999999997</v>
      </c>
      <c r="M2137" s="4">
        <v>7.3700000000000002E-2</v>
      </c>
      <c r="N2137" s="3">
        <f t="shared" si="165"/>
        <v>4034.64</v>
      </c>
      <c r="O2137" s="3">
        <f t="shared" si="166"/>
        <v>3737.29</v>
      </c>
      <c r="P2137" s="3">
        <f t="shared" si="167"/>
        <v>2060.2399999999998</v>
      </c>
      <c r="Q2137" s="3">
        <f t="shared" si="168"/>
        <v>1677.05</v>
      </c>
      <c r="R2137" s="4">
        <f t="shared" si="169"/>
        <v>0.44869999999999999</v>
      </c>
      <c r="S2137" s="2">
        <v>13</v>
      </c>
      <c r="T2137" t="s">
        <v>40</v>
      </c>
    </row>
    <row r="2138" spans="1:21" x14ac:dyDescent="0.25">
      <c r="A2138" s="1">
        <v>46175</v>
      </c>
      <c r="B2138" t="s">
        <v>2328</v>
      </c>
      <c r="C2138" t="s">
        <v>33</v>
      </c>
      <c r="D2138" t="s">
        <v>34</v>
      </c>
      <c r="E2138" t="s">
        <v>35</v>
      </c>
      <c r="F2138" t="s">
        <v>36</v>
      </c>
      <c r="G2138" t="s">
        <v>27</v>
      </c>
      <c r="H2138" t="s">
        <v>68</v>
      </c>
      <c r="I2138" t="s">
        <v>39</v>
      </c>
      <c r="J2138" s="2">
        <v>4</v>
      </c>
      <c r="K2138" s="3">
        <v>1349.93</v>
      </c>
      <c r="L2138" s="3">
        <v>745.7</v>
      </c>
      <c r="M2138" s="4">
        <v>0</v>
      </c>
      <c r="N2138" s="3">
        <f t="shared" si="165"/>
        <v>5399.72</v>
      </c>
      <c r="O2138" s="3">
        <f t="shared" si="166"/>
        <v>5399.72</v>
      </c>
      <c r="P2138" s="3">
        <f t="shared" si="167"/>
        <v>2982.8</v>
      </c>
      <c r="Q2138" s="3">
        <f t="shared" si="168"/>
        <v>2416.92</v>
      </c>
      <c r="R2138" s="4">
        <f t="shared" si="169"/>
        <v>0.4476</v>
      </c>
      <c r="S2138" s="2">
        <v>3</v>
      </c>
      <c r="T2138" t="s">
        <v>46</v>
      </c>
      <c r="U2138">
        <v>5</v>
      </c>
    </row>
    <row r="2139" spans="1:21" x14ac:dyDescent="0.25">
      <c r="A2139" s="1">
        <v>46224</v>
      </c>
      <c r="B2139" t="s">
        <v>2329</v>
      </c>
      <c r="C2139" t="s">
        <v>466</v>
      </c>
      <c r="D2139" t="s">
        <v>34</v>
      </c>
      <c r="E2139" t="s">
        <v>35</v>
      </c>
      <c r="F2139" t="s">
        <v>26</v>
      </c>
      <c r="G2139" t="s">
        <v>27</v>
      </c>
      <c r="H2139" t="s">
        <v>28</v>
      </c>
      <c r="I2139" t="s">
        <v>77</v>
      </c>
      <c r="J2139" s="2">
        <v>4</v>
      </c>
      <c r="K2139" s="3">
        <v>778.48</v>
      </c>
      <c r="L2139" s="3">
        <v>455.79</v>
      </c>
      <c r="M2139" s="4">
        <v>2.8000000000000001E-2</v>
      </c>
      <c r="N2139" s="3">
        <f t="shared" si="165"/>
        <v>3113.92</v>
      </c>
      <c r="O2139" s="3">
        <f t="shared" si="166"/>
        <v>3026.73</v>
      </c>
      <c r="P2139" s="3">
        <f t="shared" si="167"/>
        <v>1823.16</v>
      </c>
      <c r="Q2139" s="3">
        <f t="shared" si="168"/>
        <v>1203.57</v>
      </c>
      <c r="R2139" s="4">
        <f t="shared" si="169"/>
        <v>0.39760000000000001</v>
      </c>
      <c r="S2139" s="2">
        <v>7</v>
      </c>
      <c r="T2139" t="s">
        <v>40</v>
      </c>
    </row>
    <row r="2140" spans="1:21" x14ac:dyDescent="0.25">
      <c r="A2140" s="1">
        <v>46230</v>
      </c>
      <c r="B2140" t="s">
        <v>2330</v>
      </c>
      <c r="C2140" t="s">
        <v>157</v>
      </c>
      <c r="D2140" t="s">
        <v>56</v>
      </c>
      <c r="E2140" t="s">
        <v>57</v>
      </c>
      <c r="F2140" t="s">
        <v>36</v>
      </c>
      <c r="G2140" t="s">
        <v>27</v>
      </c>
      <c r="H2140" t="s">
        <v>86</v>
      </c>
      <c r="I2140" t="s">
        <v>29</v>
      </c>
      <c r="J2140" s="2">
        <v>2</v>
      </c>
      <c r="K2140" s="3">
        <v>1906.28</v>
      </c>
      <c r="L2140" s="3">
        <v>1157.6199999999999</v>
      </c>
      <c r="M2140" s="4">
        <v>0.1134</v>
      </c>
      <c r="N2140" s="3">
        <f t="shared" si="165"/>
        <v>3812.56</v>
      </c>
      <c r="O2140" s="3">
        <f t="shared" si="166"/>
        <v>3380.22</v>
      </c>
      <c r="P2140" s="3">
        <f t="shared" si="167"/>
        <v>2315.2399999999998</v>
      </c>
      <c r="Q2140" s="3">
        <f t="shared" si="168"/>
        <v>1064.98</v>
      </c>
      <c r="R2140" s="4">
        <f t="shared" si="169"/>
        <v>0.31509999999999999</v>
      </c>
      <c r="S2140" s="2">
        <v>10</v>
      </c>
      <c r="T2140" t="s">
        <v>46</v>
      </c>
      <c r="U2140">
        <v>4</v>
      </c>
    </row>
    <row r="2141" spans="1:21" x14ac:dyDescent="0.25">
      <c r="A2141" s="1">
        <v>46062</v>
      </c>
      <c r="B2141" t="s">
        <v>2331</v>
      </c>
      <c r="C2141" t="s">
        <v>55</v>
      </c>
      <c r="D2141" t="s">
        <v>97</v>
      </c>
      <c r="E2141" t="s">
        <v>57</v>
      </c>
      <c r="F2141" t="s">
        <v>58</v>
      </c>
      <c r="G2141" t="s">
        <v>44</v>
      </c>
      <c r="H2141" t="s">
        <v>124</v>
      </c>
      <c r="I2141" t="s">
        <v>92</v>
      </c>
      <c r="J2141" s="2">
        <v>2</v>
      </c>
      <c r="K2141" s="3">
        <v>6219.61</v>
      </c>
      <c r="L2141" s="3">
        <v>4184.76</v>
      </c>
      <c r="M2141" s="4">
        <v>0.15579999999999999</v>
      </c>
      <c r="N2141" s="3">
        <f t="shared" si="165"/>
        <v>12439.22</v>
      </c>
      <c r="O2141" s="3">
        <f t="shared" si="166"/>
        <v>10501.19</v>
      </c>
      <c r="P2141" s="3">
        <f t="shared" si="167"/>
        <v>8369.52</v>
      </c>
      <c r="Q2141" s="3">
        <f t="shared" si="168"/>
        <v>2131.67</v>
      </c>
      <c r="R2141" s="4">
        <f t="shared" si="169"/>
        <v>0.20300000000000001</v>
      </c>
      <c r="S2141" s="2">
        <v>3</v>
      </c>
      <c r="T2141" t="s">
        <v>46</v>
      </c>
      <c r="U2141">
        <v>3</v>
      </c>
    </row>
    <row r="2142" spans="1:21" x14ac:dyDescent="0.25">
      <c r="A2142" s="1">
        <v>46043</v>
      </c>
      <c r="B2142" t="s">
        <v>2332</v>
      </c>
      <c r="C2142" t="s">
        <v>182</v>
      </c>
      <c r="D2142" t="s">
        <v>121</v>
      </c>
      <c r="E2142" t="s">
        <v>72</v>
      </c>
      <c r="F2142" t="s">
        <v>58</v>
      </c>
      <c r="G2142" t="s">
        <v>27</v>
      </c>
      <c r="H2142" t="s">
        <v>86</v>
      </c>
      <c r="I2142" t="s">
        <v>65</v>
      </c>
      <c r="J2142" s="2">
        <v>6</v>
      </c>
      <c r="K2142" s="3">
        <v>1827.84</v>
      </c>
      <c r="L2142" s="3">
        <v>1267.32</v>
      </c>
      <c r="M2142" s="4">
        <v>5.3800000000000001E-2</v>
      </c>
      <c r="N2142" s="3">
        <f t="shared" si="165"/>
        <v>10967.04</v>
      </c>
      <c r="O2142" s="3">
        <f t="shared" si="166"/>
        <v>10377.01</v>
      </c>
      <c r="P2142" s="3">
        <f t="shared" si="167"/>
        <v>7603.92</v>
      </c>
      <c r="Q2142" s="3">
        <f t="shared" si="168"/>
        <v>2773.09</v>
      </c>
      <c r="R2142" s="4">
        <f t="shared" si="169"/>
        <v>0.26719999999999999</v>
      </c>
      <c r="S2142" s="2">
        <v>9</v>
      </c>
      <c r="T2142" t="s">
        <v>46</v>
      </c>
      <c r="U2142">
        <v>2</v>
      </c>
    </row>
    <row r="2143" spans="1:21" x14ac:dyDescent="0.25">
      <c r="A2143" s="1">
        <v>46173</v>
      </c>
      <c r="B2143" t="s">
        <v>2333</v>
      </c>
      <c r="C2143" t="s">
        <v>190</v>
      </c>
      <c r="D2143" t="s">
        <v>126</v>
      </c>
      <c r="E2143" t="s">
        <v>57</v>
      </c>
      <c r="F2143" t="s">
        <v>26</v>
      </c>
      <c r="G2143" t="s">
        <v>27</v>
      </c>
      <c r="H2143" t="s">
        <v>68</v>
      </c>
      <c r="I2143" t="s">
        <v>53</v>
      </c>
      <c r="J2143" s="2">
        <v>5</v>
      </c>
      <c r="K2143" s="3">
        <v>1252.43</v>
      </c>
      <c r="L2143" s="3">
        <v>798.37</v>
      </c>
      <c r="M2143" s="4">
        <v>3.2099999999999997E-2</v>
      </c>
      <c r="N2143" s="3">
        <f t="shared" si="165"/>
        <v>6262.15</v>
      </c>
      <c r="O2143" s="3">
        <f t="shared" si="166"/>
        <v>6061.13</v>
      </c>
      <c r="P2143" s="3">
        <f t="shared" si="167"/>
        <v>3991.85</v>
      </c>
      <c r="Q2143" s="3">
        <f t="shared" si="168"/>
        <v>2069.2800000000002</v>
      </c>
      <c r="R2143" s="4">
        <f t="shared" si="169"/>
        <v>0.34139999999999998</v>
      </c>
      <c r="S2143" s="2">
        <v>6</v>
      </c>
      <c r="T2143" t="s">
        <v>46</v>
      </c>
      <c r="U2143">
        <v>5</v>
      </c>
    </row>
    <row r="2144" spans="1:21" x14ac:dyDescent="0.25">
      <c r="A2144" s="1">
        <v>46039</v>
      </c>
      <c r="B2144" t="s">
        <v>2334</v>
      </c>
      <c r="C2144" t="s">
        <v>42</v>
      </c>
      <c r="D2144" t="s">
        <v>71</v>
      </c>
      <c r="E2144" t="s">
        <v>72</v>
      </c>
      <c r="F2144" t="s">
        <v>36</v>
      </c>
      <c r="G2144" t="s">
        <v>37</v>
      </c>
      <c r="H2144" t="s">
        <v>178</v>
      </c>
      <c r="I2144" t="s">
        <v>53</v>
      </c>
      <c r="J2144" s="2">
        <v>2</v>
      </c>
      <c r="K2144" s="3">
        <v>499.34</v>
      </c>
      <c r="L2144" s="3">
        <v>252.08</v>
      </c>
      <c r="M2144" s="4">
        <v>0</v>
      </c>
      <c r="N2144" s="3">
        <f t="shared" si="165"/>
        <v>998.68</v>
      </c>
      <c r="O2144" s="3">
        <f t="shared" si="166"/>
        <v>998.68</v>
      </c>
      <c r="P2144" s="3">
        <f t="shared" si="167"/>
        <v>504.16</v>
      </c>
      <c r="Q2144" s="3">
        <f t="shared" si="168"/>
        <v>494.52</v>
      </c>
      <c r="R2144" s="4">
        <f t="shared" si="169"/>
        <v>0.49519999999999997</v>
      </c>
      <c r="S2144" s="2">
        <v>6</v>
      </c>
      <c r="T2144" t="s">
        <v>46</v>
      </c>
      <c r="U2144">
        <v>2</v>
      </c>
    </row>
    <row r="2145" spans="1:21" x14ac:dyDescent="0.25">
      <c r="A2145" s="1">
        <v>46197</v>
      </c>
      <c r="B2145" t="s">
        <v>2335</v>
      </c>
      <c r="C2145" t="s">
        <v>392</v>
      </c>
      <c r="D2145" t="s">
        <v>43</v>
      </c>
      <c r="E2145" t="s">
        <v>25</v>
      </c>
      <c r="F2145" t="s">
        <v>58</v>
      </c>
      <c r="G2145" t="s">
        <v>51</v>
      </c>
      <c r="H2145" t="s">
        <v>59</v>
      </c>
      <c r="I2145" t="s">
        <v>60</v>
      </c>
      <c r="J2145" s="2">
        <v>1</v>
      </c>
      <c r="K2145" s="3">
        <v>2264.1999999999998</v>
      </c>
      <c r="L2145" s="3">
        <v>1490.71</v>
      </c>
      <c r="M2145" s="4">
        <v>6.7900000000000002E-2</v>
      </c>
      <c r="N2145" s="3">
        <f t="shared" si="165"/>
        <v>2264.1999999999998</v>
      </c>
      <c r="O2145" s="3">
        <f t="shared" si="166"/>
        <v>2110.46</v>
      </c>
      <c r="P2145" s="3">
        <f t="shared" si="167"/>
        <v>1490.71</v>
      </c>
      <c r="Q2145" s="3">
        <f t="shared" si="168"/>
        <v>619.75</v>
      </c>
      <c r="R2145" s="4">
        <f t="shared" si="169"/>
        <v>0.29370000000000002</v>
      </c>
      <c r="S2145" s="2">
        <v>2</v>
      </c>
      <c r="T2145" t="s">
        <v>46</v>
      </c>
      <c r="U2145">
        <v>3</v>
      </c>
    </row>
    <row r="2146" spans="1:21" x14ac:dyDescent="0.25">
      <c r="A2146" s="1">
        <v>46102</v>
      </c>
      <c r="B2146" t="s">
        <v>2336</v>
      </c>
      <c r="C2146" t="s">
        <v>42</v>
      </c>
      <c r="D2146" t="s">
        <v>34</v>
      </c>
      <c r="E2146" t="s">
        <v>35</v>
      </c>
      <c r="F2146" t="s">
        <v>58</v>
      </c>
      <c r="G2146" t="s">
        <v>27</v>
      </c>
      <c r="H2146" t="s">
        <v>86</v>
      </c>
      <c r="I2146" t="s">
        <v>60</v>
      </c>
      <c r="J2146" s="2">
        <v>2</v>
      </c>
      <c r="K2146" s="3">
        <v>1961.42</v>
      </c>
      <c r="L2146" s="3">
        <v>1227.1099999999999</v>
      </c>
      <c r="M2146" s="4">
        <v>3.5000000000000003E-2</v>
      </c>
      <c r="N2146" s="3">
        <f t="shared" si="165"/>
        <v>3922.84</v>
      </c>
      <c r="O2146" s="3">
        <f t="shared" si="166"/>
        <v>3785.54</v>
      </c>
      <c r="P2146" s="3">
        <f t="shared" si="167"/>
        <v>2454.2199999999998</v>
      </c>
      <c r="Q2146" s="3">
        <f t="shared" si="168"/>
        <v>1331.32</v>
      </c>
      <c r="R2146" s="4">
        <f t="shared" si="169"/>
        <v>0.35170000000000001</v>
      </c>
      <c r="S2146" s="2">
        <v>2</v>
      </c>
      <c r="T2146" t="s">
        <v>46</v>
      </c>
      <c r="U2146">
        <v>3</v>
      </c>
    </row>
    <row r="2147" spans="1:21" x14ac:dyDescent="0.25">
      <c r="A2147" s="1">
        <v>46096</v>
      </c>
      <c r="B2147" t="s">
        <v>2337</v>
      </c>
      <c r="C2147" t="s">
        <v>375</v>
      </c>
      <c r="D2147" t="s">
        <v>71</v>
      </c>
      <c r="E2147" t="s">
        <v>72</v>
      </c>
      <c r="F2147" t="s">
        <v>26</v>
      </c>
      <c r="G2147" t="s">
        <v>37</v>
      </c>
      <c r="H2147" t="s">
        <v>104</v>
      </c>
      <c r="I2147" t="s">
        <v>39</v>
      </c>
      <c r="J2147" s="2">
        <v>4</v>
      </c>
      <c r="K2147" s="3">
        <v>315.70999999999998</v>
      </c>
      <c r="L2147" s="3">
        <v>137.09</v>
      </c>
      <c r="M2147" s="4">
        <v>0</v>
      </c>
      <c r="N2147" s="3">
        <f t="shared" si="165"/>
        <v>1262.8399999999999</v>
      </c>
      <c r="O2147" s="3">
        <f t="shared" si="166"/>
        <v>1262.8399999999999</v>
      </c>
      <c r="P2147" s="3">
        <f t="shared" si="167"/>
        <v>548.36</v>
      </c>
      <c r="Q2147" s="3">
        <f t="shared" si="168"/>
        <v>714.48</v>
      </c>
      <c r="R2147" s="4">
        <f t="shared" si="169"/>
        <v>0.56579999999999997</v>
      </c>
      <c r="S2147" s="2">
        <v>14</v>
      </c>
      <c r="T2147" t="s">
        <v>30</v>
      </c>
      <c r="U2147">
        <v>4</v>
      </c>
    </row>
    <row r="2148" spans="1:21" x14ac:dyDescent="0.25">
      <c r="A2148" s="1">
        <v>46124</v>
      </c>
      <c r="B2148" t="s">
        <v>2338</v>
      </c>
      <c r="C2148" t="s">
        <v>525</v>
      </c>
      <c r="D2148" t="s">
        <v>71</v>
      </c>
      <c r="E2148" t="s">
        <v>72</v>
      </c>
      <c r="F2148" t="s">
        <v>36</v>
      </c>
      <c r="G2148" t="s">
        <v>37</v>
      </c>
      <c r="H2148" t="s">
        <v>178</v>
      </c>
      <c r="I2148" t="s">
        <v>74</v>
      </c>
      <c r="J2148" s="2">
        <v>7</v>
      </c>
      <c r="K2148" s="3">
        <v>536.11</v>
      </c>
      <c r="L2148" s="3">
        <v>243.49</v>
      </c>
      <c r="M2148" s="4">
        <v>0.1236</v>
      </c>
      <c r="N2148" s="3">
        <f t="shared" si="165"/>
        <v>3752.77</v>
      </c>
      <c r="O2148" s="3">
        <f t="shared" si="166"/>
        <v>3288.93</v>
      </c>
      <c r="P2148" s="3">
        <f t="shared" si="167"/>
        <v>1704.43</v>
      </c>
      <c r="Q2148" s="3">
        <f t="shared" si="168"/>
        <v>1584.5</v>
      </c>
      <c r="R2148" s="4">
        <f t="shared" si="169"/>
        <v>0.48180000000000001</v>
      </c>
      <c r="S2148" s="2">
        <v>3</v>
      </c>
      <c r="T2148" t="s">
        <v>46</v>
      </c>
      <c r="U2148">
        <v>4</v>
      </c>
    </row>
    <row r="2149" spans="1:21" x14ac:dyDescent="0.25">
      <c r="A2149" s="1">
        <v>46218</v>
      </c>
      <c r="B2149" t="s">
        <v>2339</v>
      </c>
      <c r="C2149" t="s">
        <v>89</v>
      </c>
      <c r="D2149" t="s">
        <v>34</v>
      </c>
      <c r="E2149" t="s">
        <v>35</v>
      </c>
      <c r="F2149" t="s">
        <v>58</v>
      </c>
      <c r="G2149" t="s">
        <v>27</v>
      </c>
      <c r="H2149" t="s">
        <v>28</v>
      </c>
      <c r="I2149" t="s">
        <v>92</v>
      </c>
      <c r="J2149" s="2">
        <v>1</v>
      </c>
      <c r="K2149" s="3">
        <v>825.54</v>
      </c>
      <c r="L2149" s="3">
        <v>468.28</v>
      </c>
      <c r="M2149" s="4">
        <v>9.2700000000000005E-2</v>
      </c>
      <c r="N2149" s="3">
        <f t="shared" si="165"/>
        <v>825.54</v>
      </c>
      <c r="O2149" s="3">
        <f t="shared" si="166"/>
        <v>749.01</v>
      </c>
      <c r="P2149" s="3">
        <f t="shared" si="167"/>
        <v>468.28</v>
      </c>
      <c r="Q2149" s="3">
        <f t="shared" si="168"/>
        <v>280.73</v>
      </c>
      <c r="R2149" s="4">
        <f t="shared" si="169"/>
        <v>0.37480000000000002</v>
      </c>
      <c r="S2149" s="2">
        <v>10</v>
      </c>
      <c r="T2149" t="s">
        <v>46</v>
      </c>
      <c r="U2149">
        <v>2</v>
      </c>
    </row>
    <row r="2150" spans="1:21" x14ac:dyDescent="0.25">
      <c r="A2150" s="1">
        <v>46083</v>
      </c>
      <c r="B2150" t="s">
        <v>2340</v>
      </c>
      <c r="C2150" t="s">
        <v>48</v>
      </c>
      <c r="D2150" t="s">
        <v>71</v>
      </c>
      <c r="E2150" t="s">
        <v>72</v>
      </c>
      <c r="F2150" t="s">
        <v>26</v>
      </c>
      <c r="G2150" t="s">
        <v>44</v>
      </c>
      <c r="H2150" t="s">
        <v>45</v>
      </c>
      <c r="I2150" t="s">
        <v>65</v>
      </c>
      <c r="J2150" s="2">
        <v>4</v>
      </c>
      <c r="K2150" s="3">
        <v>383.53</v>
      </c>
      <c r="L2150" s="3">
        <v>220.65</v>
      </c>
      <c r="M2150" s="4">
        <v>0</v>
      </c>
      <c r="N2150" s="3">
        <f t="shared" si="165"/>
        <v>1534.12</v>
      </c>
      <c r="O2150" s="3">
        <f t="shared" si="166"/>
        <v>1534.12</v>
      </c>
      <c r="P2150" s="3">
        <f t="shared" si="167"/>
        <v>882.6</v>
      </c>
      <c r="Q2150" s="3">
        <f t="shared" si="168"/>
        <v>651.52</v>
      </c>
      <c r="R2150" s="4">
        <f t="shared" si="169"/>
        <v>0.42470000000000002</v>
      </c>
      <c r="S2150" s="2">
        <v>12</v>
      </c>
      <c r="T2150" t="s">
        <v>30</v>
      </c>
      <c r="U2150">
        <v>3</v>
      </c>
    </row>
    <row r="2151" spans="1:21" x14ac:dyDescent="0.25">
      <c r="A2151" s="1">
        <v>46196</v>
      </c>
      <c r="B2151" t="s">
        <v>2341</v>
      </c>
      <c r="C2151" t="s">
        <v>260</v>
      </c>
      <c r="D2151" t="s">
        <v>130</v>
      </c>
      <c r="E2151" t="s">
        <v>72</v>
      </c>
      <c r="F2151" t="s">
        <v>64</v>
      </c>
      <c r="G2151" t="s">
        <v>44</v>
      </c>
      <c r="H2151" t="s">
        <v>45</v>
      </c>
      <c r="I2151" t="s">
        <v>53</v>
      </c>
      <c r="J2151" s="2">
        <v>8</v>
      </c>
      <c r="K2151" s="3">
        <v>394.6</v>
      </c>
      <c r="L2151" s="3">
        <v>214.87</v>
      </c>
      <c r="M2151" s="4">
        <v>0</v>
      </c>
      <c r="N2151" s="3">
        <f t="shared" si="165"/>
        <v>3156.8</v>
      </c>
      <c r="O2151" s="3">
        <f t="shared" si="166"/>
        <v>3156.8</v>
      </c>
      <c r="P2151" s="3">
        <f t="shared" si="167"/>
        <v>1718.96</v>
      </c>
      <c r="Q2151" s="3">
        <f t="shared" si="168"/>
        <v>1437.84</v>
      </c>
      <c r="R2151" s="4">
        <f t="shared" si="169"/>
        <v>0.45550000000000002</v>
      </c>
      <c r="S2151" s="2">
        <v>8</v>
      </c>
      <c r="T2151" t="s">
        <v>46</v>
      </c>
      <c r="U2151">
        <v>4</v>
      </c>
    </row>
    <row r="2152" spans="1:21" x14ac:dyDescent="0.25">
      <c r="A2152" s="1">
        <v>46089</v>
      </c>
      <c r="B2152" t="s">
        <v>2342</v>
      </c>
      <c r="C2152" t="s">
        <v>317</v>
      </c>
      <c r="D2152" t="s">
        <v>101</v>
      </c>
      <c r="E2152" t="s">
        <v>35</v>
      </c>
      <c r="F2152" t="s">
        <v>58</v>
      </c>
      <c r="G2152" t="s">
        <v>44</v>
      </c>
      <c r="H2152" t="s">
        <v>124</v>
      </c>
      <c r="I2152" t="s">
        <v>53</v>
      </c>
      <c r="J2152" s="2">
        <v>4</v>
      </c>
      <c r="K2152" s="3">
        <v>6155.99</v>
      </c>
      <c r="L2152" s="3">
        <v>4352.42</v>
      </c>
      <c r="M2152" s="4">
        <v>3.5000000000000003E-2</v>
      </c>
      <c r="N2152" s="3">
        <f t="shared" si="165"/>
        <v>24623.96</v>
      </c>
      <c r="O2152" s="3">
        <f t="shared" si="166"/>
        <v>23762.12</v>
      </c>
      <c r="P2152" s="3">
        <f t="shared" si="167"/>
        <v>17409.68</v>
      </c>
      <c r="Q2152" s="3">
        <f t="shared" si="168"/>
        <v>6352.44</v>
      </c>
      <c r="R2152" s="4">
        <f t="shared" si="169"/>
        <v>0.26729999999999998</v>
      </c>
      <c r="S2152" s="2">
        <v>11</v>
      </c>
      <c r="T2152" t="s">
        <v>30</v>
      </c>
      <c r="U2152">
        <v>5</v>
      </c>
    </row>
    <row r="2153" spans="1:21" x14ac:dyDescent="0.25">
      <c r="A2153" s="1">
        <v>46062</v>
      </c>
      <c r="B2153" t="s">
        <v>2343</v>
      </c>
      <c r="C2153" t="s">
        <v>266</v>
      </c>
      <c r="D2153" t="s">
        <v>97</v>
      </c>
      <c r="E2153" t="s">
        <v>57</v>
      </c>
      <c r="F2153" t="s">
        <v>36</v>
      </c>
      <c r="G2153" t="s">
        <v>51</v>
      </c>
      <c r="H2153" t="s">
        <v>116</v>
      </c>
      <c r="I2153" t="s">
        <v>74</v>
      </c>
      <c r="J2153" s="2">
        <v>1</v>
      </c>
      <c r="K2153" s="3">
        <v>2733.35</v>
      </c>
      <c r="L2153" s="3">
        <v>1766.27</v>
      </c>
      <c r="M2153" s="4">
        <v>0</v>
      </c>
      <c r="N2153" s="3">
        <f t="shared" si="165"/>
        <v>2733.35</v>
      </c>
      <c r="O2153" s="3">
        <f t="shared" si="166"/>
        <v>2733.35</v>
      </c>
      <c r="P2153" s="3">
        <f t="shared" si="167"/>
        <v>1766.27</v>
      </c>
      <c r="Q2153" s="3">
        <f t="shared" si="168"/>
        <v>967.08</v>
      </c>
      <c r="R2153" s="4">
        <f t="shared" si="169"/>
        <v>0.3538</v>
      </c>
      <c r="S2153" s="2">
        <v>13</v>
      </c>
      <c r="T2153" t="s">
        <v>30</v>
      </c>
      <c r="U2153">
        <v>4</v>
      </c>
    </row>
    <row r="2154" spans="1:21" x14ac:dyDescent="0.25">
      <c r="A2154" s="1">
        <v>46203</v>
      </c>
      <c r="B2154" t="s">
        <v>2344</v>
      </c>
      <c r="C2154" t="s">
        <v>176</v>
      </c>
      <c r="D2154" t="s">
        <v>85</v>
      </c>
      <c r="E2154" t="s">
        <v>50</v>
      </c>
      <c r="F2154" t="s">
        <v>58</v>
      </c>
      <c r="G2154" t="s">
        <v>44</v>
      </c>
      <c r="H2154" t="s">
        <v>124</v>
      </c>
      <c r="I2154" t="s">
        <v>53</v>
      </c>
      <c r="J2154" s="2">
        <v>3</v>
      </c>
      <c r="K2154" s="3">
        <v>5786.18</v>
      </c>
      <c r="L2154" s="3">
        <v>4357.96</v>
      </c>
      <c r="M2154" s="4">
        <v>0.1065</v>
      </c>
      <c r="N2154" s="3">
        <f t="shared" si="165"/>
        <v>17358.54</v>
      </c>
      <c r="O2154" s="3">
        <f t="shared" si="166"/>
        <v>15509.86</v>
      </c>
      <c r="P2154" s="3">
        <f t="shared" si="167"/>
        <v>13073.88</v>
      </c>
      <c r="Q2154" s="3">
        <f t="shared" si="168"/>
        <v>2435.98</v>
      </c>
      <c r="R2154" s="4">
        <f t="shared" si="169"/>
        <v>0.15709999999999999</v>
      </c>
      <c r="S2154" s="2">
        <v>8</v>
      </c>
      <c r="T2154" t="s">
        <v>46</v>
      </c>
      <c r="U2154">
        <v>3</v>
      </c>
    </row>
    <row r="2155" spans="1:21" x14ac:dyDescent="0.25">
      <c r="A2155" s="1">
        <v>46057</v>
      </c>
      <c r="B2155" t="s">
        <v>2345</v>
      </c>
      <c r="C2155" t="s">
        <v>356</v>
      </c>
      <c r="D2155" t="s">
        <v>130</v>
      </c>
      <c r="E2155" t="s">
        <v>72</v>
      </c>
      <c r="F2155" t="s">
        <v>64</v>
      </c>
      <c r="G2155" t="s">
        <v>51</v>
      </c>
      <c r="H2155" t="s">
        <v>52</v>
      </c>
      <c r="I2155" t="s">
        <v>29</v>
      </c>
      <c r="J2155" s="2">
        <v>6</v>
      </c>
      <c r="K2155" s="3">
        <v>263.39</v>
      </c>
      <c r="L2155" s="3">
        <v>120.15</v>
      </c>
      <c r="M2155" s="4">
        <v>0</v>
      </c>
      <c r="N2155" s="3">
        <f t="shared" si="165"/>
        <v>1580.34</v>
      </c>
      <c r="O2155" s="3">
        <f t="shared" si="166"/>
        <v>1580.34</v>
      </c>
      <c r="P2155" s="3">
        <f t="shared" si="167"/>
        <v>720.9</v>
      </c>
      <c r="Q2155" s="3">
        <f t="shared" si="168"/>
        <v>859.44</v>
      </c>
      <c r="R2155" s="4">
        <f t="shared" si="169"/>
        <v>0.54379999999999995</v>
      </c>
      <c r="S2155" s="2">
        <v>9</v>
      </c>
      <c r="T2155" t="s">
        <v>46</v>
      </c>
      <c r="U2155">
        <v>2</v>
      </c>
    </row>
    <row r="2156" spans="1:21" x14ac:dyDescent="0.25">
      <c r="A2156" s="1">
        <v>46151</v>
      </c>
      <c r="B2156" t="s">
        <v>2346</v>
      </c>
      <c r="C2156" t="s">
        <v>317</v>
      </c>
      <c r="D2156" t="s">
        <v>121</v>
      </c>
      <c r="E2156" t="s">
        <v>72</v>
      </c>
      <c r="F2156" t="s">
        <v>26</v>
      </c>
      <c r="G2156" t="s">
        <v>37</v>
      </c>
      <c r="H2156" t="s">
        <v>104</v>
      </c>
      <c r="I2156" t="s">
        <v>29</v>
      </c>
      <c r="J2156" s="2">
        <v>5</v>
      </c>
      <c r="K2156" s="3">
        <v>307.43</v>
      </c>
      <c r="L2156" s="3">
        <v>140.81</v>
      </c>
      <c r="M2156" s="4">
        <v>0</v>
      </c>
      <c r="N2156" s="3">
        <f t="shared" si="165"/>
        <v>1537.15</v>
      </c>
      <c r="O2156" s="3">
        <f t="shared" si="166"/>
        <v>1537.15</v>
      </c>
      <c r="P2156" s="3">
        <f t="shared" si="167"/>
        <v>704.05</v>
      </c>
      <c r="Q2156" s="3">
        <f t="shared" si="168"/>
        <v>833.1</v>
      </c>
      <c r="R2156" s="4">
        <f t="shared" si="169"/>
        <v>0.54200000000000004</v>
      </c>
      <c r="S2156" s="2">
        <v>4</v>
      </c>
      <c r="T2156" t="s">
        <v>46</v>
      </c>
      <c r="U2156">
        <v>2</v>
      </c>
    </row>
    <row r="2157" spans="1:21" x14ac:dyDescent="0.25">
      <c r="A2157" s="1">
        <v>46070</v>
      </c>
      <c r="B2157" t="s">
        <v>2347</v>
      </c>
      <c r="C2157" t="s">
        <v>120</v>
      </c>
      <c r="D2157" t="s">
        <v>139</v>
      </c>
      <c r="E2157" t="s">
        <v>72</v>
      </c>
      <c r="F2157" t="s">
        <v>58</v>
      </c>
      <c r="G2157" t="s">
        <v>27</v>
      </c>
      <c r="H2157" t="s">
        <v>68</v>
      </c>
      <c r="I2157" t="s">
        <v>74</v>
      </c>
      <c r="J2157" s="2">
        <v>1</v>
      </c>
      <c r="K2157" s="3">
        <v>1343.33</v>
      </c>
      <c r="L2157" s="3">
        <v>773.89</v>
      </c>
      <c r="M2157" s="4">
        <v>0.158</v>
      </c>
      <c r="N2157" s="3">
        <f t="shared" si="165"/>
        <v>1343.33</v>
      </c>
      <c r="O2157" s="3">
        <f t="shared" si="166"/>
        <v>1131.08</v>
      </c>
      <c r="P2157" s="3">
        <f t="shared" si="167"/>
        <v>773.89</v>
      </c>
      <c r="Q2157" s="3">
        <f t="shared" si="168"/>
        <v>357.19</v>
      </c>
      <c r="R2157" s="4">
        <f t="shared" si="169"/>
        <v>0.31580000000000003</v>
      </c>
      <c r="S2157" s="2">
        <v>10</v>
      </c>
      <c r="T2157" t="s">
        <v>46</v>
      </c>
      <c r="U2157">
        <v>2</v>
      </c>
    </row>
    <row r="2158" spans="1:21" x14ac:dyDescent="0.25">
      <c r="A2158" s="1">
        <v>46193</v>
      </c>
      <c r="B2158" t="s">
        <v>2348</v>
      </c>
      <c r="C2158" t="s">
        <v>476</v>
      </c>
      <c r="D2158" t="s">
        <v>113</v>
      </c>
      <c r="E2158" t="s">
        <v>50</v>
      </c>
      <c r="F2158" t="s">
        <v>26</v>
      </c>
      <c r="G2158" t="s">
        <v>37</v>
      </c>
      <c r="H2158" t="s">
        <v>178</v>
      </c>
      <c r="I2158" t="s">
        <v>65</v>
      </c>
      <c r="J2158" s="2">
        <v>4</v>
      </c>
      <c r="K2158" s="3">
        <v>524.28</v>
      </c>
      <c r="L2158" s="3">
        <v>250.56</v>
      </c>
      <c r="M2158" s="4">
        <v>0.1163</v>
      </c>
      <c r="N2158" s="3">
        <f t="shared" si="165"/>
        <v>2097.12</v>
      </c>
      <c r="O2158" s="3">
        <f t="shared" si="166"/>
        <v>1853.22</v>
      </c>
      <c r="P2158" s="3">
        <f t="shared" si="167"/>
        <v>1002.24</v>
      </c>
      <c r="Q2158" s="3">
        <f t="shared" si="168"/>
        <v>850.98</v>
      </c>
      <c r="R2158" s="4">
        <f t="shared" si="169"/>
        <v>0.4592</v>
      </c>
      <c r="S2158" s="2">
        <v>2</v>
      </c>
      <c r="T2158" t="s">
        <v>46</v>
      </c>
      <c r="U2158">
        <v>3</v>
      </c>
    </row>
    <row r="2159" spans="1:21" x14ac:dyDescent="0.25">
      <c r="A2159" s="1">
        <v>46085</v>
      </c>
      <c r="B2159" t="s">
        <v>2349</v>
      </c>
      <c r="C2159" t="s">
        <v>392</v>
      </c>
      <c r="D2159" t="s">
        <v>24</v>
      </c>
      <c r="E2159" t="s">
        <v>25</v>
      </c>
      <c r="F2159" t="s">
        <v>58</v>
      </c>
      <c r="G2159" t="s">
        <v>27</v>
      </c>
      <c r="H2159" t="s">
        <v>86</v>
      </c>
      <c r="I2159" t="s">
        <v>87</v>
      </c>
      <c r="J2159" s="2">
        <v>3</v>
      </c>
      <c r="K2159" s="3">
        <v>1809.36</v>
      </c>
      <c r="L2159" s="3">
        <v>1202.55</v>
      </c>
      <c r="M2159" s="4">
        <v>8.6599999999999996E-2</v>
      </c>
      <c r="N2159" s="3">
        <f t="shared" si="165"/>
        <v>5428.08</v>
      </c>
      <c r="O2159" s="3">
        <f t="shared" si="166"/>
        <v>4958.01</v>
      </c>
      <c r="P2159" s="3">
        <f t="shared" si="167"/>
        <v>3607.65</v>
      </c>
      <c r="Q2159" s="3">
        <f t="shared" si="168"/>
        <v>1350.36</v>
      </c>
      <c r="R2159" s="4">
        <f t="shared" si="169"/>
        <v>0.27239999999999998</v>
      </c>
      <c r="S2159" s="2">
        <v>6</v>
      </c>
      <c r="T2159" t="s">
        <v>46</v>
      </c>
      <c r="U2159">
        <v>3</v>
      </c>
    </row>
    <row r="2160" spans="1:21" x14ac:dyDescent="0.25">
      <c r="A2160" s="1">
        <v>46154</v>
      </c>
      <c r="B2160" t="s">
        <v>2350</v>
      </c>
      <c r="C2160" t="s">
        <v>82</v>
      </c>
      <c r="D2160" t="s">
        <v>43</v>
      </c>
      <c r="E2160" t="s">
        <v>25</v>
      </c>
      <c r="F2160" t="s">
        <v>64</v>
      </c>
      <c r="G2160" t="s">
        <v>27</v>
      </c>
      <c r="H2160" t="s">
        <v>86</v>
      </c>
      <c r="I2160" t="s">
        <v>87</v>
      </c>
      <c r="J2160" s="2">
        <v>2</v>
      </c>
      <c r="K2160" s="3">
        <v>1830.8</v>
      </c>
      <c r="L2160" s="3">
        <v>1206.5</v>
      </c>
      <c r="M2160" s="4">
        <v>1.1599999999999999E-2</v>
      </c>
      <c r="N2160" s="3">
        <f t="shared" si="165"/>
        <v>3661.6</v>
      </c>
      <c r="O2160" s="3">
        <f t="shared" si="166"/>
        <v>3619.13</v>
      </c>
      <c r="P2160" s="3">
        <f t="shared" si="167"/>
        <v>2413</v>
      </c>
      <c r="Q2160" s="3">
        <f t="shared" si="168"/>
        <v>1206.1300000000001</v>
      </c>
      <c r="R2160" s="4">
        <f t="shared" si="169"/>
        <v>0.33329999999999999</v>
      </c>
      <c r="S2160" s="2">
        <v>4</v>
      </c>
      <c r="T2160" t="s">
        <v>46</v>
      </c>
      <c r="U2160">
        <v>4</v>
      </c>
    </row>
    <row r="2161" spans="1:22" x14ac:dyDescent="0.25">
      <c r="A2161" s="1">
        <v>46111</v>
      </c>
      <c r="B2161" t="s">
        <v>2351</v>
      </c>
      <c r="C2161" t="s">
        <v>62</v>
      </c>
      <c r="D2161" t="s">
        <v>56</v>
      </c>
      <c r="E2161" t="s">
        <v>57</v>
      </c>
      <c r="F2161" t="s">
        <v>58</v>
      </c>
      <c r="G2161" t="s">
        <v>37</v>
      </c>
      <c r="H2161" t="s">
        <v>38</v>
      </c>
      <c r="I2161" t="s">
        <v>65</v>
      </c>
      <c r="J2161" s="2">
        <v>1</v>
      </c>
      <c r="K2161" s="3">
        <v>423.64</v>
      </c>
      <c r="L2161" s="3">
        <v>191.59</v>
      </c>
      <c r="M2161" s="4">
        <v>0.12770000000000001</v>
      </c>
      <c r="N2161" s="3">
        <f t="shared" si="165"/>
        <v>423.64</v>
      </c>
      <c r="O2161" s="3">
        <f t="shared" si="166"/>
        <v>369.54</v>
      </c>
      <c r="P2161" s="3">
        <f t="shared" si="167"/>
        <v>191.59</v>
      </c>
      <c r="Q2161" s="3">
        <f t="shared" si="168"/>
        <v>177.95</v>
      </c>
      <c r="R2161" s="4">
        <f t="shared" si="169"/>
        <v>0.48149999999999998</v>
      </c>
      <c r="S2161" s="2">
        <v>3</v>
      </c>
      <c r="T2161" t="s">
        <v>46</v>
      </c>
      <c r="U2161">
        <v>5</v>
      </c>
    </row>
    <row r="2162" spans="1:22" x14ac:dyDescent="0.25">
      <c r="A2162" s="1">
        <v>46119</v>
      </c>
      <c r="B2162" t="s">
        <v>2352</v>
      </c>
      <c r="C2162" t="s">
        <v>112</v>
      </c>
      <c r="D2162" t="s">
        <v>71</v>
      </c>
      <c r="E2162" t="s">
        <v>72</v>
      </c>
      <c r="F2162" t="s">
        <v>26</v>
      </c>
      <c r="G2162" t="s">
        <v>44</v>
      </c>
      <c r="H2162" t="s">
        <v>124</v>
      </c>
      <c r="I2162" t="s">
        <v>65</v>
      </c>
      <c r="J2162" s="2">
        <v>5</v>
      </c>
      <c r="K2162" s="3">
        <v>6082.28</v>
      </c>
      <c r="L2162" s="3">
        <v>4373.8999999999996</v>
      </c>
      <c r="M2162" s="4">
        <v>0</v>
      </c>
      <c r="N2162" s="3">
        <f t="shared" si="165"/>
        <v>30411.4</v>
      </c>
      <c r="O2162" s="3">
        <f t="shared" si="166"/>
        <v>30411.4</v>
      </c>
      <c r="P2162" s="3">
        <f t="shared" si="167"/>
        <v>21869.5</v>
      </c>
      <c r="Q2162" s="3">
        <f t="shared" si="168"/>
        <v>8541.9</v>
      </c>
      <c r="R2162" s="4">
        <f t="shared" si="169"/>
        <v>0.28089999999999998</v>
      </c>
      <c r="S2162" s="2">
        <v>4</v>
      </c>
      <c r="T2162" t="s">
        <v>46</v>
      </c>
      <c r="U2162">
        <v>5</v>
      </c>
    </row>
    <row r="2163" spans="1:22" x14ac:dyDescent="0.25">
      <c r="A2163" s="1">
        <v>46151</v>
      </c>
      <c r="B2163" t="s">
        <v>2353</v>
      </c>
      <c r="C2163" t="s">
        <v>358</v>
      </c>
      <c r="D2163" t="s">
        <v>85</v>
      </c>
      <c r="E2163" t="s">
        <v>50</v>
      </c>
      <c r="F2163" t="s">
        <v>58</v>
      </c>
      <c r="G2163" t="s">
        <v>44</v>
      </c>
      <c r="H2163" t="s">
        <v>73</v>
      </c>
      <c r="I2163" t="s">
        <v>94</v>
      </c>
      <c r="J2163" s="2">
        <v>6</v>
      </c>
      <c r="K2163" s="3">
        <v>1740.73</v>
      </c>
      <c r="L2163" s="3">
        <v>1103.3900000000001</v>
      </c>
      <c r="M2163" s="4">
        <v>0.13100000000000001</v>
      </c>
      <c r="N2163" s="3">
        <f t="shared" si="165"/>
        <v>10444.379999999999</v>
      </c>
      <c r="O2163" s="3">
        <f t="shared" si="166"/>
        <v>9076.17</v>
      </c>
      <c r="P2163" s="3">
        <f t="shared" si="167"/>
        <v>6620.34</v>
      </c>
      <c r="Q2163" s="3">
        <f t="shared" si="168"/>
        <v>2455.83</v>
      </c>
      <c r="R2163" s="4">
        <f t="shared" si="169"/>
        <v>0.27060000000000001</v>
      </c>
      <c r="S2163" s="2">
        <v>6</v>
      </c>
      <c r="T2163" t="s">
        <v>46</v>
      </c>
      <c r="U2163">
        <v>4</v>
      </c>
    </row>
    <row r="2164" spans="1:22" x14ac:dyDescent="0.25">
      <c r="A2164" s="1">
        <v>46135</v>
      </c>
      <c r="B2164" t="s">
        <v>2354</v>
      </c>
      <c r="C2164" t="s">
        <v>195</v>
      </c>
      <c r="D2164" t="s">
        <v>121</v>
      </c>
      <c r="E2164" t="s">
        <v>72</v>
      </c>
      <c r="F2164" t="s">
        <v>26</v>
      </c>
      <c r="G2164" t="s">
        <v>37</v>
      </c>
      <c r="H2164" t="s">
        <v>38</v>
      </c>
      <c r="I2164" t="s">
        <v>60</v>
      </c>
      <c r="J2164" s="2">
        <v>2</v>
      </c>
      <c r="K2164" s="3">
        <v>447.62</v>
      </c>
      <c r="L2164" s="3">
        <v>202.69</v>
      </c>
      <c r="M2164" s="4">
        <v>0.1053</v>
      </c>
      <c r="N2164" s="3">
        <f t="shared" si="165"/>
        <v>895.24</v>
      </c>
      <c r="O2164" s="3">
        <f t="shared" si="166"/>
        <v>800.97</v>
      </c>
      <c r="P2164" s="3">
        <f t="shared" si="167"/>
        <v>405.38</v>
      </c>
      <c r="Q2164" s="3">
        <f t="shared" si="168"/>
        <v>395.59</v>
      </c>
      <c r="R2164" s="4">
        <f t="shared" si="169"/>
        <v>0.49390000000000001</v>
      </c>
      <c r="S2164" s="2">
        <v>12</v>
      </c>
      <c r="T2164" t="s">
        <v>30</v>
      </c>
      <c r="U2164">
        <v>5</v>
      </c>
    </row>
    <row r="2165" spans="1:22" x14ac:dyDescent="0.25">
      <c r="A2165" s="1">
        <v>46138</v>
      </c>
      <c r="B2165" t="s">
        <v>2355</v>
      </c>
      <c r="C2165" t="s">
        <v>180</v>
      </c>
      <c r="D2165" t="s">
        <v>49</v>
      </c>
      <c r="E2165" t="s">
        <v>50</v>
      </c>
      <c r="F2165" t="s">
        <v>58</v>
      </c>
      <c r="G2165" t="s">
        <v>44</v>
      </c>
      <c r="H2165" t="s">
        <v>124</v>
      </c>
      <c r="I2165" t="s">
        <v>65</v>
      </c>
      <c r="J2165" s="2">
        <v>4</v>
      </c>
      <c r="K2165" s="3">
        <v>5943.34</v>
      </c>
      <c r="L2165" s="3">
        <v>4419.9399999999996</v>
      </c>
      <c r="M2165" s="4">
        <v>3.5000000000000003E-2</v>
      </c>
      <c r="N2165" s="3">
        <f t="shared" si="165"/>
        <v>23773.360000000001</v>
      </c>
      <c r="O2165" s="3">
        <f t="shared" si="166"/>
        <v>22941.29</v>
      </c>
      <c r="P2165" s="3">
        <f t="shared" si="167"/>
        <v>17679.759999999998</v>
      </c>
      <c r="Q2165" s="3">
        <f t="shared" si="168"/>
        <v>5261.53</v>
      </c>
      <c r="R2165" s="4">
        <f t="shared" si="169"/>
        <v>0.2293</v>
      </c>
      <c r="S2165" s="2">
        <v>4</v>
      </c>
      <c r="T2165" t="s">
        <v>46</v>
      </c>
      <c r="U2165">
        <v>4</v>
      </c>
    </row>
    <row r="2166" spans="1:22" x14ac:dyDescent="0.25">
      <c r="A2166" s="1">
        <v>46044</v>
      </c>
      <c r="B2166" t="s">
        <v>2356</v>
      </c>
      <c r="C2166" t="s">
        <v>132</v>
      </c>
      <c r="D2166" t="s">
        <v>207</v>
      </c>
      <c r="E2166" t="s">
        <v>35</v>
      </c>
      <c r="F2166" t="s">
        <v>58</v>
      </c>
      <c r="G2166" t="s">
        <v>27</v>
      </c>
      <c r="H2166" t="s">
        <v>86</v>
      </c>
      <c r="I2166" t="s">
        <v>77</v>
      </c>
      <c r="J2166" s="2">
        <v>3</v>
      </c>
      <c r="K2166" s="3">
        <v>1897.8</v>
      </c>
      <c r="L2166" s="3">
        <v>1210.8399999999999</v>
      </c>
      <c r="M2166" s="4">
        <v>3.5000000000000003E-2</v>
      </c>
      <c r="N2166" s="3">
        <f t="shared" si="165"/>
        <v>5693.4</v>
      </c>
      <c r="O2166" s="3">
        <f t="shared" si="166"/>
        <v>5494.13</v>
      </c>
      <c r="P2166" s="3">
        <f t="shared" si="167"/>
        <v>3632.52</v>
      </c>
      <c r="Q2166" s="3">
        <f t="shared" si="168"/>
        <v>1861.61</v>
      </c>
      <c r="R2166" s="4">
        <f t="shared" si="169"/>
        <v>0.33879999999999999</v>
      </c>
      <c r="S2166" s="2">
        <v>10</v>
      </c>
      <c r="T2166" t="s">
        <v>46</v>
      </c>
      <c r="U2166">
        <v>3</v>
      </c>
    </row>
    <row r="2167" spans="1:22" x14ac:dyDescent="0.25">
      <c r="A2167" s="1">
        <v>46192</v>
      </c>
      <c r="B2167" t="s">
        <v>2357</v>
      </c>
      <c r="C2167" t="s">
        <v>118</v>
      </c>
      <c r="D2167" t="s">
        <v>139</v>
      </c>
      <c r="E2167" t="s">
        <v>72</v>
      </c>
      <c r="F2167" t="s">
        <v>64</v>
      </c>
      <c r="G2167" t="s">
        <v>51</v>
      </c>
      <c r="H2167" t="s">
        <v>59</v>
      </c>
      <c r="I2167" t="s">
        <v>94</v>
      </c>
      <c r="J2167" s="2">
        <v>1</v>
      </c>
      <c r="K2167" s="3">
        <v>2148.7600000000002</v>
      </c>
      <c r="L2167" s="3">
        <v>1463.08</v>
      </c>
      <c r="M2167" s="4">
        <v>9.9299999999999999E-2</v>
      </c>
      <c r="N2167" s="3">
        <f t="shared" si="165"/>
        <v>2148.7600000000002</v>
      </c>
      <c r="O2167" s="3">
        <f t="shared" si="166"/>
        <v>1935.39</v>
      </c>
      <c r="P2167" s="3">
        <f t="shared" si="167"/>
        <v>1463.08</v>
      </c>
      <c r="Q2167" s="3">
        <f t="shared" si="168"/>
        <v>472.31</v>
      </c>
      <c r="R2167" s="4">
        <f t="shared" si="169"/>
        <v>0.24399999999999999</v>
      </c>
      <c r="S2167" s="2">
        <v>9</v>
      </c>
      <c r="T2167" t="s">
        <v>46</v>
      </c>
      <c r="U2167">
        <v>4</v>
      </c>
    </row>
    <row r="2168" spans="1:22" x14ac:dyDescent="0.25">
      <c r="A2168" s="1">
        <v>46089</v>
      </c>
      <c r="B2168" t="s">
        <v>2358</v>
      </c>
      <c r="C2168" t="s">
        <v>456</v>
      </c>
      <c r="D2168" t="s">
        <v>130</v>
      </c>
      <c r="E2168" t="s">
        <v>72</v>
      </c>
      <c r="F2168" t="s">
        <v>26</v>
      </c>
      <c r="G2168" t="s">
        <v>44</v>
      </c>
      <c r="H2168" t="s">
        <v>45</v>
      </c>
      <c r="I2168" t="s">
        <v>94</v>
      </c>
      <c r="J2168" s="2">
        <v>3</v>
      </c>
      <c r="K2168" s="3">
        <v>376.96</v>
      </c>
      <c r="L2168" s="3">
        <v>218.8</v>
      </c>
      <c r="M2168" s="4">
        <v>0</v>
      </c>
      <c r="N2168" s="3">
        <f t="shared" si="165"/>
        <v>1130.8800000000001</v>
      </c>
      <c r="O2168" s="3">
        <f t="shared" si="166"/>
        <v>1130.8800000000001</v>
      </c>
      <c r="P2168" s="3">
        <f t="shared" si="167"/>
        <v>656.4</v>
      </c>
      <c r="Q2168" s="3">
        <f t="shared" si="168"/>
        <v>474.48</v>
      </c>
      <c r="R2168" s="4">
        <f t="shared" si="169"/>
        <v>0.41959999999999997</v>
      </c>
      <c r="S2168" s="2">
        <v>7</v>
      </c>
      <c r="T2168" t="s">
        <v>46</v>
      </c>
      <c r="U2168">
        <v>4</v>
      </c>
    </row>
    <row r="2169" spans="1:22" x14ac:dyDescent="0.25">
      <c r="A2169" s="1">
        <v>46161</v>
      </c>
      <c r="B2169" t="s">
        <v>2359</v>
      </c>
      <c r="C2169" t="s">
        <v>220</v>
      </c>
      <c r="D2169" t="s">
        <v>207</v>
      </c>
      <c r="E2169" t="s">
        <v>35</v>
      </c>
      <c r="F2169" t="s">
        <v>64</v>
      </c>
      <c r="G2169" t="s">
        <v>27</v>
      </c>
      <c r="H2169" t="s">
        <v>86</v>
      </c>
      <c r="I2169" t="s">
        <v>39</v>
      </c>
      <c r="J2169" s="2">
        <v>3</v>
      </c>
      <c r="K2169" s="3">
        <v>2002.13</v>
      </c>
      <c r="L2169" s="3">
        <v>1188.05</v>
      </c>
      <c r="M2169" s="4">
        <v>0.45069999999999999</v>
      </c>
      <c r="N2169" s="3">
        <f t="shared" si="165"/>
        <v>6006.39</v>
      </c>
      <c r="O2169" s="3">
        <f t="shared" si="166"/>
        <v>3299.31</v>
      </c>
      <c r="P2169" s="3">
        <f t="shared" si="167"/>
        <v>3564.15</v>
      </c>
      <c r="Q2169" s="3">
        <f t="shared" si="168"/>
        <v>-264.83999999999997</v>
      </c>
      <c r="R2169" s="4">
        <f t="shared" si="169"/>
        <v>-8.0299999999999996E-2</v>
      </c>
      <c r="S2169" s="2">
        <v>4</v>
      </c>
      <c r="T2169" t="s">
        <v>46</v>
      </c>
      <c r="U2169">
        <v>5</v>
      </c>
      <c r="V2169" t="s">
        <v>31</v>
      </c>
    </row>
    <row r="2170" spans="1:22" x14ac:dyDescent="0.25">
      <c r="A2170" s="1">
        <v>46136</v>
      </c>
      <c r="B2170" t="s">
        <v>2360</v>
      </c>
      <c r="C2170" t="s">
        <v>527</v>
      </c>
      <c r="D2170" t="s">
        <v>56</v>
      </c>
      <c r="E2170" t="s">
        <v>57</v>
      </c>
      <c r="F2170" t="s">
        <v>26</v>
      </c>
      <c r="G2170" t="s">
        <v>44</v>
      </c>
      <c r="H2170" t="s">
        <v>73</v>
      </c>
      <c r="I2170" t="s">
        <v>92</v>
      </c>
      <c r="J2170" s="2">
        <v>7</v>
      </c>
      <c r="K2170" s="3">
        <v>1666.31</v>
      </c>
      <c r="L2170" s="3">
        <v>1124.73</v>
      </c>
      <c r="M2170" s="4">
        <v>5.11E-2</v>
      </c>
      <c r="N2170" s="3">
        <f t="shared" si="165"/>
        <v>11664.17</v>
      </c>
      <c r="O2170" s="3">
        <f t="shared" si="166"/>
        <v>11068.13</v>
      </c>
      <c r="P2170" s="3">
        <f t="shared" si="167"/>
        <v>7873.11</v>
      </c>
      <c r="Q2170" s="3">
        <f t="shared" si="168"/>
        <v>3195.02</v>
      </c>
      <c r="R2170" s="4">
        <f t="shared" si="169"/>
        <v>0.28870000000000001</v>
      </c>
      <c r="S2170" s="2">
        <v>5</v>
      </c>
      <c r="T2170" t="s">
        <v>46</v>
      </c>
      <c r="U2170">
        <v>5</v>
      </c>
    </row>
    <row r="2171" spans="1:22" x14ac:dyDescent="0.25">
      <c r="A2171" s="1">
        <v>46139</v>
      </c>
      <c r="B2171" t="s">
        <v>2361</v>
      </c>
      <c r="C2171" t="s">
        <v>247</v>
      </c>
      <c r="D2171" t="s">
        <v>63</v>
      </c>
      <c r="E2171" t="s">
        <v>35</v>
      </c>
      <c r="F2171" t="s">
        <v>64</v>
      </c>
      <c r="G2171" t="s">
        <v>37</v>
      </c>
      <c r="H2171" t="s">
        <v>178</v>
      </c>
      <c r="I2171" t="s">
        <v>65</v>
      </c>
      <c r="J2171" s="2">
        <v>1</v>
      </c>
      <c r="K2171" s="3">
        <v>505.14</v>
      </c>
      <c r="L2171" s="3">
        <v>250.95</v>
      </c>
      <c r="M2171" s="4">
        <v>0</v>
      </c>
      <c r="N2171" s="3">
        <f t="shared" si="165"/>
        <v>505.14</v>
      </c>
      <c r="O2171" s="3">
        <f t="shared" si="166"/>
        <v>505.14</v>
      </c>
      <c r="P2171" s="3">
        <f t="shared" si="167"/>
        <v>250.95</v>
      </c>
      <c r="Q2171" s="3">
        <f t="shared" si="168"/>
        <v>254.19</v>
      </c>
      <c r="R2171" s="4">
        <f t="shared" si="169"/>
        <v>0.50319999999999998</v>
      </c>
      <c r="S2171" s="2">
        <v>5</v>
      </c>
      <c r="T2171" t="s">
        <v>46</v>
      </c>
      <c r="U2171">
        <v>3</v>
      </c>
    </row>
    <row r="2172" spans="1:22" x14ac:dyDescent="0.25">
      <c r="A2172" s="1">
        <v>46027</v>
      </c>
      <c r="B2172" t="s">
        <v>2362</v>
      </c>
      <c r="C2172" t="s">
        <v>159</v>
      </c>
      <c r="D2172" t="s">
        <v>56</v>
      </c>
      <c r="E2172" t="s">
        <v>57</v>
      </c>
      <c r="F2172" t="s">
        <v>58</v>
      </c>
      <c r="G2172" t="s">
        <v>37</v>
      </c>
      <c r="H2172" t="s">
        <v>38</v>
      </c>
      <c r="I2172" t="s">
        <v>53</v>
      </c>
      <c r="J2172" s="2">
        <v>6</v>
      </c>
      <c r="K2172" s="3">
        <v>437.94</v>
      </c>
      <c r="L2172" s="3">
        <v>187.64</v>
      </c>
      <c r="M2172" s="4">
        <v>4.5400000000000003E-2</v>
      </c>
      <c r="N2172" s="3">
        <f t="shared" si="165"/>
        <v>2627.64</v>
      </c>
      <c r="O2172" s="3">
        <f t="shared" si="166"/>
        <v>2508.35</v>
      </c>
      <c r="P2172" s="3">
        <f t="shared" si="167"/>
        <v>1125.8399999999999</v>
      </c>
      <c r="Q2172" s="3">
        <f t="shared" si="168"/>
        <v>1382.51</v>
      </c>
      <c r="R2172" s="4">
        <f t="shared" si="169"/>
        <v>0.55120000000000002</v>
      </c>
      <c r="S2172" s="2">
        <v>12</v>
      </c>
      <c r="T2172" t="s">
        <v>30</v>
      </c>
      <c r="U2172">
        <v>4</v>
      </c>
    </row>
    <row r="2173" spans="1:22" x14ac:dyDescent="0.25">
      <c r="A2173" s="1">
        <v>46069</v>
      </c>
      <c r="B2173" t="s">
        <v>2363</v>
      </c>
      <c r="C2173" t="s">
        <v>266</v>
      </c>
      <c r="D2173" t="s">
        <v>34</v>
      </c>
      <c r="E2173" t="s">
        <v>35</v>
      </c>
      <c r="F2173" t="s">
        <v>64</v>
      </c>
      <c r="G2173" t="s">
        <v>37</v>
      </c>
      <c r="H2173" t="s">
        <v>38</v>
      </c>
      <c r="I2173" t="s">
        <v>92</v>
      </c>
      <c r="J2173" s="2">
        <v>4</v>
      </c>
      <c r="K2173" s="3">
        <v>415.73</v>
      </c>
      <c r="L2173" s="3">
        <v>187.95</v>
      </c>
      <c r="M2173" s="4">
        <v>5.4699999999999999E-2</v>
      </c>
      <c r="N2173" s="3">
        <f t="shared" si="165"/>
        <v>1662.92</v>
      </c>
      <c r="O2173" s="3">
        <f t="shared" si="166"/>
        <v>1571.96</v>
      </c>
      <c r="P2173" s="3">
        <f t="shared" si="167"/>
        <v>751.8</v>
      </c>
      <c r="Q2173" s="3">
        <f t="shared" si="168"/>
        <v>820.16</v>
      </c>
      <c r="R2173" s="4">
        <f t="shared" si="169"/>
        <v>0.52170000000000005</v>
      </c>
      <c r="S2173" s="2">
        <v>5</v>
      </c>
      <c r="T2173" t="s">
        <v>46</v>
      </c>
      <c r="U2173">
        <v>4</v>
      </c>
    </row>
    <row r="2174" spans="1:22" x14ac:dyDescent="0.25">
      <c r="A2174" s="1">
        <v>46039</v>
      </c>
      <c r="B2174" t="s">
        <v>2364</v>
      </c>
      <c r="C2174" t="s">
        <v>500</v>
      </c>
      <c r="D2174" t="s">
        <v>97</v>
      </c>
      <c r="E2174" t="s">
        <v>57</v>
      </c>
      <c r="F2174" t="s">
        <v>36</v>
      </c>
      <c r="G2174" t="s">
        <v>51</v>
      </c>
      <c r="H2174" t="s">
        <v>116</v>
      </c>
      <c r="I2174" t="s">
        <v>65</v>
      </c>
      <c r="J2174" s="2">
        <v>5</v>
      </c>
      <c r="K2174" s="3">
        <v>2630.91</v>
      </c>
      <c r="L2174" s="3">
        <v>1853.74</v>
      </c>
      <c r="M2174" s="4">
        <v>0.1149</v>
      </c>
      <c r="N2174" s="3">
        <f t="shared" si="165"/>
        <v>13154.55</v>
      </c>
      <c r="O2174" s="3">
        <f t="shared" si="166"/>
        <v>11643.09</v>
      </c>
      <c r="P2174" s="3">
        <f t="shared" si="167"/>
        <v>9268.7000000000007</v>
      </c>
      <c r="Q2174" s="3">
        <f t="shared" si="168"/>
        <v>2374.39</v>
      </c>
      <c r="R2174" s="4">
        <f t="shared" si="169"/>
        <v>0.2039</v>
      </c>
      <c r="S2174" s="2">
        <v>7</v>
      </c>
      <c r="T2174" t="s">
        <v>46</v>
      </c>
      <c r="U2174">
        <v>5</v>
      </c>
    </row>
    <row r="2175" spans="1:22" x14ac:dyDescent="0.25">
      <c r="A2175" s="1">
        <v>46093</v>
      </c>
      <c r="B2175" t="s">
        <v>2365</v>
      </c>
      <c r="C2175" t="s">
        <v>206</v>
      </c>
      <c r="D2175" t="s">
        <v>49</v>
      </c>
      <c r="E2175" t="s">
        <v>50</v>
      </c>
      <c r="F2175" t="s">
        <v>64</v>
      </c>
      <c r="G2175" t="s">
        <v>51</v>
      </c>
      <c r="H2175" t="s">
        <v>116</v>
      </c>
      <c r="I2175" t="s">
        <v>53</v>
      </c>
      <c r="J2175" s="2">
        <v>3</v>
      </c>
      <c r="K2175" s="3">
        <v>2805.65</v>
      </c>
      <c r="L2175" s="3">
        <v>1738.13</v>
      </c>
      <c r="M2175" s="4">
        <v>0</v>
      </c>
      <c r="N2175" s="3">
        <f t="shared" si="165"/>
        <v>8416.9500000000007</v>
      </c>
      <c r="O2175" s="3">
        <f t="shared" si="166"/>
        <v>8416.9500000000007</v>
      </c>
      <c r="P2175" s="3">
        <f t="shared" si="167"/>
        <v>5214.3900000000003</v>
      </c>
      <c r="Q2175" s="3">
        <f t="shared" si="168"/>
        <v>3202.56</v>
      </c>
      <c r="R2175" s="4">
        <f t="shared" si="169"/>
        <v>0.3805</v>
      </c>
      <c r="S2175" s="2">
        <v>12</v>
      </c>
      <c r="T2175" t="s">
        <v>30</v>
      </c>
      <c r="U2175">
        <v>3</v>
      </c>
    </row>
    <row r="2176" spans="1:22" x14ac:dyDescent="0.25">
      <c r="A2176" s="1">
        <v>46174</v>
      </c>
      <c r="B2176" t="s">
        <v>2366</v>
      </c>
      <c r="C2176" t="s">
        <v>480</v>
      </c>
      <c r="D2176" t="s">
        <v>34</v>
      </c>
      <c r="E2176" t="s">
        <v>35</v>
      </c>
      <c r="F2176" t="s">
        <v>36</v>
      </c>
      <c r="G2176" t="s">
        <v>44</v>
      </c>
      <c r="H2176" t="s">
        <v>124</v>
      </c>
      <c r="I2176" t="s">
        <v>87</v>
      </c>
      <c r="J2176" s="2">
        <v>1</v>
      </c>
      <c r="K2176" s="3">
        <v>5677.41</v>
      </c>
      <c r="L2176" s="3">
        <v>4475.93</v>
      </c>
      <c r="M2176" s="4">
        <v>9.2299999999999993E-2</v>
      </c>
      <c r="N2176" s="3">
        <f t="shared" si="165"/>
        <v>5677.41</v>
      </c>
      <c r="O2176" s="3">
        <f t="shared" si="166"/>
        <v>5153.3900000000003</v>
      </c>
      <c r="P2176" s="3">
        <f t="shared" si="167"/>
        <v>4475.93</v>
      </c>
      <c r="Q2176" s="3">
        <f t="shared" si="168"/>
        <v>677.46</v>
      </c>
      <c r="R2176" s="4">
        <f t="shared" si="169"/>
        <v>0.13150000000000001</v>
      </c>
      <c r="S2176" s="2">
        <v>4</v>
      </c>
      <c r="T2176" t="s">
        <v>46</v>
      </c>
      <c r="U2176">
        <v>3</v>
      </c>
    </row>
    <row r="2177" spans="1:22" x14ac:dyDescent="0.25">
      <c r="A2177" s="1">
        <v>46158</v>
      </c>
      <c r="B2177" t="s">
        <v>2367</v>
      </c>
      <c r="C2177" t="s">
        <v>286</v>
      </c>
      <c r="D2177" t="s">
        <v>85</v>
      </c>
      <c r="E2177" t="s">
        <v>50</v>
      </c>
      <c r="F2177" t="s">
        <v>64</v>
      </c>
      <c r="G2177" t="s">
        <v>51</v>
      </c>
      <c r="H2177" t="s">
        <v>52</v>
      </c>
      <c r="I2177" t="s">
        <v>53</v>
      </c>
      <c r="J2177" s="2">
        <v>7</v>
      </c>
      <c r="K2177" s="3">
        <v>262.02999999999997</v>
      </c>
      <c r="L2177" s="3">
        <v>117.87</v>
      </c>
      <c r="M2177" s="4">
        <v>9.9900000000000003E-2</v>
      </c>
      <c r="N2177" s="3">
        <f t="shared" si="165"/>
        <v>1834.21</v>
      </c>
      <c r="O2177" s="3">
        <f t="shared" si="166"/>
        <v>1650.97</v>
      </c>
      <c r="P2177" s="3">
        <f t="shared" si="167"/>
        <v>825.09</v>
      </c>
      <c r="Q2177" s="3">
        <f t="shared" si="168"/>
        <v>825.88</v>
      </c>
      <c r="R2177" s="4">
        <f t="shared" si="169"/>
        <v>0.50019999999999998</v>
      </c>
      <c r="S2177" s="2">
        <v>6</v>
      </c>
      <c r="T2177" t="s">
        <v>46</v>
      </c>
      <c r="U2177">
        <v>4</v>
      </c>
    </row>
    <row r="2178" spans="1:22" x14ac:dyDescent="0.25">
      <c r="A2178" s="1">
        <v>46085</v>
      </c>
      <c r="B2178" t="s">
        <v>2368</v>
      </c>
      <c r="C2178" t="s">
        <v>91</v>
      </c>
      <c r="D2178" t="s">
        <v>85</v>
      </c>
      <c r="E2178" t="s">
        <v>50</v>
      </c>
      <c r="F2178" t="s">
        <v>26</v>
      </c>
      <c r="G2178" t="s">
        <v>44</v>
      </c>
      <c r="H2178" t="s">
        <v>124</v>
      </c>
      <c r="I2178" t="s">
        <v>77</v>
      </c>
      <c r="J2178" s="2">
        <v>8</v>
      </c>
      <c r="K2178" s="3">
        <v>6094.04</v>
      </c>
      <c r="L2178" s="3">
        <v>4446.4399999999996</v>
      </c>
      <c r="M2178" s="4">
        <v>0</v>
      </c>
      <c r="N2178" s="3">
        <f t="shared" ref="N2178:N2241" si="170">ROUND(J2178*K2178,2)</f>
        <v>48752.32</v>
      </c>
      <c r="O2178" s="3">
        <f t="shared" ref="O2178:O2241" si="171">ROUND(N2178*(1-M2178),2)</f>
        <v>48752.32</v>
      </c>
      <c r="P2178" s="3">
        <f t="shared" ref="P2178:P2241" si="172">ROUND(J2178*L2178,2)</f>
        <v>35571.519999999997</v>
      </c>
      <c r="Q2178" s="3">
        <f t="shared" ref="Q2178:Q2241" si="173">ROUND(O2178-P2178,2)</f>
        <v>13180.8</v>
      </c>
      <c r="R2178" s="4">
        <f t="shared" ref="R2178:R2241" si="174">IF(O2178=0,0,ROUND(Q2178/O2178,4))</f>
        <v>0.27039999999999997</v>
      </c>
      <c r="S2178" s="2">
        <v>14</v>
      </c>
      <c r="T2178" t="s">
        <v>30</v>
      </c>
      <c r="U2178">
        <v>2</v>
      </c>
    </row>
    <row r="2179" spans="1:22" x14ac:dyDescent="0.25">
      <c r="A2179" s="1">
        <v>46139</v>
      </c>
      <c r="B2179" t="s">
        <v>2369</v>
      </c>
      <c r="C2179" t="s">
        <v>286</v>
      </c>
      <c r="D2179" t="s">
        <v>85</v>
      </c>
      <c r="E2179" t="s">
        <v>50</v>
      </c>
      <c r="F2179" t="s">
        <v>58</v>
      </c>
      <c r="G2179" t="s">
        <v>51</v>
      </c>
      <c r="H2179" t="s">
        <v>59</v>
      </c>
      <c r="I2179" t="s">
        <v>74</v>
      </c>
      <c r="J2179" s="2">
        <v>8</v>
      </c>
      <c r="K2179" s="3">
        <v>2254.3200000000002</v>
      </c>
      <c r="L2179" s="3">
        <v>1476.31</v>
      </c>
      <c r="M2179" s="4">
        <v>0.1615</v>
      </c>
      <c r="N2179" s="3">
        <f t="shared" si="170"/>
        <v>18034.560000000001</v>
      </c>
      <c r="O2179" s="3">
        <f t="shared" si="171"/>
        <v>15121.98</v>
      </c>
      <c r="P2179" s="3">
        <f t="shared" si="172"/>
        <v>11810.48</v>
      </c>
      <c r="Q2179" s="3">
        <f t="shared" si="173"/>
        <v>3311.5</v>
      </c>
      <c r="R2179" s="4">
        <f t="shared" si="174"/>
        <v>0.219</v>
      </c>
      <c r="S2179" s="2">
        <v>11</v>
      </c>
      <c r="T2179" t="s">
        <v>30</v>
      </c>
      <c r="U2179">
        <v>4</v>
      </c>
    </row>
    <row r="2180" spans="1:22" x14ac:dyDescent="0.25">
      <c r="A2180" s="1">
        <v>46183</v>
      </c>
      <c r="B2180" t="s">
        <v>2370</v>
      </c>
      <c r="C2180" t="s">
        <v>182</v>
      </c>
      <c r="D2180" t="s">
        <v>101</v>
      </c>
      <c r="E2180" t="s">
        <v>35</v>
      </c>
      <c r="F2180" t="s">
        <v>36</v>
      </c>
      <c r="G2180" t="s">
        <v>37</v>
      </c>
      <c r="H2180" t="s">
        <v>38</v>
      </c>
      <c r="I2180" t="s">
        <v>77</v>
      </c>
      <c r="J2180" s="2">
        <v>1</v>
      </c>
      <c r="K2180" s="3">
        <v>447.34</v>
      </c>
      <c r="L2180" s="3">
        <v>193.47</v>
      </c>
      <c r="M2180" s="4">
        <v>1.15E-2</v>
      </c>
      <c r="N2180" s="3">
        <f t="shared" si="170"/>
        <v>447.34</v>
      </c>
      <c r="O2180" s="3">
        <f t="shared" si="171"/>
        <v>442.2</v>
      </c>
      <c r="P2180" s="3">
        <f t="shared" si="172"/>
        <v>193.47</v>
      </c>
      <c r="Q2180" s="3">
        <f t="shared" si="173"/>
        <v>248.73</v>
      </c>
      <c r="R2180" s="4">
        <f t="shared" si="174"/>
        <v>0.5625</v>
      </c>
      <c r="S2180" s="2">
        <v>3</v>
      </c>
      <c r="T2180" t="s">
        <v>46</v>
      </c>
      <c r="U2180">
        <v>4</v>
      </c>
    </row>
    <row r="2181" spans="1:22" x14ac:dyDescent="0.25">
      <c r="A2181" s="1">
        <v>46163</v>
      </c>
      <c r="B2181" t="s">
        <v>2371</v>
      </c>
      <c r="C2181" t="s">
        <v>204</v>
      </c>
      <c r="D2181" t="s">
        <v>207</v>
      </c>
      <c r="E2181" t="s">
        <v>35</v>
      </c>
      <c r="F2181" t="s">
        <v>26</v>
      </c>
      <c r="G2181" t="s">
        <v>37</v>
      </c>
      <c r="H2181" t="s">
        <v>178</v>
      </c>
      <c r="I2181" t="s">
        <v>77</v>
      </c>
      <c r="J2181" s="2">
        <v>7</v>
      </c>
      <c r="K2181" s="3">
        <v>508.4</v>
      </c>
      <c r="L2181" s="3">
        <v>243.36</v>
      </c>
      <c r="M2181" s="4">
        <v>5.6500000000000002E-2</v>
      </c>
      <c r="N2181" s="3">
        <f t="shared" si="170"/>
        <v>3558.8</v>
      </c>
      <c r="O2181" s="3">
        <f t="shared" si="171"/>
        <v>3357.73</v>
      </c>
      <c r="P2181" s="3">
        <f t="shared" si="172"/>
        <v>1703.52</v>
      </c>
      <c r="Q2181" s="3">
        <f t="shared" si="173"/>
        <v>1654.21</v>
      </c>
      <c r="R2181" s="4">
        <f t="shared" si="174"/>
        <v>0.49270000000000003</v>
      </c>
      <c r="S2181" s="2">
        <v>13</v>
      </c>
      <c r="T2181" t="s">
        <v>30</v>
      </c>
      <c r="U2181">
        <v>4</v>
      </c>
    </row>
    <row r="2182" spans="1:22" x14ac:dyDescent="0.25">
      <c r="A2182" s="1">
        <v>46212</v>
      </c>
      <c r="B2182" t="s">
        <v>2372</v>
      </c>
      <c r="C2182" t="s">
        <v>378</v>
      </c>
      <c r="D2182" t="s">
        <v>71</v>
      </c>
      <c r="E2182" t="s">
        <v>72</v>
      </c>
      <c r="F2182" t="s">
        <v>58</v>
      </c>
      <c r="G2182" t="s">
        <v>44</v>
      </c>
      <c r="H2182" t="s">
        <v>124</v>
      </c>
      <c r="I2182" t="s">
        <v>87</v>
      </c>
      <c r="J2182" s="2">
        <v>4</v>
      </c>
      <c r="K2182" s="3">
        <v>5769.06</v>
      </c>
      <c r="L2182" s="3">
        <v>4629.12</v>
      </c>
      <c r="M2182" s="4">
        <v>3.9399999999999998E-2</v>
      </c>
      <c r="N2182" s="3">
        <f t="shared" si="170"/>
        <v>23076.240000000002</v>
      </c>
      <c r="O2182" s="3">
        <f t="shared" si="171"/>
        <v>22167.040000000001</v>
      </c>
      <c r="P2182" s="3">
        <f t="shared" si="172"/>
        <v>18516.48</v>
      </c>
      <c r="Q2182" s="3">
        <f t="shared" si="173"/>
        <v>3650.56</v>
      </c>
      <c r="R2182" s="4">
        <f t="shared" si="174"/>
        <v>0.16470000000000001</v>
      </c>
      <c r="S2182" s="2">
        <v>14</v>
      </c>
      <c r="T2182" t="s">
        <v>30</v>
      </c>
      <c r="U2182">
        <v>3</v>
      </c>
    </row>
    <row r="2183" spans="1:22" x14ac:dyDescent="0.25">
      <c r="A2183" s="1">
        <v>46215</v>
      </c>
      <c r="B2183" t="s">
        <v>2373</v>
      </c>
      <c r="C2183" t="s">
        <v>315</v>
      </c>
      <c r="D2183" t="s">
        <v>43</v>
      </c>
      <c r="E2183" t="s">
        <v>25</v>
      </c>
      <c r="F2183" t="s">
        <v>36</v>
      </c>
      <c r="G2183" t="s">
        <v>27</v>
      </c>
      <c r="H2183" t="s">
        <v>86</v>
      </c>
      <c r="I2183" t="s">
        <v>60</v>
      </c>
      <c r="J2183" s="2">
        <v>3</v>
      </c>
      <c r="K2183" s="3">
        <v>1960.44</v>
      </c>
      <c r="L2183" s="3">
        <v>1268.75</v>
      </c>
      <c r="M2183" s="4">
        <v>0</v>
      </c>
      <c r="N2183" s="3">
        <f t="shared" si="170"/>
        <v>5881.32</v>
      </c>
      <c r="O2183" s="3">
        <f t="shared" si="171"/>
        <v>5881.32</v>
      </c>
      <c r="P2183" s="3">
        <f t="shared" si="172"/>
        <v>3806.25</v>
      </c>
      <c r="Q2183" s="3">
        <f t="shared" si="173"/>
        <v>2075.0700000000002</v>
      </c>
      <c r="R2183" s="4">
        <f t="shared" si="174"/>
        <v>0.3528</v>
      </c>
      <c r="S2183" s="2">
        <v>11</v>
      </c>
      <c r="T2183" t="s">
        <v>30</v>
      </c>
      <c r="U2183">
        <v>2</v>
      </c>
    </row>
    <row r="2184" spans="1:22" x14ac:dyDescent="0.25">
      <c r="A2184" s="1">
        <v>46035</v>
      </c>
      <c r="B2184" t="s">
        <v>2374</v>
      </c>
      <c r="C2184" t="s">
        <v>375</v>
      </c>
      <c r="D2184" t="s">
        <v>43</v>
      </c>
      <c r="E2184" t="s">
        <v>25</v>
      </c>
      <c r="F2184" t="s">
        <v>36</v>
      </c>
      <c r="G2184" t="s">
        <v>27</v>
      </c>
      <c r="H2184" t="s">
        <v>68</v>
      </c>
      <c r="I2184" t="s">
        <v>39</v>
      </c>
      <c r="J2184" s="2">
        <v>4</v>
      </c>
      <c r="K2184" s="3">
        <v>1232.1199999999999</v>
      </c>
      <c r="L2184" s="3">
        <v>817.9</v>
      </c>
      <c r="M2184" s="4">
        <v>3.8899999999999997E-2</v>
      </c>
      <c r="N2184" s="3">
        <f t="shared" si="170"/>
        <v>4928.4799999999996</v>
      </c>
      <c r="O2184" s="3">
        <f t="shared" si="171"/>
        <v>4736.76</v>
      </c>
      <c r="P2184" s="3">
        <f t="shared" si="172"/>
        <v>3271.6</v>
      </c>
      <c r="Q2184" s="3">
        <f t="shared" si="173"/>
        <v>1465.16</v>
      </c>
      <c r="R2184" s="4">
        <f t="shared" si="174"/>
        <v>0.30930000000000002</v>
      </c>
      <c r="S2184" s="2">
        <v>9</v>
      </c>
      <c r="T2184" t="s">
        <v>46</v>
      </c>
      <c r="U2184">
        <v>2</v>
      </c>
    </row>
    <row r="2185" spans="1:22" x14ac:dyDescent="0.25">
      <c r="A2185" s="1">
        <v>46195</v>
      </c>
      <c r="B2185" t="s">
        <v>2375</v>
      </c>
      <c r="C2185" t="s">
        <v>500</v>
      </c>
      <c r="D2185" t="s">
        <v>24</v>
      </c>
      <c r="E2185" t="s">
        <v>25</v>
      </c>
      <c r="F2185" t="s">
        <v>64</v>
      </c>
      <c r="G2185" t="s">
        <v>44</v>
      </c>
      <c r="H2185" t="s">
        <v>45</v>
      </c>
      <c r="I2185" t="s">
        <v>53</v>
      </c>
      <c r="J2185" s="2">
        <v>2</v>
      </c>
      <c r="K2185" s="3">
        <v>381.25</v>
      </c>
      <c r="L2185" s="3">
        <v>209.84</v>
      </c>
      <c r="M2185" s="4">
        <v>9.4000000000000004E-3</v>
      </c>
      <c r="N2185" s="3">
        <f t="shared" si="170"/>
        <v>762.5</v>
      </c>
      <c r="O2185" s="3">
        <f t="shared" si="171"/>
        <v>755.33</v>
      </c>
      <c r="P2185" s="3">
        <f t="shared" si="172"/>
        <v>419.68</v>
      </c>
      <c r="Q2185" s="3">
        <f t="shared" si="173"/>
        <v>335.65</v>
      </c>
      <c r="R2185" s="4">
        <f t="shared" si="174"/>
        <v>0.44440000000000002</v>
      </c>
      <c r="S2185" s="2">
        <v>6</v>
      </c>
      <c r="T2185" t="s">
        <v>46</v>
      </c>
      <c r="U2185">
        <v>3</v>
      </c>
    </row>
    <row r="2186" spans="1:22" x14ac:dyDescent="0.25">
      <c r="A2186" s="1">
        <v>46062</v>
      </c>
      <c r="B2186" t="s">
        <v>2376</v>
      </c>
      <c r="C2186" t="s">
        <v>321</v>
      </c>
      <c r="D2186" t="s">
        <v>24</v>
      </c>
      <c r="E2186" t="s">
        <v>25</v>
      </c>
      <c r="F2186" t="s">
        <v>36</v>
      </c>
      <c r="G2186" t="s">
        <v>27</v>
      </c>
      <c r="H2186" t="s">
        <v>68</v>
      </c>
      <c r="I2186" t="s">
        <v>94</v>
      </c>
      <c r="J2186" s="2">
        <v>7</v>
      </c>
      <c r="K2186" s="3">
        <v>1363.82</v>
      </c>
      <c r="L2186" s="3">
        <v>788.29</v>
      </c>
      <c r="M2186" s="4">
        <v>0</v>
      </c>
      <c r="N2186" s="3">
        <f t="shared" si="170"/>
        <v>9546.74</v>
      </c>
      <c r="O2186" s="3">
        <f t="shared" si="171"/>
        <v>9546.74</v>
      </c>
      <c r="P2186" s="3">
        <f t="shared" si="172"/>
        <v>5518.03</v>
      </c>
      <c r="Q2186" s="3">
        <f t="shared" si="173"/>
        <v>4028.71</v>
      </c>
      <c r="R2186" s="4">
        <f t="shared" si="174"/>
        <v>0.42199999999999999</v>
      </c>
      <c r="S2186" s="2">
        <v>13</v>
      </c>
      <c r="T2186" t="s">
        <v>30</v>
      </c>
      <c r="U2186">
        <v>4</v>
      </c>
    </row>
    <row r="2187" spans="1:22" x14ac:dyDescent="0.25">
      <c r="A2187" s="1">
        <v>46168</v>
      </c>
      <c r="B2187" t="s">
        <v>2377</v>
      </c>
      <c r="C2187" t="s">
        <v>525</v>
      </c>
      <c r="D2187" t="s">
        <v>24</v>
      </c>
      <c r="E2187" t="s">
        <v>25</v>
      </c>
      <c r="F2187" t="s">
        <v>36</v>
      </c>
      <c r="G2187" t="s">
        <v>44</v>
      </c>
      <c r="H2187" t="s">
        <v>124</v>
      </c>
      <c r="I2187" t="s">
        <v>87</v>
      </c>
      <c r="J2187" s="2">
        <v>1</v>
      </c>
      <c r="K2187" s="3">
        <v>5575.93</v>
      </c>
      <c r="L2187" s="3">
        <v>4392.76</v>
      </c>
      <c r="M2187" s="4">
        <v>1.78E-2</v>
      </c>
      <c r="N2187" s="3">
        <f t="shared" si="170"/>
        <v>5575.93</v>
      </c>
      <c r="O2187" s="3">
        <f t="shared" si="171"/>
        <v>5476.68</v>
      </c>
      <c r="P2187" s="3">
        <f t="shared" si="172"/>
        <v>4392.76</v>
      </c>
      <c r="Q2187" s="3">
        <f t="shared" si="173"/>
        <v>1083.92</v>
      </c>
      <c r="R2187" s="4">
        <f t="shared" si="174"/>
        <v>0.19789999999999999</v>
      </c>
      <c r="S2187" s="2">
        <v>13</v>
      </c>
      <c r="T2187" t="s">
        <v>40</v>
      </c>
    </row>
    <row r="2188" spans="1:22" x14ac:dyDescent="0.25">
      <c r="A2188" s="1">
        <v>46075</v>
      </c>
      <c r="B2188" t="s">
        <v>2378</v>
      </c>
      <c r="C2188" t="s">
        <v>132</v>
      </c>
      <c r="D2188" t="s">
        <v>34</v>
      </c>
      <c r="E2188" t="s">
        <v>35</v>
      </c>
      <c r="F2188" t="s">
        <v>26</v>
      </c>
      <c r="G2188" t="s">
        <v>27</v>
      </c>
      <c r="H2188" t="s">
        <v>86</v>
      </c>
      <c r="I2188" t="s">
        <v>74</v>
      </c>
      <c r="J2188" s="2">
        <v>3</v>
      </c>
      <c r="K2188" s="3">
        <v>1810.99</v>
      </c>
      <c r="L2188" s="3">
        <v>1200.21</v>
      </c>
      <c r="M2188" s="4">
        <v>0</v>
      </c>
      <c r="N2188" s="3">
        <f t="shared" si="170"/>
        <v>5432.97</v>
      </c>
      <c r="O2188" s="3">
        <f t="shared" si="171"/>
        <v>5432.97</v>
      </c>
      <c r="P2188" s="3">
        <f t="shared" si="172"/>
        <v>3600.63</v>
      </c>
      <c r="Q2188" s="3">
        <f t="shared" si="173"/>
        <v>1832.34</v>
      </c>
      <c r="R2188" s="4">
        <f t="shared" si="174"/>
        <v>0.33729999999999999</v>
      </c>
      <c r="S2188" s="2">
        <v>8</v>
      </c>
      <c r="T2188" t="s">
        <v>46</v>
      </c>
      <c r="U2188">
        <v>4</v>
      </c>
    </row>
    <row r="2189" spans="1:22" x14ac:dyDescent="0.25">
      <c r="A2189" s="1">
        <v>46056</v>
      </c>
      <c r="B2189" t="s">
        <v>2379</v>
      </c>
      <c r="C2189" t="s">
        <v>206</v>
      </c>
      <c r="D2189" t="s">
        <v>126</v>
      </c>
      <c r="E2189" t="s">
        <v>57</v>
      </c>
      <c r="F2189" t="s">
        <v>64</v>
      </c>
      <c r="G2189" t="s">
        <v>44</v>
      </c>
      <c r="H2189" t="s">
        <v>45</v>
      </c>
      <c r="I2189" t="s">
        <v>94</v>
      </c>
      <c r="J2189" s="2">
        <v>1</v>
      </c>
      <c r="K2189" s="3">
        <v>373.44</v>
      </c>
      <c r="L2189" s="3">
        <v>201.72</v>
      </c>
      <c r="M2189" s="4">
        <v>7.0599999999999996E-2</v>
      </c>
      <c r="N2189" s="3">
        <f t="shared" si="170"/>
        <v>373.44</v>
      </c>
      <c r="O2189" s="3">
        <f t="shared" si="171"/>
        <v>347.08</v>
      </c>
      <c r="P2189" s="3">
        <f t="shared" si="172"/>
        <v>201.72</v>
      </c>
      <c r="Q2189" s="3">
        <f t="shared" si="173"/>
        <v>145.36000000000001</v>
      </c>
      <c r="R2189" s="4">
        <f t="shared" si="174"/>
        <v>0.41880000000000001</v>
      </c>
      <c r="S2189" s="2">
        <v>12</v>
      </c>
      <c r="T2189" t="s">
        <v>30</v>
      </c>
      <c r="U2189">
        <v>2</v>
      </c>
    </row>
    <row r="2190" spans="1:22" x14ac:dyDescent="0.25">
      <c r="A2190" s="1">
        <v>46150</v>
      </c>
      <c r="B2190" t="s">
        <v>2380</v>
      </c>
      <c r="C2190" t="s">
        <v>476</v>
      </c>
      <c r="D2190" t="s">
        <v>63</v>
      </c>
      <c r="E2190" t="s">
        <v>35</v>
      </c>
      <c r="F2190" t="s">
        <v>26</v>
      </c>
      <c r="G2190" t="s">
        <v>37</v>
      </c>
      <c r="H2190" t="s">
        <v>104</v>
      </c>
      <c r="I2190" t="s">
        <v>29</v>
      </c>
      <c r="J2190" s="2">
        <v>6</v>
      </c>
      <c r="K2190" s="3">
        <v>321.3</v>
      </c>
      <c r="L2190" s="3">
        <v>138.59</v>
      </c>
      <c r="M2190" s="4">
        <v>0</v>
      </c>
      <c r="N2190" s="3">
        <f t="shared" si="170"/>
        <v>1927.8</v>
      </c>
      <c r="O2190" s="3">
        <f t="shared" si="171"/>
        <v>1927.8</v>
      </c>
      <c r="P2190" s="3">
        <f t="shared" si="172"/>
        <v>831.54</v>
      </c>
      <c r="Q2190" s="3">
        <f t="shared" si="173"/>
        <v>1096.26</v>
      </c>
      <c r="R2190" s="4">
        <f t="shared" si="174"/>
        <v>0.56869999999999998</v>
      </c>
      <c r="S2190" s="2">
        <v>7</v>
      </c>
      <c r="T2190" t="s">
        <v>46</v>
      </c>
      <c r="U2190">
        <v>4</v>
      </c>
    </row>
    <row r="2191" spans="1:22" x14ac:dyDescent="0.25">
      <c r="A2191" s="1">
        <v>46081</v>
      </c>
      <c r="B2191" t="s">
        <v>2381</v>
      </c>
      <c r="C2191" t="s">
        <v>168</v>
      </c>
      <c r="D2191" t="s">
        <v>113</v>
      </c>
      <c r="E2191" t="s">
        <v>50</v>
      </c>
      <c r="F2191" t="s">
        <v>64</v>
      </c>
      <c r="G2191" t="s">
        <v>44</v>
      </c>
      <c r="H2191" t="s">
        <v>124</v>
      </c>
      <c r="I2191" t="s">
        <v>94</v>
      </c>
      <c r="J2191" s="2">
        <v>1</v>
      </c>
      <c r="K2191" s="3">
        <v>6031.95</v>
      </c>
      <c r="L2191" s="3">
        <v>4283.25</v>
      </c>
      <c r="M2191" s="4">
        <v>6.6400000000000001E-2</v>
      </c>
      <c r="N2191" s="3">
        <f t="shared" si="170"/>
        <v>6031.95</v>
      </c>
      <c r="O2191" s="3">
        <f t="shared" si="171"/>
        <v>5631.43</v>
      </c>
      <c r="P2191" s="3">
        <f t="shared" si="172"/>
        <v>4283.25</v>
      </c>
      <c r="Q2191" s="3">
        <f t="shared" si="173"/>
        <v>1348.18</v>
      </c>
      <c r="R2191" s="4">
        <f t="shared" si="174"/>
        <v>0.2394</v>
      </c>
      <c r="S2191" s="2">
        <v>4</v>
      </c>
      <c r="T2191" t="s">
        <v>46</v>
      </c>
      <c r="U2191">
        <v>5</v>
      </c>
    </row>
    <row r="2192" spans="1:22" x14ac:dyDescent="0.25">
      <c r="A2192" s="1">
        <v>46095</v>
      </c>
      <c r="B2192" t="s">
        <v>2382</v>
      </c>
      <c r="C2192" t="s">
        <v>174</v>
      </c>
      <c r="D2192" t="s">
        <v>113</v>
      </c>
      <c r="E2192" t="s">
        <v>50</v>
      </c>
      <c r="F2192" t="s">
        <v>58</v>
      </c>
      <c r="G2192" t="s">
        <v>27</v>
      </c>
      <c r="H2192" t="s">
        <v>28</v>
      </c>
      <c r="I2192" t="s">
        <v>77</v>
      </c>
      <c r="J2192" s="2">
        <v>5</v>
      </c>
      <c r="K2192" s="3">
        <v>806.2</v>
      </c>
      <c r="L2192" s="3">
        <v>476.5</v>
      </c>
      <c r="M2192" s="4">
        <v>0.1135</v>
      </c>
      <c r="N2192" s="3">
        <f t="shared" si="170"/>
        <v>4031</v>
      </c>
      <c r="O2192" s="3">
        <f t="shared" si="171"/>
        <v>3573.48</v>
      </c>
      <c r="P2192" s="3">
        <f t="shared" si="172"/>
        <v>2382.5</v>
      </c>
      <c r="Q2192" s="3">
        <f t="shared" si="173"/>
        <v>1190.98</v>
      </c>
      <c r="R2192" s="4">
        <f t="shared" si="174"/>
        <v>0.33329999999999999</v>
      </c>
      <c r="S2192" s="2">
        <v>31</v>
      </c>
      <c r="T2192" t="s">
        <v>30</v>
      </c>
      <c r="U2192">
        <v>2</v>
      </c>
      <c r="V2192" t="s">
        <v>208</v>
      </c>
    </row>
    <row r="2193" spans="1:21" x14ac:dyDescent="0.25">
      <c r="A2193" s="1">
        <v>46174</v>
      </c>
      <c r="B2193" t="s">
        <v>2383</v>
      </c>
      <c r="C2193" t="s">
        <v>560</v>
      </c>
      <c r="D2193" t="s">
        <v>121</v>
      </c>
      <c r="E2193" t="s">
        <v>72</v>
      </c>
      <c r="F2193" t="s">
        <v>64</v>
      </c>
      <c r="G2193" t="s">
        <v>27</v>
      </c>
      <c r="H2193" t="s">
        <v>28</v>
      </c>
      <c r="I2193" t="s">
        <v>77</v>
      </c>
      <c r="J2193" s="2">
        <v>8</v>
      </c>
      <c r="K2193" s="3">
        <v>799.62</v>
      </c>
      <c r="L2193" s="3">
        <v>489.82</v>
      </c>
      <c r="M2193" s="4">
        <v>0</v>
      </c>
      <c r="N2193" s="3">
        <f t="shared" si="170"/>
        <v>6396.96</v>
      </c>
      <c r="O2193" s="3">
        <f t="shared" si="171"/>
        <v>6396.96</v>
      </c>
      <c r="P2193" s="3">
        <f t="shared" si="172"/>
        <v>3918.56</v>
      </c>
      <c r="Q2193" s="3">
        <f t="shared" si="173"/>
        <v>2478.4</v>
      </c>
      <c r="R2193" s="4">
        <f t="shared" si="174"/>
        <v>0.38740000000000002</v>
      </c>
      <c r="S2193" s="2">
        <v>12</v>
      </c>
      <c r="T2193" t="s">
        <v>30</v>
      </c>
      <c r="U2193">
        <v>2</v>
      </c>
    </row>
    <row r="2194" spans="1:21" x14ac:dyDescent="0.25">
      <c r="A2194" s="1">
        <v>46187</v>
      </c>
      <c r="B2194" t="s">
        <v>2384</v>
      </c>
      <c r="C2194" t="s">
        <v>129</v>
      </c>
      <c r="D2194" t="s">
        <v>43</v>
      </c>
      <c r="E2194" t="s">
        <v>25</v>
      </c>
      <c r="F2194" t="s">
        <v>36</v>
      </c>
      <c r="G2194" t="s">
        <v>51</v>
      </c>
      <c r="H2194" t="s">
        <v>59</v>
      </c>
      <c r="I2194" t="s">
        <v>74</v>
      </c>
      <c r="J2194" s="2">
        <v>5</v>
      </c>
      <c r="K2194" s="3">
        <v>2201.13</v>
      </c>
      <c r="L2194" s="3">
        <v>1424.58</v>
      </c>
      <c r="M2194" s="4">
        <v>2.98E-2</v>
      </c>
      <c r="N2194" s="3">
        <f t="shared" si="170"/>
        <v>11005.65</v>
      </c>
      <c r="O2194" s="3">
        <f t="shared" si="171"/>
        <v>10677.68</v>
      </c>
      <c r="P2194" s="3">
        <f t="shared" si="172"/>
        <v>7122.9</v>
      </c>
      <c r="Q2194" s="3">
        <f t="shared" si="173"/>
        <v>3554.78</v>
      </c>
      <c r="R2194" s="4">
        <f t="shared" si="174"/>
        <v>0.33289999999999997</v>
      </c>
      <c r="S2194" s="2">
        <v>7</v>
      </c>
      <c r="T2194" t="s">
        <v>46</v>
      </c>
      <c r="U2194">
        <v>5</v>
      </c>
    </row>
    <row r="2195" spans="1:21" x14ac:dyDescent="0.25">
      <c r="A2195" s="1">
        <v>46172</v>
      </c>
      <c r="B2195" t="s">
        <v>2385</v>
      </c>
      <c r="C2195" t="s">
        <v>42</v>
      </c>
      <c r="D2195" t="s">
        <v>126</v>
      </c>
      <c r="E2195" t="s">
        <v>57</v>
      </c>
      <c r="F2195" t="s">
        <v>36</v>
      </c>
      <c r="G2195" t="s">
        <v>27</v>
      </c>
      <c r="H2195" t="s">
        <v>28</v>
      </c>
      <c r="I2195" t="s">
        <v>29</v>
      </c>
      <c r="J2195" s="2">
        <v>7</v>
      </c>
      <c r="K2195" s="3">
        <v>826.69</v>
      </c>
      <c r="L2195" s="3">
        <v>457.78</v>
      </c>
      <c r="M2195" s="4">
        <v>5.8099999999999999E-2</v>
      </c>
      <c r="N2195" s="3">
        <f t="shared" si="170"/>
        <v>5786.83</v>
      </c>
      <c r="O2195" s="3">
        <f t="shared" si="171"/>
        <v>5450.62</v>
      </c>
      <c r="P2195" s="3">
        <f t="shared" si="172"/>
        <v>3204.46</v>
      </c>
      <c r="Q2195" s="3">
        <f t="shared" si="173"/>
        <v>2246.16</v>
      </c>
      <c r="R2195" s="4">
        <f t="shared" si="174"/>
        <v>0.41210000000000002</v>
      </c>
      <c r="S2195" s="2">
        <v>3</v>
      </c>
      <c r="T2195" t="s">
        <v>46</v>
      </c>
      <c r="U2195">
        <v>2</v>
      </c>
    </row>
    <row r="2196" spans="1:21" x14ac:dyDescent="0.25">
      <c r="A2196" s="1">
        <v>46186</v>
      </c>
      <c r="B2196" t="s">
        <v>2386</v>
      </c>
      <c r="C2196" t="s">
        <v>447</v>
      </c>
      <c r="D2196" t="s">
        <v>34</v>
      </c>
      <c r="E2196" t="s">
        <v>35</v>
      </c>
      <c r="F2196" t="s">
        <v>58</v>
      </c>
      <c r="G2196" t="s">
        <v>37</v>
      </c>
      <c r="H2196" t="s">
        <v>178</v>
      </c>
      <c r="I2196" t="s">
        <v>60</v>
      </c>
      <c r="J2196" s="2">
        <v>3</v>
      </c>
      <c r="K2196" s="3">
        <v>493.66</v>
      </c>
      <c r="L2196" s="3">
        <v>236.75</v>
      </c>
      <c r="M2196" s="4">
        <v>0.10489999999999999</v>
      </c>
      <c r="N2196" s="3">
        <f t="shared" si="170"/>
        <v>1480.98</v>
      </c>
      <c r="O2196" s="3">
        <f t="shared" si="171"/>
        <v>1325.63</v>
      </c>
      <c r="P2196" s="3">
        <f t="shared" si="172"/>
        <v>710.25</v>
      </c>
      <c r="Q2196" s="3">
        <f t="shared" si="173"/>
        <v>615.38</v>
      </c>
      <c r="R2196" s="4">
        <f t="shared" si="174"/>
        <v>0.4642</v>
      </c>
      <c r="S2196" s="2">
        <v>13</v>
      </c>
      <c r="T2196" t="s">
        <v>30</v>
      </c>
      <c r="U2196">
        <v>5</v>
      </c>
    </row>
    <row r="2197" spans="1:21" x14ac:dyDescent="0.25">
      <c r="A2197" s="1">
        <v>46041</v>
      </c>
      <c r="B2197" t="s">
        <v>2387</v>
      </c>
      <c r="C2197" t="s">
        <v>166</v>
      </c>
      <c r="D2197" t="s">
        <v>43</v>
      </c>
      <c r="E2197" t="s">
        <v>25</v>
      </c>
      <c r="F2197" t="s">
        <v>64</v>
      </c>
      <c r="G2197" t="s">
        <v>44</v>
      </c>
      <c r="H2197" t="s">
        <v>124</v>
      </c>
      <c r="I2197" t="s">
        <v>92</v>
      </c>
      <c r="J2197" s="2">
        <v>2</v>
      </c>
      <c r="K2197" s="3">
        <v>5666.82</v>
      </c>
      <c r="L2197" s="3">
        <v>4305.12</v>
      </c>
      <c r="M2197" s="4">
        <v>0</v>
      </c>
      <c r="N2197" s="3">
        <f t="shared" si="170"/>
        <v>11333.64</v>
      </c>
      <c r="O2197" s="3">
        <f t="shared" si="171"/>
        <v>11333.64</v>
      </c>
      <c r="P2197" s="3">
        <f t="shared" si="172"/>
        <v>8610.24</v>
      </c>
      <c r="Q2197" s="3">
        <f t="shared" si="173"/>
        <v>2723.4</v>
      </c>
      <c r="R2197" s="4">
        <f t="shared" si="174"/>
        <v>0.24030000000000001</v>
      </c>
      <c r="S2197" s="2">
        <v>13</v>
      </c>
      <c r="T2197" t="s">
        <v>30</v>
      </c>
      <c r="U2197">
        <v>5</v>
      </c>
    </row>
    <row r="2198" spans="1:21" x14ac:dyDescent="0.25">
      <c r="A2198" s="1">
        <v>46077</v>
      </c>
      <c r="B2198" t="s">
        <v>2388</v>
      </c>
      <c r="C2198" t="s">
        <v>55</v>
      </c>
      <c r="D2198" t="s">
        <v>34</v>
      </c>
      <c r="E2198" t="s">
        <v>35</v>
      </c>
      <c r="F2198" t="s">
        <v>58</v>
      </c>
      <c r="G2198" t="s">
        <v>27</v>
      </c>
      <c r="H2198" t="s">
        <v>28</v>
      </c>
      <c r="I2198" t="s">
        <v>74</v>
      </c>
      <c r="J2198" s="2">
        <v>4</v>
      </c>
      <c r="K2198" s="3">
        <v>822.65</v>
      </c>
      <c r="L2198" s="3">
        <v>448.08</v>
      </c>
      <c r="M2198" s="4">
        <v>0.15540000000000001</v>
      </c>
      <c r="N2198" s="3">
        <f t="shared" si="170"/>
        <v>3290.6</v>
      </c>
      <c r="O2198" s="3">
        <f t="shared" si="171"/>
        <v>2779.24</v>
      </c>
      <c r="P2198" s="3">
        <f t="shared" si="172"/>
        <v>1792.32</v>
      </c>
      <c r="Q2198" s="3">
        <f t="shared" si="173"/>
        <v>986.92</v>
      </c>
      <c r="R2198" s="4">
        <f t="shared" si="174"/>
        <v>0.35510000000000003</v>
      </c>
      <c r="S2198" s="2">
        <v>3</v>
      </c>
      <c r="T2198" t="s">
        <v>46</v>
      </c>
      <c r="U2198">
        <v>4</v>
      </c>
    </row>
    <row r="2199" spans="1:21" x14ac:dyDescent="0.25">
      <c r="A2199" s="1">
        <v>46129</v>
      </c>
      <c r="B2199" t="s">
        <v>2389</v>
      </c>
      <c r="C2199" t="s">
        <v>55</v>
      </c>
      <c r="D2199" t="s">
        <v>24</v>
      </c>
      <c r="E2199" t="s">
        <v>25</v>
      </c>
      <c r="F2199" t="s">
        <v>58</v>
      </c>
      <c r="G2199" t="s">
        <v>37</v>
      </c>
      <c r="H2199" t="s">
        <v>38</v>
      </c>
      <c r="I2199" t="s">
        <v>92</v>
      </c>
      <c r="J2199" s="2">
        <v>7</v>
      </c>
      <c r="K2199" s="3">
        <v>436.96</v>
      </c>
      <c r="L2199" s="3">
        <v>193.33</v>
      </c>
      <c r="M2199" s="4">
        <v>3.5000000000000003E-2</v>
      </c>
      <c r="N2199" s="3">
        <f t="shared" si="170"/>
        <v>3058.72</v>
      </c>
      <c r="O2199" s="3">
        <f t="shared" si="171"/>
        <v>2951.66</v>
      </c>
      <c r="P2199" s="3">
        <f t="shared" si="172"/>
        <v>1353.31</v>
      </c>
      <c r="Q2199" s="3">
        <f t="shared" si="173"/>
        <v>1598.35</v>
      </c>
      <c r="R2199" s="4">
        <f t="shared" si="174"/>
        <v>0.54149999999999998</v>
      </c>
      <c r="S2199" s="2">
        <v>3</v>
      </c>
      <c r="T2199" t="s">
        <v>46</v>
      </c>
      <c r="U2199">
        <v>3</v>
      </c>
    </row>
    <row r="2200" spans="1:21" x14ac:dyDescent="0.25">
      <c r="A2200" s="1">
        <v>46118</v>
      </c>
      <c r="B2200" t="s">
        <v>2390</v>
      </c>
      <c r="C2200" t="s">
        <v>220</v>
      </c>
      <c r="D2200" t="s">
        <v>24</v>
      </c>
      <c r="E2200" t="s">
        <v>25</v>
      </c>
      <c r="F2200" t="s">
        <v>26</v>
      </c>
      <c r="G2200" t="s">
        <v>51</v>
      </c>
      <c r="H2200" t="s">
        <v>59</v>
      </c>
      <c r="I2200" t="s">
        <v>65</v>
      </c>
      <c r="J2200" s="2">
        <v>8</v>
      </c>
      <c r="K2200" s="3">
        <v>2300.12</v>
      </c>
      <c r="L2200" s="3">
        <v>1495.25</v>
      </c>
      <c r="M2200" s="4">
        <v>0</v>
      </c>
      <c r="N2200" s="3">
        <f t="shared" si="170"/>
        <v>18400.96</v>
      </c>
      <c r="O2200" s="3">
        <f t="shared" si="171"/>
        <v>18400.96</v>
      </c>
      <c r="P2200" s="3">
        <f t="shared" si="172"/>
        <v>11962</v>
      </c>
      <c r="Q2200" s="3">
        <f t="shared" si="173"/>
        <v>6438.96</v>
      </c>
      <c r="R2200" s="4">
        <f t="shared" si="174"/>
        <v>0.34989999999999999</v>
      </c>
      <c r="S2200" s="2">
        <v>11</v>
      </c>
      <c r="T2200" t="s">
        <v>30</v>
      </c>
      <c r="U2200">
        <v>2</v>
      </c>
    </row>
    <row r="2201" spans="1:21" x14ac:dyDescent="0.25">
      <c r="A2201" s="1">
        <v>46144</v>
      </c>
      <c r="B2201" t="s">
        <v>2391</v>
      </c>
      <c r="C2201" t="s">
        <v>89</v>
      </c>
      <c r="D2201" t="s">
        <v>85</v>
      </c>
      <c r="E2201" t="s">
        <v>50</v>
      </c>
      <c r="F2201" t="s">
        <v>64</v>
      </c>
      <c r="G2201" t="s">
        <v>44</v>
      </c>
      <c r="H2201" t="s">
        <v>124</v>
      </c>
      <c r="I2201" t="s">
        <v>65</v>
      </c>
      <c r="J2201" s="2">
        <v>7</v>
      </c>
      <c r="K2201" s="3">
        <v>6224.09</v>
      </c>
      <c r="L2201" s="3">
        <v>4238.6000000000004</v>
      </c>
      <c r="M2201" s="4">
        <v>0</v>
      </c>
      <c r="N2201" s="3">
        <f t="shared" si="170"/>
        <v>43568.63</v>
      </c>
      <c r="O2201" s="3">
        <f t="shared" si="171"/>
        <v>43568.63</v>
      </c>
      <c r="P2201" s="3">
        <f t="shared" si="172"/>
        <v>29670.2</v>
      </c>
      <c r="Q2201" s="3">
        <f t="shared" si="173"/>
        <v>13898.43</v>
      </c>
      <c r="R2201" s="4">
        <f t="shared" si="174"/>
        <v>0.31900000000000001</v>
      </c>
      <c r="S2201" s="2">
        <v>9</v>
      </c>
      <c r="T2201" t="s">
        <v>46</v>
      </c>
      <c r="U2201">
        <v>3</v>
      </c>
    </row>
    <row r="2202" spans="1:21" x14ac:dyDescent="0.25">
      <c r="A2202" s="1">
        <v>46201</v>
      </c>
      <c r="B2202" t="s">
        <v>2392</v>
      </c>
      <c r="C2202" t="s">
        <v>378</v>
      </c>
      <c r="D2202" t="s">
        <v>113</v>
      </c>
      <c r="E2202" t="s">
        <v>50</v>
      </c>
      <c r="F2202" t="s">
        <v>58</v>
      </c>
      <c r="G2202" t="s">
        <v>44</v>
      </c>
      <c r="H2202" t="s">
        <v>73</v>
      </c>
      <c r="I2202" t="s">
        <v>94</v>
      </c>
      <c r="J2202" s="2">
        <v>4</v>
      </c>
      <c r="K2202" s="3">
        <v>1601.79</v>
      </c>
      <c r="L2202" s="3">
        <v>1104.76</v>
      </c>
      <c r="M2202" s="4">
        <v>3.5000000000000003E-2</v>
      </c>
      <c r="N2202" s="3">
        <f t="shared" si="170"/>
        <v>6407.16</v>
      </c>
      <c r="O2202" s="3">
        <f t="shared" si="171"/>
        <v>6182.91</v>
      </c>
      <c r="P2202" s="3">
        <f t="shared" si="172"/>
        <v>4419.04</v>
      </c>
      <c r="Q2202" s="3">
        <f t="shared" si="173"/>
        <v>1763.87</v>
      </c>
      <c r="R2202" s="4">
        <f t="shared" si="174"/>
        <v>0.2853</v>
      </c>
      <c r="S2202" s="2">
        <v>3</v>
      </c>
      <c r="T2202" t="s">
        <v>46</v>
      </c>
      <c r="U2202">
        <v>4</v>
      </c>
    </row>
    <row r="2203" spans="1:21" x14ac:dyDescent="0.25">
      <c r="A2203" s="1">
        <v>46036</v>
      </c>
      <c r="B2203" t="s">
        <v>2393</v>
      </c>
      <c r="C2203" t="s">
        <v>172</v>
      </c>
      <c r="D2203" t="s">
        <v>101</v>
      </c>
      <c r="E2203" t="s">
        <v>35</v>
      </c>
      <c r="F2203" t="s">
        <v>26</v>
      </c>
      <c r="G2203" t="s">
        <v>37</v>
      </c>
      <c r="H2203" t="s">
        <v>178</v>
      </c>
      <c r="I2203" t="s">
        <v>87</v>
      </c>
      <c r="J2203" s="2">
        <v>3</v>
      </c>
      <c r="K2203" s="3">
        <v>481.67</v>
      </c>
      <c r="L2203" s="3">
        <v>236.12</v>
      </c>
      <c r="M2203" s="4">
        <v>0</v>
      </c>
      <c r="N2203" s="3">
        <f t="shared" si="170"/>
        <v>1445.01</v>
      </c>
      <c r="O2203" s="3">
        <f t="shared" si="171"/>
        <v>1445.01</v>
      </c>
      <c r="P2203" s="3">
        <f t="shared" si="172"/>
        <v>708.36</v>
      </c>
      <c r="Q2203" s="3">
        <f t="shared" si="173"/>
        <v>736.65</v>
      </c>
      <c r="R2203" s="4">
        <f t="shared" si="174"/>
        <v>0.50980000000000003</v>
      </c>
      <c r="S2203" s="2">
        <v>8</v>
      </c>
      <c r="T2203" t="s">
        <v>46</v>
      </c>
      <c r="U2203">
        <v>2</v>
      </c>
    </row>
    <row r="2204" spans="1:21" x14ac:dyDescent="0.25">
      <c r="A2204" s="1">
        <v>46233</v>
      </c>
      <c r="B2204" t="s">
        <v>2394</v>
      </c>
      <c r="C2204" t="s">
        <v>134</v>
      </c>
      <c r="D2204" t="s">
        <v>34</v>
      </c>
      <c r="E2204" t="s">
        <v>35</v>
      </c>
      <c r="F2204" t="s">
        <v>58</v>
      </c>
      <c r="G2204" t="s">
        <v>51</v>
      </c>
      <c r="H2204" t="s">
        <v>59</v>
      </c>
      <c r="I2204" t="s">
        <v>29</v>
      </c>
      <c r="J2204" s="2">
        <v>3</v>
      </c>
      <c r="K2204" s="3">
        <v>2105.89</v>
      </c>
      <c r="L2204" s="3">
        <v>1453.6</v>
      </c>
      <c r="M2204" s="4">
        <v>6.1400000000000003E-2</v>
      </c>
      <c r="N2204" s="3">
        <f t="shared" si="170"/>
        <v>6317.67</v>
      </c>
      <c r="O2204" s="3">
        <f t="shared" si="171"/>
        <v>5929.77</v>
      </c>
      <c r="P2204" s="3">
        <f t="shared" si="172"/>
        <v>4360.8</v>
      </c>
      <c r="Q2204" s="3">
        <f t="shared" si="173"/>
        <v>1568.97</v>
      </c>
      <c r="R2204" s="4">
        <f t="shared" si="174"/>
        <v>0.2646</v>
      </c>
      <c r="S2204" s="2">
        <v>11</v>
      </c>
      <c r="T2204" t="s">
        <v>30</v>
      </c>
      <c r="U2204">
        <v>5</v>
      </c>
    </row>
    <row r="2205" spans="1:21" x14ac:dyDescent="0.25">
      <c r="A2205" s="1">
        <v>46211</v>
      </c>
      <c r="B2205" t="s">
        <v>2395</v>
      </c>
      <c r="C2205" t="s">
        <v>520</v>
      </c>
      <c r="D2205" t="s">
        <v>24</v>
      </c>
      <c r="E2205" t="s">
        <v>25</v>
      </c>
      <c r="F2205" t="s">
        <v>58</v>
      </c>
      <c r="G2205" t="s">
        <v>44</v>
      </c>
      <c r="H2205" t="s">
        <v>124</v>
      </c>
      <c r="I2205" t="s">
        <v>53</v>
      </c>
      <c r="J2205" s="2">
        <v>8</v>
      </c>
      <c r="K2205" s="3">
        <v>5860.31</v>
      </c>
      <c r="L2205" s="3">
        <v>4354.21</v>
      </c>
      <c r="M2205" s="4">
        <v>3.5000000000000003E-2</v>
      </c>
      <c r="N2205" s="3">
        <f t="shared" si="170"/>
        <v>46882.48</v>
      </c>
      <c r="O2205" s="3">
        <f t="shared" si="171"/>
        <v>45241.59</v>
      </c>
      <c r="P2205" s="3">
        <f t="shared" si="172"/>
        <v>34833.68</v>
      </c>
      <c r="Q2205" s="3">
        <f t="shared" si="173"/>
        <v>10407.91</v>
      </c>
      <c r="R2205" s="4">
        <f t="shared" si="174"/>
        <v>0.2301</v>
      </c>
      <c r="S2205" s="2">
        <v>7</v>
      </c>
      <c r="T2205" t="s">
        <v>46</v>
      </c>
      <c r="U2205">
        <v>3</v>
      </c>
    </row>
    <row r="2206" spans="1:21" x14ac:dyDescent="0.25">
      <c r="A2206" s="1">
        <v>46115</v>
      </c>
      <c r="B2206" t="s">
        <v>2396</v>
      </c>
      <c r="C2206" t="s">
        <v>91</v>
      </c>
      <c r="D2206" t="s">
        <v>121</v>
      </c>
      <c r="E2206" t="s">
        <v>72</v>
      </c>
      <c r="F2206" t="s">
        <v>58</v>
      </c>
      <c r="G2206" t="s">
        <v>27</v>
      </c>
      <c r="H2206" t="s">
        <v>86</v>
      </c>
      <c r="I2206" t="s">
        <v>39</v>
      </c>
      <c r="J2206" s="2">
        <v>2</v>
      </c>
      <c r="K2206" s="3">
        <v>1890.64</v>
      </c>
      <c r="L2206" s="3">
        <v>1208.76</v>
      </c>
      <c r="M2206" s="4">
        <v>0.15909999999999999</v>
      </c>
      <c r="N2206" s="3">
        <f t="shared" si="170"/>
        <v>3781.28</v>
      </c>
      <c r="O2206" s="3">
        <f t="shared" si="171"/>
        <v>3179.68</v>
      </c>
      <c r="P2206" s="3">
        <f t="shared" si="172"/>
        <v>2417.52</v>
      </c>
      <c r="Q2206" s="3">
        <f t="shared" si="173"/>
        <v>762.16</v>
      </c>
      <c r="R2206" s="4">
        <f t="shared" si="174"/>
        <v>0.2397</v>
      </c>
      <c r="S2206" s="2">
        <v>4</v>
      </c>
      <c r="T2206" t="s">
        <v>46</v>
      </c>
      <c r="U2206">
        <v>4</v>
      </c>
    </row>
    <row r="2207" spans="1:21" x14ac:dyDescent="0.25">
      <c r="A2207" s="1">
        <v>46029</v>
      </c>
      <c r="B2207" t="s">
        <v>2397</v>
      </c>
      <c r="C2207" t="s">
        <v>155</v>
      </c>
      <c r="D2207" t="s">
        <v>139</v>
      </c>
      <c r="E2207" t="s">
        <v>72</v>
      </c>
      <c r="F2207" t="s">
        <v>64</v>
      </c>
      <c r="G2207" t="s">
        <v>37</v>
      </c>
      <c r="H2207" t="s">
        <v>38</v>
      </c>
      <c r="I2207" t="s">
        <v>87</v>
      </c>
      <c r="J2207" s="2">
        <v>3</v>
      </c>
      <c r="K2207" s="3">
        <v>415.76</v>
      </c>
      <c r="L2207" s="3">
        <v>198.09</v>
      </c>
      <c r="M2207" s="4">
        <v>0</v>
      </c>
      <c r="N2207" s="3">
        <f t="shared" si="170"/>
        <v>1247.28</v>
      </c>
      <c r="O2207" s="3">
        <f t="shared" si="171"/>
        <v>1247.28</v>
      </c>
      <c r="P2207" s="3">
        <f t="shared" si="172"/>
        <v>594.27</v>
      </c>
      <c r="Q2207" s="3">
        <f t="shared" si="173"/>
        <v>653.01</v>
      </c>
      <c r="R2207" s="4">
        <f t="shared" si="174"/>
        <v>0.52349999999999997</v>
      </c>
      <c r="S2207" s="2">
        <v>10</v>
      </c>
      <c r="T2207" t="s">
        <v>46</v>
      </c>
      <c r="U2207">
        <v>3</v>
      </c>
    </row>
    <row r="2208" spans="1:21" x14ac:dyDescent="0.25">
      <c r="A2208" s="1">
        <v>46221</v>
      </c>
      <c r="B2208" t="s">
        <v>2398</v>
      </c>
      <c r="C2208" t="s">
        <v>146</v>
      </c>
      <c r="D2208" t="s">
        <v>49</v>
      </c>
      <c r="E2208" t="s">
        <v>50</v>
      </c>
      <c r="F2208" t="s">
        <v>26</v>
      </c>
      <c r="G2208" t="s">
        <v>44</v>
      </c>
      <c r="H2208" t="s">
        <v>73</v>
      </c>
      <c r="I2208" t="s">
        <v>92</v>
      </c>
      <c r="J2208" s="2">
        <v>8</v>
      </c>
      <c r="K2208" s="3">
        <v>1687.36</v>
      </c>
      <c r="L2208" s="3">
        <v>1093.21</v>
      </c>
      <c r="M2208" s="4">
        <v>0</v>
      </c>
      <c r="N2208" s="3">
        <f t="shared" si="170"/>
        <v>13498.88</v>
      </c>
      <c r="O2208" s="3">
        <f t="shared" si="171"/>
        <v>13498.88</v>
      </c>
      <c r="P2208" s="3">
        <f t="shared" si="172"/>
        <v>8745.68</v>
      </c>
      <c r="Q2208" s="3">
        <f t="shared" si="173"/>
        <v>4753.2</v>
      </c>
      <c r="R2208" s="4">
        <f t="shared" si="174"/>
        <v>0.35210000000000002</v>
      </c>
      <c r="S2208" s="2">
        <v>10</v>
      </c>
      <c r="T2208" t="s">
        <v>46</v>
      </c>
      <c r="U2208">
        <v>3</v>
      </c>
    </row>
    <row r="2209" spans="1:21" x14ac:dyDescent="0.25">
      <c r="A2209" s="1">
        <v>46225</v>
      </c>
      <c r="B2209" t="s">
        <v>2399</v>
      </c>
      <c r="C2209" t="s">
        <v>456</v>
      </c>
      <c r="D2209" t="s">
        <v>97</v>
      </c>
      <c r="E2209" t="s">
        <v>57</v>
      </c>
      <c r="F2209" t="s">
        <v>64</v>
      </c>
      <c r="G2209" t="s">
        <v>44</v>
      </c>
      <c r="H2209" t="s">
        <v>124</v>
      </c>
      <c r="I2209" t="s">
        <v>65</v>
      </c>
      <c r="J2209" s="2">
        <v>3</v>
      </c>
      <c r="K2209" s="3">
        <v>5790.76</v>
      </c>
      <c r="L2209" s="3">
        <v>4169.57</v>
      </c>
      <c r="M2209" s="4">
        <v>0</v>
      </c>
      <c r="N2209" s="3">
        <f t="shared" si="170"/>
        <v>17372.28</v>
      </c>
      <c r="O2209" s="3">
        <f t="shared" si="171"/>
        <v>17372.28</v>
      </c>
      <c r="P2209" s="3">
        <f t="shared" si="172"/>
        <v>12508.71</v>
      </c>
      <c r="Q2209" s="3">
        <f t="shared" si="173"/>
        <v>4863.57</v>
      </c>
      <c r="R2209" s="4">
        <f t="shared" si="174"/>
        <v>0.28000000000000003</v>
      </c>
      <c r="S2209" s="2">
        <v>2</v>
      </c>
      <c r="T2209" t="s">
        <v>46</v>
      </c>
      <c r="U2209">
        <v>2</v>
      </c>
    </row>
    <row r="2210" spans="1:21" x14ac:dyDescent="0.25">
      <c r="A2210" s="1">
        <v>46088</v>
      </c>
      <c r="B2210" t="s">
        <v>2400</v>
      </c>
      <c r="C2210" t="s">
        <v>164</v>
      </c>
      <c r="D2210" t="s">
        <v>139</v>
      </c>
      <c r="E2210" t="s">
        <v>72</v>
      </c>
      <c r="F2210" t="s">
        <v>58</v>
      </c>
      <c r="G2210" t="s">
        <v>51</v>
      </c>
      <c r="H2210" t="s">
        <v>59</v>
      </c>
      <c r="I2210" t="s">
        <v>77</v>
      </c>
      <c r="J2210" s="2">
        <v>6</v>
      </c>
      <c r="K2210" s="3">
        <v>2268.0100000000002</v>
      </c>
      <c r="L2210" s="3">
        <v>1497.6</v>
      </c>
      <c r="M2210" s="4">
        <v>9.98E-2</v>
      </c>
      <c r="N2210" s="3">
        <f t="shared" si="170"/>
        <v>13608.06</v>
      </c>
      <c r="O2210" s="3">
        <f t="shared" si="171"/>
        <v>12249.98</v>
      </c>
      <c r="P2210" s="3">
        <f t="shared" si="172"/>
        <v>8985.6</v>
      </c>
      <c r="Q2210" s="3">
        <f t="shared" si="173"/>
        <v>3264.38</v>
      </c>
      <c r="R2210" s="4">
        <f t="shared" si="174"/>
        <v>0.26650000000000001</v>
      </c>
      <c r="S2210" s="2">
        <v>13</v>
      </c>
      <c r="T2210" t="s">
        <v>30</v>
      </c>
      <c r="U2210">
        <v>2</v>
      </c>
    </row>
    <row r="2211" spans="1:21" x14ac:dyDescent="0.25">
      <c r="A2211" s="1">
        <v>46169</v>
      </c>
      <c r="B2211" t="s">
        <v>2401</v>
      </c>
      <c r="C2211" t="s">
        <v>187</v>
      </c>
      <c r="D2211" t="s">
        <v>130</v>
      </c>
      <c r="E2211" t="s">
        <v>72</v>
      </c>
      <c r="F2211" t="s">
        <v>58</v>
      </c>
      <c r="G2211" t="s">
        <v>27</v>
      </c>
      <c r="H2211" t="s">
        <v>68</v>
      </c>
      <c r="I2211" t="s">
        <v>60</v>
      </c>
      <c r="J2211" s="2">
        <v>5</v>
      </c>
      <c r="K2211" s="3">
        <v>1326.1</v>
      </c>
      <c r="L2211" s="3">
        <v>790.15</v>
      </c>
      <c r="M2211" s="4">
        <v>0.1603</v>
      </c>
      <c r="N2211" s="3">
        <f t="shared" si="170"/>
        <v>6630.5</v>
      </c>
      <c r="O2211" s="3">
        <f t="shared" si="171"/>
        <v>5567.63</v>
      </c>
      <c r="P2211" s="3">
        <f t="shared" si="172"/>
        <v>3950.75</v>
      </c>
      <c r="Q2211" s="3">
        <f t="shared" si="173"/>
        <v>1616.88</v>
      </c>
      <c r="R2211" s="4">
        <f t="shared" si="174"/>
        <v>0.29039999999999999</v>
      </c>
      <c r="S2211" s="2">
        <v>10</v>
      </c>
      <c r="T2211" t="s">
        <v>46</v>
      </c>
      <c r="U2211">
        <v>5</v>
      </c>
    </row>
    <row r="2212" spans="1:21" x14ac:dyDescent="0.25">
      <c r="A2212" s="1">
        <v>46171</v>
      </c>
      <c r="B2212" t="s">
        <v>2402</v>
      </c>
      <c r="C2212" t="s">
        <v>243</v>
      </c>
      <c r="D2212" t="s">
        <v>56</v>
      </c>
      <c r="E2212" t="s">
        <v>57</v>
      </c>
      <c r="F2212" t="s">
        <v>36</v>
      </c>
      <c r="G2212" t="s">
        <v>37</v>
      </c>
      <c r="H2212" t="s">
        <v>38</v>
      </c>
      <c r="I2212" t="s">
        <v>87</v>
      </c>
      <c r="J2212" s="2">
        <v>4</v>
      </c>
      <c r="K2212" s="3">
        <v>404.33</v>
      </c>
      <c r="L2212" s="3">
        <v>183.27</v>
      </c>
      <c r="M2212" s="4">
        <v>8.6599999999999996E-2</v>
      </c>
      <c r="N2212" s="3">
        <f t="shared" si="170"/>
        <v>1617.32</v>
      </c>
      <c r="O2212" s="3">
        <f t="shared" si="171"/>
        <v>1477.26</v>
      </c>
      <c r="P2212" s="3">
        <f t="shared" si="172"/>
        <v>733.08</v>
      </c>
      <c r="Q2212" s="3">
        <f t="shared" si="173"/>
        <v>744.18</v>
      </c>
      <c r="R2212" s="4">
        <f t="shared" si="174"/>
        <v>0.50380000000000003</v>
      </c>
      <c r="S2212" s="2">
        <v>7</v>
      </c>
      <c r="T2212" t="s">
        <v>46</v>
      </c>
      <c r="U2212">
        <v>5</v>
      </c>
    </row>
    <row r="2213" spans="1:21" x14ac:dyDescent="0.25">
      <c r="A2213" s="1">
        <v>46230</v>
      </c>
      <c r="B2213" t="s">
        <v>2403</v>
      </c>
      <c r="C2213" t="s">
        <v>253</v>
      </c>
      <c r="D2213" t="s">
        <v>34</v>
      </c>
      <c r="E2213" t="s">
        <v>35</v>
      </c>
      <c r="F2213" t="s">
        <v>64</v>
      </c>
      <c r="G2213" t="s">
        <v>51</v>
      </c>
      <c r="H2213" t="s">
        <v>52</v>
      </c>
      <c r="I2213" t="s">
        <v>94</v>
      </c>
      <c r="J2213" s="2">
        <v>2</v>
      </c>
      <c r="K2213" s="3">
        <v>260.85000000000002</v>
      </c>
      <c r="L2213" s="3">
        <v>114.64</v>
      </c>
      <c r="M2213" s="4">
        <v>9.11E-2</v>
      </c>
      <c r="N2213" s="3">
        <f t="shared" si="170"/>
        <v>521.70000000000005</v>
      </c>
      <c r="O2213" s="3">
        <f t="shared" si="171"/>
        <v>474.17</v>
      </c>
      <c r="P2213" s="3">
        <f t="shared" si="172"/>
        <v>229.28</v>
      </c>
      <c r="Q2213" s="3">
        <f t="shared" si="173"/>
        <v>244.89</v>
      </c>
      <c r="R2213" s="4">
        <f t="shared" si="174"/>
        <v>0.51649999999999996</v>
      </c>
      <c r="S2213" s="2">
        <v>9</v>
      </c>
      <c r="T2213" t="s">
        <v>46</v>
      </c>
      <c r="U2213">
        <v>4</v>
      </c>
    </row>
    <row r="2214" spans="1:21" x14ac:dyDescent="0.25">
      <c r="A2214" s="1">
        <v>46071</v>
      </c>
      <c r="B2214" t="s">
        <v>2404</v>
      </c>
      <c r="C2214" t="s">
        <v>91</v>
      </c>
      <c r="D2214" t="s">
        <v>56</v>
      </c>
      <c r="E2214" t="s">
        <v>57</v>
      </c>
      <c r="F2214" t="s">
        <v>36</v>
      </c>
      <c r="G2214" t="s">
        <v>37</v>
      </c>
      <c r="H2214" t="s">
        <v>104</v>
      </c>
      <c r="I2214" t="s">
        <v>92</v>
      </c>
      <c r="J2214" s="2">
        <v>7</v>
      </c>
      <c r="K2214" s="3">
        <v>327.86</v>
      </c>
      <c r="L2214" s="3">
        <v>131.99</v>
      </c>
      <c r="M2214" s="4">
        <v>0</v>
      </c>
      <c r="N2214" s="3">
        <f t="shared" si="170"/>
        <v>2295.02</v>
      </c>
      <c r="O2214" s="3">
        <f t="shared" si="171"/>
        <v>2295.02</v>
      </c>
      <c r="P2214" s="3">
        <f t="shared" si="172"/>
        <v>923.93</v>
      </c>
      <c r="Q2214" s="3">
        <f t="shared" si="173"/>
        <v>1371.09</v>
      </c>
      <c r="R2214" s="4">
        <f t="shared" si="174"/>
        <v>0.59740000000000004</v>
      </c>
      <c r="S2214" s="2">
        <v>6</v>
      </c>
      <c r="T2214" t="s">
        <v>46</v>
      </c>
      <c r="U2214">
        <v>3</v>
      </c>
    </row>
    <row r="2215" spans="1:21" x14ac:dyDescent="0.25">
      <c r="A2215" s="1">
        <v>46039</v>
      </c>
      <c r="B2215" t="s">
        <v>2405</v>
      </c>
      <c r="C2215" t="s">
        <v>187</v>
      </c>
      <c r="D2215" t="s">
        <v>63</v>
      </c>
      <c r="E2215" t="s">
        <v>35</v>
      </c>
      <c r="F2215" t="s">
        <v>36</v>
      </c>
      <c r="G2215" t="s">
        <v>51</v>
      </c>
      <c r="H2215" t="s">
        <v>59</v>
      </c>
      <c r="I2215" t="s">
        <v>65</v>
      </c>
      <c r="J2215" s="2">
        <v>7</v>
      </c>
      <c r="K2215" s="3">
        <v>2122.59</v>
      </c>
      <c r="L2215" s="3">
        <v>1393.4</v>
      </c>
      <c r="M2215" s="4">
        <v>0</v>
      </c>
      <c r="N2215" s="3">
        <f t="shared" si="170"/>
        <v>14858.13</v>
      </c>
      <c r="O2215" s="3">
        <f t="shared" si="171"/>
        <v>14858.13</v>
      </c>
      <c r="P2215" s="3">
        <f t="shared" si="172"/>
        <v>9753.7999999999993</v>
      </c>
      <c r="Q2215" s="3">
        <f t="shared" si="173"/>
        <v>5104.33</v>
      </c>
      <c r="R2215" s="4">
        <f t="shared" si="174"/>
        <v>0.34350000000000003</v>
      </c>
      <c r="S2215" s="2">
        <v>8</v>
      </c>
      <c r="T2215" t="s">
        <v>46</v>
      </c>
      <c r="U2215">
        <v>4</v>
      </c>
    </row>
    <row r="2216" spans="1:21" x14ac:dyDescent="0.25">
      <c r="A2216" s="1">
        <v>46192</v>
      </c>
      <c r="B2216" t="s">
        <v>2406</v>
      </c>
      <c r="C2216" t="s">
        <v>153</v>
      </c>
      <c r="D2216" t="s">
        <v>139</v>
      </c>
      <c r="E2216" t="s">
        <v>72</v>
      </c>
      <c r="F2216" t="s">
        <v>64</v>
      </c>
      <c r="G2216" t="s">
        <v>27</v>
      </c>
      <c r="H2216" t="s">
        <v>28</v>
      </c>
      <c r="I2216" t="s">
        <v>39</v>
      </c>
      <c r="J2216" s="2">
        <v>7</v>
      </c>
      <c r="K2216" s="3">
        <v>751.55</v>
      </c>
      <c r="L2216" s="3">
        <v>486.24</v>
      </c>
      <c r="M2216" s="4">
        <v>0</v>
      </c>
      <c r="N2216" s="3">
        <f t="shared" si="170"/>
        <v>5260.85</v>
      </c>
      <c r="O2216" s="3">
        <f t="shared" si="171"/>
        <v>5260.85</v>
      </c>
      <c r="P2216" s="3">
        <f t="shared" si="172"/>
        <v>3403.68</v>
      </c>
      <c r="Q2216" s="3">
        <f t="shared" si="173"/>
        <v>1857.17</v>
      </c>
      <c r="R2216" s="4">
        <f t="shared" si="174"/>
        <v>0.35299999999999998</v>
      </c>
      <c r="S2216" s="2">
        <v>8</v>
      </c>
      <c r="T2216" t="s">
        <v>46</v>
      </c>
      <c r="U2216">
        <v>2</v>
      </c>
    </row>
    <row r="2217" spans="1:21" x14ac:dyDescent="0.25">
      <c r="A2217" s="1">
        <v>46153</v>
      </c>
      <c r="B2217" t="s">
        <v>2407</v>
      </c>
      <c r="C2217" t="s">
        <v>195</v>
      </c>
      <c r="D2217" t="s">
        <v>130</v>
      </c>
      <c r="E2217" t="s">
        <v>72</v>
      </c>
      <c r="F2217" t="s">
        <v>26</v>
      </c>
      <c r="G2217" t="s">
        <v>44</v>
      </c>
      <c r="H2217" t="s">
        <v>45</v>
      </c>
      <c r="I2217" t="s">
        <v>39</v>
      </c>
      <c r="J2217" s="2">
        <v>4</v>
      </c>
      <c r="K2217" s="3">
        <v>410.59</v>
      </c>
      <c r="L2217" s="3">
        <v>223.49</v>
      </c>
      <c r="M2217" s="4">
        <v>0</v>
      </c>
      <c r="N2217" s="3">
        <f t="shared" si="170"/>
        <v>1642.36</v>
      </c>
      <c r="O2217" s="3">
        <f t="shared" si="171"/>
        <v>1642.36</v>
      </c>
      <c r="P2217" s="3">
        <f t="shared" si="172"/>
        <v>893.96</v>
      </c>
      <c r="Q2217" s="3">
        <f t="shared" si="173"/>
        <v>748.4</v>
      </c>
      <c r="R2217" s="4">
        <f t="shared" si="174"/>
        <v>0.45569999999999999</v>
      </c>
      <c r="S2217" s="2">
        <v>12</v>
      </c>
      <c r="T2217" t="s">
        <v>30</v>
      </c>
      <c r="U2217">
        <v>2</v>
      </c>
    </row>
    <row r="2218" spans="1:21" x14ac:dyDescent="0.25">
      <c r="A2218" s="1">
        <v>46037</v>
      </c>
      <c r="B2218" t="s">
        <v>2408</v>
      </c>
      <c r="C2218" t="s">
        <v>184</v>
      </c>
      <c r="D2218" t="s">
        <v>130</v>
      </c>
      <c r="E2218" t="s">
        <v>72</v>
      </c>
      <c r="F2218" t="s">
        <v>64</v>
      </c>
      <c r="G2218" t="s">
        <v>27</v>
      </c>
      <c r="H2218" t="s">
        <v>86</v>
      </c>
      <c r="I2218" t="s">
        <v>77</v>
      </c>
      <c r="J2218" s="2">
        <v>4</v>
      </c>
      <c r="K2218" s="3">
        <v>1950.88</v>
      </c>
      <c r="L2218" s="3">
        <v>1250.28</v>
      </c>
      <c r="M2218" s="4">
        <v>0</v>
      </c>
      <c r="N2218" s="3">
        <f t="shared" si="170"/>
        <v>7803.52</v>
      </c>
      <c r="O2218" s="3">
        <f t="shared" si="171"/>
        <v>7803.52</v>
      </c>
      <c r="P2218" s="3">
        <f t="shared" si="172"/>
        <v>5001.12</v>
      </c>
      <c r="Q2218" s="3">
        <f t="shared" si="173"/>
        <v>2802.4</v>
      </c>
      <c r="R2218" s="4">
        <f t="shared" si="174"/>
        <v>0.35909999999999997</v>
      </c>
      <c r="S2218" s="2">
        <v>13</v>
      </c>
      <c r="T2218" t="s">
        <v>30</v>
      </c>
      <c r="U2218">
        <v>3</v>
      </c>
    </row>
    <row r="2219" spans="1:21" x14ac:dyDescent="0.25">
      <c r="A2219" s="1">
        <v>46203</v>
      </c>
      <c r="B2219" t="s">
        <v>2409</v>
      </c>
      <c r="C2219" t="s">
        <v>284</v>
      </c>
      <c r="D2219" t="s">
        <v>139</v>
      </c>
      <c r="E2219" t="s">
        <v>72</v>
      </c>
      <c r="F2219" t="s">
        <v>36</v>
      </c>
      <c r="G2219" t="s">
        <v>51</v>
      </c>
      <c r="H2219" t="s">
        <v>59</v>
      </c>
      <c r="I2219" t="s">
        <v>92</v>
      </c>
      <c r="J2219" s="2">
        <v>7</v>
      </c>
      <c r="K2219" s="3">
        <v>2067.25</v>
      </c>
      <c r="L2219" s="3">
        <v>1487.34</v>
      </c>
      <c r="M2219" s="4">
        <v>0</v>
      </c>
      <c r="N2219" s="3">
        <f t="shared" si="170"/>
        <v>14470.75</v>
      </c>
      <c r="O2219" s="3">
        <f t="shared" si="171"/>
        <v>14470.75</v>
      </c>
      <c r="P2219" s="3">
        <f t="shared" si="172"/>
        <v>10411.379999999999</v>
      </c>
      <c r="Q2219" s="3">
        <f t="shared" si="173"/>
        <v>4059.37</v>
      </c>
      <c r="R2219" s="4">
        <f t="shared" si="174"/>
        <v>0.28050000000000003</v>
      </c>
      <c r="S2219" s="2">
        <v>10</v>
      </c>
      <c r="T2219" t="s">
        <v>46</v>
      </c>
      <c r="U2219">
        <v>5</v>
      </c>
    </row>
    <row r="2220" spans="1:21" x14ac:dyDescent="0.25">
      <c r="A2220" s="1">
        <v>46069</v>
      </c>
      <c r="B2220" t="s">
        <v>2410</v>
      </c>
      <c r="C2220" t="s">
        <v>157</v>
      </c>
      <c r="D2220" t="s">
        <v>113</v>
      </c>
      <c r="E2220" t="s">
        <v>50</v>
      </c>
      <c r="F2220" t="s">
        <v>58</v>
      </c>
      <c r="G2220" t="s">
        <v>27</v>
      </c>
      <c r="H2220" t="s">
        <v>86</v>
      </c>
      <c r="I2220" t="s">
        <v>53</v>
      </c>
      <c r="J2220" s="2">
        <v>5</v>
      </c>
      <c r="K2220" s="3">
        <v>1853.19</v>
      </c>
      <c r="L2220" s="3">
        <v>1159.26</v>
      </c>
      <c r="M2220" s="4">
        <v>3.7199999999999997E-2</v>
      </c>
      <c r="N2220" s="3">
        <f t="shared" si="170"/>
        <v>9265.9500000000007</v>
      </c>
      <c r="O2220" s="3">
        <f t="shared" si="171"/>
        <v>8921.26</v>
      </c>
      <c r="P2220" s="3">
        <f t="shared" si="172"/>
        <v>5796.3</v>
      </c>
      <c r="Q2220" s="3">
        <f t="shared" si="173"/>
        <v>3124.96</v>
      </c>
      <c r="R2220" s="4">
        <f t="shared" si="174"/>
        <v>0.3503</v>
      </c>
      <c r="S2220" s="2">
        <v>10</v>
      </c>
      <c r="T2220" t="s">
        <v>46</v>
      </c>
      <c r="U2220">
        <v>2</v>
      </c>
    </row>
    <row r="2221" spans="1:21" x14ac:dyDescent="0.25">
      <c r="A2221" s="1">
        <v>46030</v>
      </c>
      <c r="B2221" t="s">
        <v>2411</v>
      </c>
      <c r="C2221" t="s">
        <v>294</v>
      </c>
      <c r="D2221" t="s">
        <v>24</v>
      </c>
      <c r="E2221" t="s">
        <v>25</v>
      </c>
      <c r="F2221" t="s">
        <v>64</v>
      </c>
      <c r="G2221" t="s">
        <v>44</v>
      </c>
      <c r="H2221" t="s">
        <v>124</v>
      </c>
      <c r="I2221" t="s">
        <v>53</v>
      </c>
      <c r="J2221" s="2">
        <v>3</v>
      </c>
      <c r="K2221" s="3">
        <v>5612.14</v>
      </c>
      <c r="L2221" s="3">
        <v>4578.21</v>
      </c>
      <c r="M2221" s="4">
        <v>0</v>
      </c>
      <c r="N2221" s="3">
        <f t="shared" si="170"/>
        <v>16836.419999999998</v>
      </c>
      <c r="O2221" s="3">
        <f t="shared" si="171"/>
        <v>16836.419999999998</v>
      </c>
      <c r="P2221" s="3">
        <f t="shared" si="172"/>
        <v>13734.63</v>
      </c>
      <c r="Q2221" s="3">
        <f t="shared" si="173"/>
        <v>3101.79</v>
      </c>
      <c r="R2221" s="4">
        <f t="shared" si="174"/>
        <v>0.1842</v>
      </c>
      <c r="S2221" s="2">
        <v>12</v>
      </c>
      <c r="T2221" t="s">
        <v>30</v>
      </c>
      <c r="U2221">
        <v>2</v>
      </c>
    </row>
    <row r="2222" spans="1:21" x14ac:dyDescent="0.25">
      <c r="A2222" s="1">
        <v>46149</v>
      </c>
      <c r="B2222" t="s">
        <v>2412</v>
      </c>
      <c r="C2222" t="s">
        <v>275</v>
      </c>
      <c r="D2222" t="s">
        <v>121</v>
      </c>
      <c r="E2222" t="s">
        <v>72</v>
      </c>
      <c r="F2222" t="s">
        <v>64</v>
      </c>
      <c r="G2222" t="s">
        <v>51</v>
      </c>
      <c r="H2222" t="s">
        <v>116</v>
      </c>
      <c r="I2222" t="s">
        <v>92</v>
      </c>
      <c r="J2222" s="2">
        <v>6</v>
      </c>
      <c r="K2222" s="3">
        <v>2871.25</v>
      </c>
      <c r="L2222" s="3">
        <v>1868.72</v>
      </c>
      <c r="M2222" s="4">
        <v>0</v>
      </c>
      <c r="N2222" s="3">
        <f t="shared" si="170"/>
        <v>17227.5</v>
      </c>
      <c r="O2222" s="3">
        <f t="shared" si="171"/>
        <v>17227.5</v>
      </c>
      <c r="P2222" s="3">
        <f t="shared" si="172"/>
        <v>11212.32</v>
      </c>
      <c r="Q2222" s="3">
        <f t="shared" si="173"/>
        <v>6015.18</v>
      </c>
      <c r="R2222" s="4">
        <f t="shared" si="174"/>
        <v>0.34920000000000001</v>
      </c>
      <c r="S2222" s="2">
        <v>7</v>
      </c>
      <c r="T2222" t="s">
        <v>46</v>
      </c>
      <c r="U2222">
        <v>3</v>
      </c>
    </row>
    <row r="2223" spans="1:21" x14ac:dyDescent="0.25">
      <c r="A2223" s="1">
        <v>46130</v>
      </c>
      <c r="B2223" t="s">
        <v>2413</v>
      </c>
      <c r="C2223" t="s">
        <v>247</v>
      </c>
      <c r="D2223" t="s">
        <v>126</v>
      </c>
      <c r="E2223" t="s">
        <v>57</v>
      </c>
      <c r="F2223" t="s">
        <v>64</v>
      </c>
      <c r="G2223" t="s">
        <v>51</v>
      </c>
      <c r="H2223" t="s">
        <v>59</v>
      </c>
      <c r="I2223" t="s">
        <v>94</v>
      </c>
      <c r="J2223" s="2">
        <v>7</v>
      </c>
      <c r="K2223" s="3">
        <v>2156.52</v>
      </c>
      <c r="L2223" s="3">
        <v>1434.66</v>
      </c>
      <c r="M2223" s="4">
        <v>3.3099999999999997E-2</v>
      </c>
      <c r="N2223" s="3">
        <f t="shared" si="170"/>
        <v>15095.64</v>
      </c>
      <c r="O2223" s="3">
        <f t="shared" si="171"/>
        <v>14595.97</v>
      </c>
      <c r="P2223" s="3">
        <f t="shared" si="172"/>
        <v>10042.620000000001</v>
      </c>
      <c r="Q2223" s="3">
        <f t="shared" si="173"/>
        <v>4553.3500000000004</v>
      </c>
      <c r="R2223" s="4">
        <f t="shared" si="174"/>
        <v>0.312</v>
      </c>
      <c r="S2223" s="2">
        <v>8</v>
      </c>
      <c r="T2223" t="s">
        <v>46</v>
      </c>
      <c r="U2223">
        <v>4</v>
      </c>
    </row>
    <row r="2224" spans="1:21" x14ac:dyDescent="0.25">
      <c r="A2224" s="1">
        <v>46056</v>
      </c>
      <c r="B2224" t="s">
        <v>2414</v>
      </c>
      <c r="C2224" t="s">
        <v>70</v>
      </c>
      <c r="D2224" t="s">
        <v>130</v>
      </c>
      <c r="E2224" t="s">
        <v>72</v>
      </c>
      <c r="F2224" t="s">
        <v>58</v>
      </c>
      <c r="G2224" t="s">
        <v>44</v>
      </c>
      <c r="H2224" t="s">
        <v>124</v>
      </c>
      <c r="I2224" t="s">
        <v>65</v>
      </c>
      <c r="J2224" s="2">
        <v>4</v>
      </c>
      <c r="K2224" s="3">
        <v>6103.4</v>
      </c>
      <c r="L2224" s="3">
        <v>4299.09</v>
      </c>
      <c r="M2224" s="4">
        <v>7.3800000000000004E-2</v>
      </c>
      <c r="N2224" s="3">
        <f t="shared" si="170"/>
        <v>24413.599999999999</v>
      </c>
      <c r="O2224" s="3">
        <f t="shared" si="171"/>
        <v>22611.88</v>
      </c>
      <c r="P2224" s="3">
        <f t="shared" si="172"/>
        <v>17196.36</v>
      </c>
      <c r="Q2224" s="3">
        <f t="shared" si="173"/>
        <v>5415.52</v>
      </c>
      <c r="R2224" s="4">
        <f t="shared" si="174"/>
        <v>0.23949999999999999</v>
      </c>
      <c r="S2224" s="2">
        <v>2</v>
      </c>
      <c r="T2224" t="s">
        <v>46</v>
      </c>
      <c r="U2224">
        <v>2</v>
      </c>
    </row>
    <row r="2225" spans="1:21" x14ac:dyDescent="0.25">
      <c r="A2225" s="1">
        <v>46178</v>
      </c>
      <c r="B2225" t="s">
        <v>2415</v>
      </c>
      <c r="C2225" t="s">
        <v>381</v>
      </c>
      <c r="D2225" t="s">
        <v>113</v>
      </c>
      <c r="E2225" t="s">
        <v>50</v>
      </c>
      <c r="F2225" t="s">
        <v>64</v>
      </c>
      <c r="G2225" t="s">
        <v>27</v>
      </c>
      <c r="H2225" t="s">
        <v>28</v>
      </c>
      <c r="I2225" t="s">
        <v>39</v>
      </c>
      <c r="J2225" s="2">
        <v>3</v>
      </c>
      <c r="K2225" s="3">
        <v>765.61</v>
      </c>
      <c r="L2225" s="3">
        <v>438.17</v>
      </c>
      <c r="M2225" s="4">
        <v>0</v>
      </c>
      <c r="N2225" s="3">
        <f t="shared" si="170"/>
        <v>2296.83</v>
      </c>
      <c r="O2225" s="3">
        <f t="shared" si="171"/>
        <v>2296.83</v>
      </c>
      <c r="P2225" s="3">
        <f t="shared" si="172"/>
        <v>1314.51</v>
      </c>
      <c r="Q2225" s="3">
        <f t="shared" si="173"/>
        <v>982.32</v>
      </c>
      <c r="R2225" s="4">
        <f t="shared" si="174"/>
        <v>0.42770000000000002</v>
      </c>
      <c r="S2225" s="2">
        <v>7</v>
      </c>
      <c r="T2225" t="s">
        <v>46</v>
      </c>
      <c r="U2225">
        <v>4</v>
      </c>
    </row>
    <row r="2226" spans="1:21" x14ac:dyDescent="0.25">
      <c r="A2226" s="1">
        <v>46187</v>
      </c>
      <c r="B2226" t="s">
        <v>2416</v>
      </c>
      <c r="C2226" t="s">
        <v>401</v>
      </c>
      <c r="D2226" t="s">
        <v>71</v>
      </c>
      <c r="E2226" t="s">
        <v>72</v>
      </c>
      <c r="F2226" t="s">
        <v>58</v>
      </c>
      <c r="G2226" t="s">
        <v>37</v>
      </c>
      <c r="H2226" t="s">
        <v>178</v>
      </c>
      <c r="I2226" t="s">
        <v>29</v>
      </c>
      <c r="J2226" s="2">
        <v>5</v>
      </c>
      <c r="K2226" s="3">
        <v>494.66</v>
      </c>
      <c r="L2226" s="3">
        <v>242.7</v>
      </c>
      <c r="M2226" s="4">
        <v>6.6199999999999995E-2</v>
      </c>
      <c r="N2226" s="3">
        <f t="shared" si="170"/>
        <v>2473.3000000000002</v>
      </c>
      <c r="O2226" s="3">
        <f t="shared" si="171"/>
        <v>2309.5700000000002</v>
      </c>
      <c r="P2226" s="3">
        <f t="shared" si="172"/>
        <v>1213.5</v>
      </c>
      <c r="Q2226" s="3">
        <f t="shared" si="173"/>
        <v>1096.07</v>
      </c>
      <c r="R2226" s="4">
        <f t="shared" si="174"/>
        <v>0.47460000000000002</v>
      </c>
      <c r="S2226" s="2">
        <v>12</v>
      </c>
      <c r="T2226" t="s">
        <v>30</v>
      </c>
      <c r="U2226">
        <v>3</v>
      </c>
    </row>
    <row r="2227" spans="1:21" x14ac:dyDescent="0.25">
      <c r="A2227" s="1">
        <v>46037</v>
      </c>
      <c r="B2227" t="s">
        <v>2417</v>
      </c>
      <c r="C2227" t="s">
        <v>466</v>
      </c>
      <c r="D2227" t="s">
        <v>43</v>
      </c>
      <c r="E2227" t="s">
        <v>25</v>
      </c>
      <c r="F2227" t="s">
        <v>36</v>
      </c>
      <c r="G2227" t="s">
        <v>44</v>
      </c>
      <c r="H2227" t="s">
        <v>124</v>
      </c>
      <c r="I2227" t="s">
        <v>39</v>
      </c>
      <c r="J2227" s="2">
        <v>7</v>
      </c>
      <c r="K2227" s="3">
        <v>5908.89</v>
      </c>
      <c r="L2227" s="3">
        <v>4549.01</v>
      </c>
      <c r="M2227" s="4">
        <v>2.0299999999999999E-2</v>
      </c>
      <c r="N2227" s="3">
        <f t="shared" si="170"/>
        <v>41362.230000000003</v>
      </c>
      <c r="O2227" s="3">
        <f t="shared" si="171"/>
        <v>40522.58</v>
      </c>
      <c r="P2227" s="3">
        <f t="shared" si="172"/>
        <v>31843.07</v>
      </c>
      <c r="Q2227" s="3">
        <f t="shared" si="173"/>
        <v>8679.51</v>
      </c>
      <c r="R2227" s="4">
        <f t="shared" si="174"/>
        <v>0.2142</v>
      </c>
      <c r="S2227" s="2">
        <v>14</v>
      </c>
      <c r="T2227" t="s">
        <v>30</v>
      </c>
      <c r="U2227">
        <v>4</v>
      </c>
    </row>
    <row r="2228" spans="1:21" x14ac:dyDescent="0.25">
      <c r="A2228" s="1">
        <v>46182</v>
      </c>
      <c r="B2228" t="s">
        <v>2418</v>
      </c>
      <c r="C2228" t="s">
        <v>144</v>
      </c>
      <c r="D2228" t="s">
        <v>24</v>
      </c>
      <c r="E2228" t="s">
        <v>25</v>
      </c>
      <c r="F2228" t="s">
        <v>26</v>
      </c>
      <c r="G2228" t="s">
        <v>51</v>
      </c>
      <c r="H2228" t="s">
        <v>59</v>
      </c>
      <c r="I2228" t="s">
        <v>87</v>
      </c>
      <c r="J2228" s="2">
        <v>2</v>
      </c>
      <c r="K2228" s="3">
        <v>2259.6799999999998</v>
      </c>
      <c r="L2228" s="3">
        <v>1464.18</v>
      </c>
      <c r="M2228" s="4">
        <v>0</v>
      </c>
      <c r="N2228" s="3">
        <f t="shared" si="170"/>
        <v>4519.3599999999997</v>
      </c>
      <c r="O2228" s="3">
        <f t="shared" si="171"/>
        <v>4519.3599999999997</v>
      </c>
      <c r="P2228" s="3">
        <f t="shared" si="172"/>
        <v>2928.36</v>
      </c>
      <c r="Q2228" s="3">
        <f t="shared" si="173"/>
        <v>1591</v>
      </c>
      <c r="R2228" s="4">
        <f t="shared" si="174"/>
        <v>0.35199999999999998</v>
      </c>
      <c r="S2228" s="2">
        <v>11</v>
      </c>
      <c r="T2228" t="s">
        <v>30</v>
      </c>
      <c r="U2228">
        <v>2</v>
      </c>
    </row>
    <row r="2229" spans="1:21" x14ac:dyDescent="0.25">
      <c r="A2229" s="1">
        <v>46193</v>
      </c>
      <c r="B2229" t="s">
        <v>2419</v>
      </c>
      <c r="C2229" t="s">
        <v>67</v>
      </c>
      <c r="D2229" t="s">
        <v>56</v>
      </c>
      <c r="E2229" t="s">
        <v>57</v>
      </c>
      <c r="F2229" t="s">
        <v>58</v>
      </c>
      <c r="G2229" t="s">
        <v>44</v>
      </c>
      <c r="H2229" t="s">
        <v>73</v>
      </c>
      <c r="I2229" t="s">
        <v>87</v>
      </c>
      <c r="J2229" s="2">
        <v>4</v>
      </c>
      <c r="K2229" s="3">
        <v>1691.33</v>
      </c>
      <c r="L2229" s="3">
        <v>1101.6199999999999</v>
      </c>
      <c r="M2229" s="4">
        <v>3.5000000000000003E-2</v>
      </c>
      <c r="N2229" s="3">
        <f t="shared" si="170"/>
        <v>6765.32</v>
      </c>
      <c r="O2229" s="3">
        <f t="shared" si="171"/>
        <v>6528.53</v>
      </c>
      <c r="P2229" s="3">
        <f t="shared" si="172"/>
        <v>4406.4799999999996</v>
      </c>
      <c r="Q2229" s="3">
        <f t="shared" si="173"/>
        <v>2122.0500000000002</v>
      </c>
      <c r="R2229" s="4">
        <f t="shared" si="174"/>
        <v>0.32500000000000001</v>
      </c>
      <c r="S2229" s="2">
        <v>2</v>
      </c>
      <c r="T2229" t="s">
        <v>46</v>
      </c>
      <c r="U2229">
        <v>4</v>
      </c>
    </row>
    <row r="2230" spans="1:21" x14ac:dyDescent="0.25">
      <c r="A2230" s="1">
        <v>46200</v>
      </c>
      <c r="B2230" t="s">
        <v>2420</v>
      </c>
      <c r="C2230" t="s">
        <v>76</v>
      </c>
      <c r="D2230" t="s">
        <v>207</v>
      </c>
      <c r="E2230" t="s">
        <v>35</v>
      </c>
      <c r="F2230" t="s">
        <v>64</v>
      </c>
      <c r="G2230" t="s">
        <v>51</v>
      </c>
      <c r="H2230" t="s">
        <v>52</v>
      </c>
      <c r="I2230" t="s">
        <v>77</v>
      </c>
      <c r="J2230" s="2">
        <v>2</v>
      </c>
      <c r="K2230" s="3">
        <v>264.64999999999998</v>
      </c>
      <c r="L2230" s="3">
        <v>115.7</v>
      </c>
      <c r="M2230" s="4">
        <v>4.8000000000000001E-2</v>
      </c>
      <c r="N2230" s="3">
        <f t="shared" si="170"/>
        <v>529.29999999999995</v>
      </c>
      <c r="O2230" s="3">
        <f t="shared" si="171"/>
        <v>503.89</v>
      </c>
      <c r="P2230" s="3">
        <f t="shared" si="172"/>
        <v>231.4</v>
      </c>
      <c r="Q2230" s="3">
        <f t="shared" si="173"/>
        <v>272.49</v>
      </c>
      <c r="R2230" s="4">
        <f t="shared" si="174"/>
        <v>0.54079999999999995</v>
      </c>
      <c r="S2230" s="2">
        <v>5</v>
      </c>
      <c r="T2230" t="s">
        <v>46</v>
      </c>
      <c r="U2230">
        <v>3</v>
      </c>
    </row>
    <row r="2231" spans="1:21" x14ac:dyDescent="0.25">
      <c r="A2231" s="1">
        <v>46150</v>
      </c>
      <c r="B2231" t="s">
        <v>2421</v>
      </c>
      <c r="C2231" t="s">
        <v>187</v>
      </c>
      <c r="D2231" t="s">
        <v>126</v>
      </c>
      <c r="E2231" t="s">
        <v>57</v>
      </c>
      <c r="F2231" t="s">
        <v>36</v>
      </c>
      <c r="G2231" t="s">
        <v>44</v>
      </c>
      <c r="H2231" t="s">
        <v>45</v>
      </c>
      <c r="I2231" t="s">
        <v>87</v>
      </c>
      <c r="J2231" s="2">
        <v>4</v>
      </c>
      <c r="K2231" s="3">
        <v>380.02</v>
      </c>
      <c r="L2231" s="3">
        <v>203.38</v>
      </c>
      <c r="M2231" s="4">
        <v>5.9900000000000002E-2</v>
      </c>
      <c r="N2231" s="3">
        <f t="shared" si="170"/>
        <v>1520.08</v>
      </c>
      <c r="O2231" s="3">
        <f t="shared" si="171"/>
        <v>1429.03</v>
      </c>
      <c r="P2231" s="3">
        <f t="shared" si="172"/>
        <v>813.52</v>
      </c>
      <c r="Q2231" s="3">
        <f t="shared" si="173"/>
        <v>615.51</v>
      </c>
      <c r="R2231" s="4">
        <f t="shared" si="174"/>
        <v>0.43070000000000003</v>
      </c>
      <c r="S2231" s="2">
        <v>10</v>
      </c>
      <c r="T2231" t="s">
        <v>46</v>
      </c>
      <c r="U2231">
        <v>3</v>
      </c>
    </row>
    <row r="2232" spans="1:21" x14ac:dyDescent="0.25">
      <c r="A2232" s="1">
        <v>46131</v>
      </c>
      <c r="B2232" t="s">
        <v>2422</v>
      </c>
      <c r="C2232" t="s">
        <v>606</v>
      </c>
      <c r="D2232" t="s">
        <v>43</v>
      </c>
      <c r="E2232" t="s">
        <v>25</v>
      </c>
      <c r="F2232" t="s">
        <v>26</v>
      </c>
      <c r="G2232" t="s">
        <v>27</v>
      </c>
      <c r="H2232" t="s">
        <v>68</v>
      </c>
      <c r="I2232" t="s">
        <v>53</v>
      </c>
      <c r="J2232" s="2">
        <v>2</v>
      </c>
      <c r="K2232" s="3">
        <v>1343.57</v>
      </c>
      <c r="L2232" s="3">
        <v>774.71</v>
      </c>
      <c r="M2232" s="4">
        <v>0.112</v>
      </c>
      <c r="N2232" s="3">
        <f t="shared" si="170"/>
        <v>2687.14</v>
      </c>
      <c r="O2232" s="3">
        <f t="shared" si="171"/>
        <v>2386.1799999999998</v>
      </c>
      <c r="P2232" s="3">
        <f t="shared" si="172"/>
        <v>1549.42</v>
      </c>
      <c r="Q2232" s="3">
        <f t="shared" si="173"/>
        <v>836.76</v>
      </c>
      <c r="R2232" s="4">
        <f t="shared" si="174"/>
        <v>0.35070000000000001</v>
      </c>
      <c r="S2232" s="2">
        <v>12</v>
      </c>
      <c r="T2232" t="s">
        <v>30</v>
      </c>
      <c r="U2232">
        <v>2</v>
      </c>
    </row>
    <row r="2233" spans="1:21" x14ac:dyDescent="0.25">
      <c r="A2233" s="1">
        <v>46215</v>
      </c>
      <c r="B2233" t="s">
        <v>2423</v>
      </c>
      <c r="C2233" t="s">
        <v>476</v>
      </c>
      <c r="D2233" t="s">
        <v>121</v>
      </c>
      <c r="E2233" t="s">
        <v>72</v>
      </c>
      <c r="F2233" t="s">
        <v>58</v>
      </c>
      <c r="G2233" t="s">
        <v>51</v>
      </c>
      <c r="H2233" t="s">
        <v>116</v>
      </c>
      <c r="I2233" t="s">
        <v>60</v>
      </c>
      <c r="J2233" s="2">
        <v>1</v>
      </c>
      <c r="K2233" s="3">
        <v>2735.11</v>
      </c>
      <c r="L2233" s="3">
        <v>1890.03</v>
      </c>
      <c r="M2233" s="4">
        <v>0.10009999999999999</v>
      </c>
      <c r="N2233" s="3">
        <f t="shared" si="170"/>
        <v>2735.11</v>
      </c>
      <c r="O2233" s="3">
        <f t="shared" si="171"/>
        <v>2461.33</v>
      </c>
      <c r="P2233" s="3">
        <f t="shared" si="172"/>
        <v>1890.03</v>
      </c>
      <c r="Q2233" s="3">
        <f t="shared" si="173"/>
        <v>571.29999999999995</v>
      </c>
      <c r="R2233" s="4">
        <f t="shared" si="174"/>
        <v>0.2321</v>
      </c>
      <c r="S2233" s="2">
        <v>7</v>
      </c>
      <c r="T2233" t="s">
        <v>46</v>
      </c>
      <c r="U2233">
        <v>5</v>
      </c>
    </row>
    <row r="2234" spans="1:21" x14ac:dyDescent="0.25">
      <c r="A2234" s="1">
        <v>46183</v>
      </c>
      <c r="B2234" t="s">
        <v>2424</v>
      </c>
      <c r="C2234" t="s">
        <v>466</v>
      </c>
      <c r="D2234" t="s">
        <v>121</v>
      </c>
      <c r="E2234" t="s">
        <v>72</v>
      </c>
      <c r="F2234" t="s">
        <v>64</v>
      </c>
      <c r="G2234" t="s">
        <v>37</v>
      </c>
      <c r="H2234" t="s">
        <v>104</v>
      </c>
      <c r="I2234" t="s">
        <v>92</v>
      </c>
      <c r="J2234" s="2">
        <v>7</v>
      </c>
      <c r="K2234" s="3">
        <v>306.55</v>
      </c>
      <c r="L2234" s="3">
        <v>144.94</v>
      </c>
      <c r="M2234" s="4">
        <v>5.6599999999999998E-2</v>
      </c>
      <c r="N2234" s="3">
        <f t="shared" si="170"/>
        <v>2145.85</v>
      </c>
      <c r="O2234" s="3">
        <f t="shared" si="171"/>
        <v>2024.39</v>
      </c>
      <c r="P2234" s="3">
        <f t="shared" si="172"/>
        <v>1014.58</v>
      </c>
      <c r="Q2234" s="3">
        <f t="shared" si="173"/>
        <v>1009.81</v>
      </c>
      <c r="R2234" s="4">
        <f t="shared" si="174"/>
        <v>0.49880000000000002</v>
      </c>
      <c r="S2234" s="2">
        <v>7</v>
      </c>
      <c r="T2234" t="s">
        <v>46</v>
      </c>
      <c r="U2234">
        <v>3</v>
      </c>
    </row>
    <row r="2235" spans="1:21" x14ac:dyDescent="0.25">
      <c r="A2235" s="1">
        <v>46025</v>
      </c>
      <c r="B2235" t="s">
        <v>2425</v>
      </c>
      <c r="C2235" t="s">
        <v>375</v>
      </c>
      <c r="D2235" t="s">
        <v>85</v>
      </c>
      <c r="E2235" t="s">
        <v>50</v>
      </c>
      <c r="F2235" t="s">
        <v>64</v>
      </c>
      <c r="G2235" t="s">
        <v>44</v>
      </c>
      <c r="H2235" t="s">
        <v>45</v>
      </c>
      <c r="I2235" t="s">
        <v>87</v>
      </c>
      <c r="J2235" s="2">
        <v>6</v>
      </c>
      <c r="K2235" s="3">
        <v>396.27</v>
      </c>
      <c r="L2235" s="3">
        <v>203.41</v>
      </c>
      <c r="M2235" s="4">
        <v>0</v>
      </c>
      <c r="N2235" s="3">
        <f t="shared" si="170"/>
        <v>2377.62</v>
      </c>
      <c r="O2235" s="3">
        <f t="shared" si="171"/>
        <v>2377.62</v>
      </c>
      <c r="P2235" s="3">
        <f t="shared" si="172"/>
        <v>1220.46</v>
      </c>
      <c r="Q2235" s="3">
        <f t="shared" si="173"/>
        <v>1157.1600000000001</v>
      </c>
      <c r="R2235" s="4">
        <f t="shared" si="174"/>
        <v>0.48670000000000002</v>
      </c>
      <c r="S2235" s="2">
        <v>14</v>
      </c>
      <c r="T2235" t="s">
        <v>30</v>
      </c>
      <c r="U2235">
        <v>3</v>
      </c>
    </row>
    <row r="2236" spans="1:21" x14ac:dyDescent="0.25">
      <c r="A2236" s="1">
        <v>46029</v>
      </c>
      <c r="B2236" t="s">
        <v>2426</v>
      </c>
      <c r="C2236" t="s">
        <v>284</v>
      </c>
      <c r="D2236" t="s">
        <v>113</v>
      </c>
      <c r="E2236" t="s">
        <v>50</v>
      </c>
      <c r="F2236" t="s">
        <v>64</v>
      </c>
      <c r="G2236" t="s">
        <v>37</v>
      </c>
      <c r="H2236" t="s">
        <v>38</v>
      </c>
      <c r="I2236" t="s">
        <v>87</v>
      </c>
      <c r="J2236" s="2">
        <v>5</v>
      </c>
      <c r="K2236" s="3">
        <v>407.54</v>
      </c>
      <c r="L2236" s="3">
        <v>186.99</v>
      </c>
      <c r="M2236" s="4">
        <v>0</v>
      </c>
      <c r="N2236" s="3">
        <f t="shared" si="170"/>
        <v>2037.7</v>
      </c>
      <c r="O2236" s="3">
        <f t="shared" si="171"/>
        <v>2037.7</v>
      </c>
      <c r="P2236" s="3">
        <f t="shared" si="172"/>
        <v>934.95</v>
      </c>
      <c r="Q2236" s="3">
        <f t="shared" si="173"/>
        <v>1102.75</v>
      </c>
      <c r="R2236" s="4">
        <f t="shared" si="174"/>
        <v>0.54120000000000001</v>
      </c>
      <c r="S2236" s="2">
        <v>12</v>
      </c>
      <c r="T2236" t="s">
        <v>30</v>
      </c>
      <c r="U2236">
        <v>2</v>
      </c>
    </row>
    <row r="2237" spans="1:21" x14ac:dyDescent="0.25">
      <c r="A2237" s="1">
        <v>46180</v>
      </c>
      <c r="B2237" t="s">
        <v>2427</v>
      </c>
      <c r="C2237" t="s">
        <v>33</v>
      </c>
      <c r="D2237" t="s">
        <v>139</v>
      </c>
      <c r="E2237" t="s">
        <v>72</v>
      </c>
      <c r="F2237" t="s">
        <v>58</v>
      </c>
      <c r="G2237" t="s">
        <v>37</v>
      </c>
      <c r="H2237" t="s">
        <v>38</v>
      </c>
      <c r="I2237" t="s">
        <v>65</v>
      </c>
      <c r="J2237" s="2">
        <v>6</v>
      </c>
      <c r="K2237" s="3">
        <v>423.14</v>
      </c>
      <c r="L2237" s="3">
        <v>196.04</v>
      </c>
      <c r="M2237" s="4">
        <v>3.5000000000000003E-2</v>
      </c>
      <c r="N2237" s="3">
        <f t="shared" si="170"/>
        <v>2538.84</v>
      </c>
      <c r="O2237" s="3">
        <f t="shared" si="171"/>
        <v>2449.98</v>
      </c>
      <c r="P2237" s="3">
        <f t="shared" si="172"/>
        <v>1176.24</v>
      </c>
      <c r="Q2237" s="3">
        <f t="shared" si="173"/>
        <v>1273.74</v>
      </c>
      <c r="R2237" s="4">
        <f t="shared" si="174"/>
        <v>0.51990000000000003</v>
      </c>
      <c r="S2237" s="2">
        <v>5</v>
      </c>
      <c r="T2237" t="s">
        <v>46</v>
      </c>
      <c r="U2237">
        <v>2</v>
      </c>
    </row>
    <row r="2238" spans="1:21" x14ac:dyDescent="0.25">
      <c r="A2238" s="1">
        <v>46197</v>
      </c>
      <c r="B2238" t="s">
        <v>2428</v>
      </c>
      <c r="C2238" t="s">
        <v>70</v>
      </c>
      <c r="D2238" t="s">
        <v>34</v>
      </c>
      <c r="E2238" t="s">
        <v>35</v>
      </c>
      <c r="F2238" t="s">
        <v>36</v>
      </c>
      <c r="G2238" t="s">
        <v>37</v>
      </c>
      <c r="H2238" t="s">
        <v>178</v>
      </c>
      <c r="I2238" t="s">
        <v>65</v>
      </c>
      <c r="J2238" s="2">
        <v>7</v>
      </c>
      <c r="K2238" s="3">
        <v>493.01</v>
      </c>
      <c r="L2238" s="3">
        <v>236.55</v>
      </c>
      <c r="M2238" s="4">
        <v>2.6800000000000001E-2</v>
      </c>
      <c r="N2238" s="3">
        <f t="shared" si="170"/>
        <v>3451.07</v>
      </c>
      <c r="O2238" s="3">
        <f t="shared" si="171"/>
        <v>3358.58</v>
      </c>
      <c r="P2238" s="3">
        <f t="shared" si="172"/>
        <v>1655.85</v>
      </c>
      <c r="Q2238" s="3">
        <f t="shared" si="173"/>
        <v>1702.73</v>
      </c>
      <c r="R2238" s="4">
        <f t="shared" si="174"/>
        <v>0.50700000000000001</v>
      </c>
      <c r="S2238" s="2">
        <v>3</v>
      </c>
      <c r="T2238" t="s">
        <v>46</v>
      </c>
      <c r="U2238">
        <v>3</v>
      </c>
    </row>
    <row r="2239" spans="1:21" x14ac:dyDescent="0.25">
      <c r="A2239" s="1">
        <v>46133</v>
      </c>
      <c r="B2239" t="s">
        <v>2429</v>
      </c>
      <c r="C2239" t="s">
        <v>115</v>
      </c>
      <c r="D2239" t="s">
        <v>126</v>
      </c>
      <c r="E2239" t="s">
        <v>57</v>
      </c>
      <c r="F2239" t="s">
        <v>36</v>
      </c>
      <c r="G2239" t="s">
        <v>44</v>
      </c>
      <c r="H2239" t="s">
        <v>124</v>
      </c>
      <c r="I2239" t="s">
        <v>92</v>
      </c>
      <c r="J2239" s="2">
        <v>7</v>
      </c>
      <c r="K2239" s="3">
        <v>5601.06</v>
      </c>
      <c r="L2239" s="3">
        <v>4476.63</v>
      </c>
      <c r="M2239" s="4">
        <v>3.2599999999999997E-2</v>
      </c>
      <c r="N2239" s="3">
        <f t="shared" si="170"/>
        <v>39207.42</v>
      </c>
      <c r="O2239" s="3">
        <f t="shared" si="171"/>
        <v>37929.26</v>
      </c>
      <c r="P2239" s="3">
        <f t="shared" si="172"/>
        <v>31336.41</v>
      </c>
      <c r="Q2239" s="3">
        <f t="shared" si="173"/>
        <v>6592.85</v>
      </c>
      <c r="R2239" s="4">
        <f t="shared" si="174"/>
        <v>0.17380000000000001</v>
      </c>
      <c r="S2239" s="2">
        <v>11</v>
      </c>
      <c r="T2239" t="s">
        <v>30</v>
      </c>
      <c r="U2239">
        <v>5</v>
      </c>
    </row>
    <row r="2240" spans="1:21" x14ac:dyDescent="0.25">
      <c r="A2240" s="1">
        <v>46222</v>
      </c>
      <c r="B2240" t="s">
        <v>2430</v>
      </c>
      <c r="C2240" t="s">
        <v>33</v>
      </c>
      <c r="D2240" t="s">
        <v>85</v>
      </c>
      <c r="E2240" t="s">
        <v>50</v>
      </c>
      <c r="F2240" t="s">
        <v>58</v>
      </c>
      <c r="G2240" t="s">
        <v>37</v>
      </c>
      <c r="H2240" t="s">
        <v>38</v>
      </c>
      <c r="I2240" t="s">
        <v>29</v>
      </c>
      <c r="J2240" s="2">
        <v>1</v>
      </c>
      <c r="K2240" s="3">
        <v>414.36</v>
      </c>
      <c r="L2240" s="3">
        <v>184.12</v>
      </c>
      <c r="M2240" s="4">
        <v>0.159</v>
      </c>
      <c r="N2240" s="3">
        <f t="shared" si="170"/>
        <v>414.36</v>
      </c>
      <c r="O2240" s="3">
        <f t="shared" si="171"/>
        <v>348.48</v>
      </c>
      <c r="P2240" s="3">
        <f t="shared" si="172"/>
        <v>184.12</v>
      </c>
      <c r="Q2240" s="3">
        <f t="shared" si="173"/>
        <v>164.36</v>
      </c>
      <c r="R2240" s="4">
        <f t="shared" si="174"/>
        <v>0.47160000000000002</v>
      </c>
      <c r="S2240" s="2">
        <v>11</v>
      </c>
      <c r="T2240" t="s">
        <v>30</v>
      </c>
      <c r="U2240">
        <v>4</v>
      </c>
    </row>
    <row r="2241" spans="1:21" x14ac:dyDescent="0.25">
      <c r="A2241" s="1">
        <v>46078</v>
      </c>
      <c r="B2241" t="s">
        <v>2431</v>
      </c>
      <c r="C2241" t="s">
        <v>433</v>
      </c>
      <c r="D2241" t="s">
        <v>113</v>
      </c>
      <c r="E2241" t="s">
        <v>50</v>
      </c>
      <c r="F2241" t="s">
        <v>36</v>
      </c>
      <c r="G2241" t="s">
        <v>37</v>
      </c>
      <c r="H2241" t="s">
        <v>104</v>
      </c>
      <c r="I2241" t="s">
        <v>74</v>
      </c>
      <c r="J2241" s="2">
        <v>4</v>
      </c>
      <c r="K2241" s="3">
        <v>303.52999999999997</v>
      </c>
      <c r="L2241" s="3">
        <v>141.53</v>
      </c>
      <c r="M2241" s="4">
        <v>6.4399999999999999E-2</v>
      </c>
      <c r="N2241" s="3">
        <f t="shared" si="170"/>
        <v>1214.1199999999999</v>
      </c>
      <c r="O2241" s="3">
        <f t="shared" si="171"/>
        <v>1135.93</v>
      </c>
      <c r="P2241" s="3">
        <f t="shared" si="172"/>
        <v>566.12</v>
      </c>
      <c r="Q2241" s="3">
        <f t="shared" si="173"/>
        <v>569.80999999999995</v>
      </c>
      <c r="R2241" s="4">
        <f t="shared" si="174"/>
        <v>0.50160000000000005</v>
      </c>
      <c r="S2241" s="2">
        <v>2</v>
      </c>
      <c r="T2241" t="s">
        <v>46</v>
      </c>
      <c r="U2241">
        <v>2</v>
      </c>
    </row>
    <row r="2242" spans="1:21" x14ac:dyDescent="0.25">
      <c r="A2242" s="1">
        <v>46169</v>
      </c>
      <c r="B2242" t="s">
        <v>2432</v>
      </c>
      <c r="C2242" t="s">
        <v>144</v>
      </c>
      <c r="D2242" t="s">
        <v>207</v>
      </c>
      <c r="E2242" t="s">
        <v>35</v>
      </c>
      <c r="F2242" t="s">
        <v>36</v>
      </c>
      <c r="G2242" t="s">
        <v>37</v>
      </c>
      <c r="H2242" t="s">
        <v>104</v>
      </c>
      <c r="I2242" t="s">
        <v>29</v>
      </c>
      <c r="J2242" s="2">
        <v>1</v>
      </c>
      <c r="K2242" s="3">
        <v>306.85000000000002</v>
      </c>
      <c r="L2242" s="3">
        <v>133.27000000000001</v>
      </c>
      <c r="M2242" s="4">
        <v>7.6600000000000001E-2</v>
      </c>
      <c r="N2242" s="3">
        <f t="shared" ref="N2242:N2305" si="175">ROUND(J2242*K2242,2)</f>
        <v>306.85000000000002</v>
      </c>
      <c r="O2242" s="3">
        <f t="shared" ref="O2242:O2305" si="176">ROUND(N2242*(1-M2242),2)</f>
        <v>283.35000000000002</v>
      </c>
      <c r="P2242" s="3">
        <f t="shared" ref="P2242:P2305" si="177">ROUND(J2242*L2242,2)</f>
        <v>133.27000000000001</v>
      </c>
      <c r="Q2242" s="3">
        <f t="shared" ref="Q2242:Q2305" si="178">ROUND(O2242-P2242,2)</f>
        <v>150.08000000000001</v>
      </c>
      <c r="R2242" s="4">
        <f t="shared" ref="R2242:R2305" si="179">IF(O2242=0,0,ROUND(Q2242/O2242,4))</f>
        <v>0.52969999999999995</v>
      </c>
      <c r="S2242" s="2">
        <v>14</v>
      </c>
      <c r="T2242" t="s">
        <v>30</v>
      </c>
      <c r="U2242">
        <v>3</v>
      </c>
    </row>
    <row r="2243" spans="1:21" x14ac:dyDescent="0.25">
      <c r="A2243" s="1">
        <v>46143</v>
      </c>
      <c r="B2243" t="s">
        <v>2433</v>
      </c>
      <c r="C2243" t="s">
        <v>112</v>
      </c>
      <c r="D2243" t="s">
        <v>49</v>
      </c>
      <c r="E2243" t="s">
        <v>50</v>
      </c>
      <c r="F2243" t="s">
        <v>64</v>
      </c>
      <c r="G2243" t="s">
        <v>37</v>
      </c>
      <c r="H2243" t="s">
        <v>104</v>
      </c>
      <c r="I2243" t="s">
        <v>29</v>
      </c>
      <c r="J2243" s="2">
        <v>2</v>
      </c>
      <c r="K2243" s="3">
        <v>322.17</v>
      </c>
      <c r="L2243" s="3">
        <v>132.75</v>
      </c>
      <c r="M2243" s="4">
        <v>8.9399999999999993E-2</v>
      </c>
      <c r="N2243" s="3">
        <f t="shared" si="175"/>
        <v>644.34</v>
      </c>
      <c r="O2243" s="3">
        <f t="shared" si="176"/>
        <v>586.74</v>
      </c>
      <c r="P2243" s="3">
        <f t="shared" si="177"/>
        <v>265.5</v>
      </c>
      <c r="Q2243" s="3">
        <f t="shared" si="178"/>
        <v>321.24</v>
      </c>
      <c r="R2243" s="4">
        <f t="shared" si="179"/>
        <v>0.54749999999999999</v>
      </c>
      <c r="S2243" s="2">
        <v>11</v>
      </c>
      <c r="T2243" t="s">
        <v>30</v>
      </c>
      <c r="U2243">
        <v>3</v>
      </c>
    </row>
    <row r="2244" spans="1:21" x14ac:dyDescent="0.25">
      <c r="A2244" s="1">
        <v>46031</v>
      </c>
      <c r="B2244" t="s">
        <v>2434</v>
      </c>
      <c r="C2244" t="s">
        <v>329</v>
      </c>
      <c r="D2244" t="s">
        <v>85</v>
      </c>
      <c r="E2244" t="s">
        <v>50</v>
      </c>
      <c r="F2244" t="s">
        <v>58</v>
      </c>
      <c r="G2244" t="s">
        <v>37</v>
      </c>
      <c r="H2244" t="s">
        <v>104</v>
      </c>
      <c r="I2244" t="s">
        <v>29</v>
      </c>
      <c r="J2244" s="2">
        <v>7</v>
      </c>
      <c r="K2244" s="3">
        <v>310.02999999999997</v>
      </c>
      <c r="L2244" s="3">
        <v>140.54</v>
      </c>
      <c r="M2244" s="4">
        <v>6.2399999999999997E-2</v>
      </c>
      <c r="N2244" s="3">
        <f t="shared" si="175"/>
        <v>2170.21</v>
      </c>
      <c r="O2244" s="3">
        <f t="shared" si="176"/>
        <v>2034.79</v>
      </c>
      <c r="P2244" s="3">
        <f t="shared" si="177"/>
        <v>983.78</v>
      </c>
      <c r="Q2244" s="3">
        <f t="shared" si="178"/>
        <v>1051.01</v>
      </c>
      <c r="R2244" s="4">
        <f t="shared" si="179"/>
        <v>0.51649999999999996</v>
      </c>
      <c r="S2244" s="2">
        <v>8</v>
      </c>
      <c r="T2244" t="s">
        <v>46</v>
      </c>
      <c r="U2244">
        <v>3</v>
      </c>
    </row>
    <row r="2245" spans="1:21" x14ac:dyDescent="0.25">
      <c r="A2245" s="1">
        <v>46086</v>
      </c>
      <c r="B2245" t="s">
        <v>2435</v>
      </c>
      <c r="C2245" t="s">
        <v>138</v>
      </c>
      <c r="D2245" t="s">
        <v>130</v>
      </c>
      <c r="E2245" t="s">
        <v>72</v>
      </c>
      <c r="F2245" t="s">
        <v>64</v>
      </c>
      <c r="G2245" t="s">
        <v>44</v>
      </c>
      <c r="H2245" t="s">
        <v>45</v>
      </c>
      <c r="I2245" t="s">
        <v>65</v>
      </c>
      <c r="J2245" s="2">
        <v>6</v>
      </c>
      <c r="K2245" s="3">
        <v>409.14</v>
      </c>
      <c r="L2245" s="3">
        <v>209.26</v>
      </c>
      <c r="M2245" s="4">
        <v>0</v>
      </c>
      <c r="N2245" s="3">
        <f t="shared" si="175"/>
        <v>2454.84</v>
      </c>
      <c r="O2245" s="3">
        <f t="shared" si="176"/>
        <v>2454.84</v>
      </c>
      <c r="P2245" s="3">
        <f t="shared" si="177"/>
        <v>1255.56</v>
      </c>
      <c r="Q2245" s="3">
        <f t="shared" si="178"/>
        <v>1199.28</v>
      </c>
      <c r="R2245" s="4">
        <f t="shared" si="179"/>
        <v>0.48849999999999999</v>
      </c>
      <c r="S2245" s="2">
        <v>5</v>
      </c>
      <c r="T2245" t="s">
        <v>46</v>
      </c>
      <c r="U2245">
        <v>5</v>
      </c>
    </row>
    <row r="2246" spans="1:21" x14ac:dyDescent="0.25">
      <c r="A2246" s="1">
        <v>46098</v>
      </c>
      <c r="B2246" t="s">
        <v>2436</v>
      </c>
      <c r="C2246" t="s">
        <v>527</v>
      </c>
      <c r="D2246" t="s">
        <v>63</v>
      </c>
      <c r="E2246" t="s">
        <v>35</v>
      </c>
      <c r="F2246" t="s">
        <v>26</v>
      </c>
      <c r="G2246" t="s">
        <v>27</v>
      </c>
      <c r="H2246" t="s">
        <v>28</v>
      </c>
      <c r="I2246" t="s">
        <v>87</v>
      </c>
      <c r="J2246" s="2">
        <v>3</v>
      </c>
      <c r="K2246" s="3">
        <v>787.38</v>
      </c>
      <c r="L2246" s="3">
        <v>437.09</v>
      </c>
      <c r="M2246" s="4">
        <v>3.8399999999999997E-2</v>
      </c>
      <c r="N2246" s="3">
        <f t="shared" si="175"/>
        <v>2362.14</v>
      </c>
      <c r="O2246" s="3">
        <f t="shared" si="176"/>
        <v>2271.4299999999998</v>
      </c>
      <c r="P2246" s="3">
        <f t="shared" si="177"/>
        <v>1311.27</v>
      </c>
      <c r="Q2246" s="3">
        <f t="shared" si="178"/>
        <v>960.16</v>
      </c>
      <c r="R2246" s="4">
        <f t="shared" si="179"/>
        <v>0.42270000000000002</v>
      </c>
      <c r="S2246" s="2">
        <v>6</v>
      </c>
      <c r="T2246" t="s">
        <v>46</v>
      </c>
      <c r="U2246">
        <v>2</v>
      </c>
    </row>
    <row r="2247" spans="1:21" x14ac:dyDescent="0.25">
      <c r="A2247" s="1">
        <v>46037</v>
      </c>
      <c r="B2247" t="s">
        <v>2437</v>
      </c>
      <c r="C2247" t="s">
        <v>195</v>
      </c>
      <c r="D2247" t="s">
        <v>130</v>
      </c>
      <c r="E2247" t="s">
        <v>72</v>
      </c>
      <c r="F2247" t="s">
        <v>36</v>
      </c>
      <c r="G2247" t="s">
        <v>37</v>
      </c>
      <c r="H2247" t="s">
        <v>104</v>
      </c>
      <c r="I2247" t="s">
        <v>65</v>
      </c>
      <c r="J2247" s="2">
        <v>3</v>
      </c>
      <c r="K2247" s="3">
        <v>313.8</v>
      </c>
      <c r="L2247" s="3">
        <v>145.54</v>
      </c>
      <c r="M2247" s="4">
        <v>0.1101</v>
      </c>
      <c r="N2247" s="3">
        <f t="shared" si="175"/>
        <v>941.4</v>
      </c>
      <c r="O2247" s="3">
        <f t="shared" si="176"/>
        <v>837.75</v>
      </c>
      <c r="P2247" s="3">
        <f t="shared" si="177"/>
        <v>436.62</v>
      </c>
      <c r="Q2247" s="3">
        <f t="shared" si="178"/>
        <v>401.13</v>
      </c>
      <c r="R2247" s="4">
        <f t="shared" si="179"/>
        <v>0.4788</v>
      </c>
      <c r="S2247" s="2">
        <v>12</v>
      </c>
      <c r="T2247" t="s">
        <v>30</v>
      </c>
      <c r="U2247">
        <v>2</v>
      </c>
    </row>
    <row r="2248" spans="1:21" x14ac:dyDescent="0.25">
      <c r="A2248" s="1">
        <v>46110</v>
      </c>
      <c r="B2248" t="s">
        <v>2438</v>
      </c>
      <c r="C2248" t="s">
        <v>91</v>
      </c>
      <c r="D2248" t="s">
        <v>139</v>
      </c>
      <c r="E2248" t="s">
        <v>72</v>
      </c>
      <c r="F2248" t="s">
        <v>58</v>
      </c>
      <c r="G2248" t="s">
        <v>51</v>
      </c>
      <c r="H2248" t="s">
        <v>52</v>
      </c>
      <c r="I2248" t="s">
        <v>39</v>
      </c>
      <c r="J2248" s="2">
        <v>3</v>
      </c>
      <c r="K2248" s="3">
        <v>274.7</v>
      </c>
      <c r="L2248" s="3">
        <v>126</v>
      </c>
      <c r="M2248" s="4">
        <v>9.4200000000000006E-2</v>
      </c>
      <c r="N2248" s="3">
        <f t="shared" si="175"/>
        <v>824.1</v>
      </c>
      <c r="O2248" s="3">
        <f t="shared" si="176"/>
        <v>746.47</v>
      </c>
      <c r="P2248" s="3">
        <f t="shared" si="177"/>
        <v>378</v>
      </c>
      <c r="Q2248" s="3">
        <f t="shared" si="178"/>
        <v>368.47</v>
      </c>
      <c r="R2248" s="4">
        <f t="shared" si="179"/>
        <v>0.49359999999999998</v>
      </c>
      <c r="S2248" s="2">
        <v>9</v>
      </c>
      <c r="T2248" t="s">
        <v>46</v>
      </c>
      <c r="U2248">
        <v>2</v>
      </c>
    </row>
    <row r="2249" spans="1:21" x14ac:dyDescent="0.25">
      <c r="A2249" s="1">
        <v>46173</v>
      </c>
      <c r="B2249" t="s">
        <v>2439</v>
      </c>
      <c r="C2249" t="s">
        <v>286</v>
      </c>
      <c r="D2249" t="s">
        <v>207</v>
      </c>
      <c r="E2249" t="s">
        <v>35</v>
      </c>
      <c r="F2249" t="s">
        <v>58</v>
      </c>
      <c r="G2249" t="s">
        <v>27</v>
      </c>
      <c r="H2249" t="s">
        <v>28</v>
      </c>
      <c r="I2249" t="s">
        <v>94</v>
      </c>
      <c r="J2249" s="2">
        <v>1</v>
      </c>
      <c r="K2249" s="3">
        <v>772.62</v>
      </c>
      <c r="L2249" s="3">
        <v>467.29</v>
      </c>
      <c r="M2249" s="4">
        <v>3.5000000000000003E-2</v>
      </c>
      <c r="N2249" s="3">
        <f t="shared" si="175"/>
        <v>772.62</v>
      </c>
      <c r="O2249" s="3">
        <f t="shared" si="176"/>
        <v>745.58</v>
      </c>
      <c r="P2249" s="3">
        <f t="shared" si="177"/>
        <v>467.29</v>
      </c>
      <c r="Q2249" s="3">
        <f t="shared" si="178"/>
        <v>278.29000000000002</v>
      </c>
      <c r="R2249" s="4">
        <f t="shared" si="179"/>
        <v>0.37330000000000002</v>
      </c>
      <c r="S2249" s="2">
        <v>10</v>
      </c>
      <c r="T2249" t="s">
        <v>46</v>
      </c>
      <c r="U2249">
        <v>2</v>
      </c>
    </row>
    <row r="2250" spans="1:21" x14ac:dyDescent="0.25">
      <c r="A2250" s="1">
        <v>46155</v>
      </c>
      <c r="B2250" t="s">
        <v>2440</v>
      </c>
      <c r="C2250" t="s">
        <v>358</v>
      </c>
      <c r="D2250" t="s">
        <v>207</v>
      </c>
      <c r="E2250" t="s">
        <v>35</v>
      </c>
      <c r="F2250" t="s">
        <v>64</v>
      </c>
      <c r="G2250" t="s">
        <v>37</v>
      </c>
      <c r="H2250" t="s">
        <v>104</v>
      </c>
      <c r="I2250" t="s">
        <v>94</v>
      </c>
      <c r="J2250" s="2">
        <v>5</v>
      </c>
      <c r="K2250" s="3">
        <v>335.77</v>
      </c>
      <c r="L2250" s="3">
        <v>130.83000000000001</v>
      </c>
      <c r="M2250" s="4">
        <v>6.1899999999999997E-2</v>
      </c>
      <c r="N2250" s="3">
        <f t="shared" si="175"/>
        <v>1678.85</v>
      </c>
      <c r="O2250" s="3">
        <f t="shared" si="176"/>
        <v>1574.93</v>
      </c>
      <c r="P2250" s="3">
        <f t="shared" si="177"/>
        <v>654.15</v>
      </c>
      <c r="Q2250" s="3">
        <f t="shared" si="178"/>
        <v>920.78</v>
      </c>
      <c r="R2250" s="4">
        <f t="shared" si="179"/>
        <v>0.58460000000000001</v>
      </c>
      <c r="S2250" s="2">
        <v>2</v>
      </c>
      <c r="T2250" t="s">
        <v>46</v>
      </c>
      <c r="U2250">
        <v>3</v>
      </c>
    </row>
    <row r="2251" spans="1:21" x14ac:dyDescent="0.25">
      <c r="A2251" s="1">
        <v>46043</v>
      </c>
      <c r="B2251" t="s">
        <v>2441</v>
      </c>
      <c r="C2251" t="s">
        <v>112</v>
      </c>
      <c r="D2251" t="s">
        <v>49</v>
      </c>
      <c r="E2251" t="s">
        <v>50</v>
      </c>
      <c r="F2251" t="s">
        <v>64</v>
      </c>
      <c r="G2251" t="s">
        <v>51</v>
      </c>
      <c r="H2251" t="s">
        <v>59</v>
      </c>
      <c r="I2251" t="s">
        <v>60</v>
      </c>
      <c r="J2251" s="2">
        <v>6</v>
      </c>
      <c r="K2251" s="3">
        <v>2109.16</v>
      </c>
      <c r="L2251" s="3">
        <v>1415.86</v>
      </c>
      <c r="M2251" s="4">
        <v>0.1273</v>
      </c>
      <c r="N2251" s="3">
        <f t="shared" si="175"/>
        <v>12654.96</v>
      </c>
      <c r="O2251" s="3">
        <f t="shared" si="176"/>
        <v>11043.98</v>
      </c>
      <c r="P2251" s="3">
        <f t="shared" si="177"/>
        <v>8495.16</v>
      </c>
      <c r="Q2251" s="3">
        <f t="shared" si="178"/>
        <v>2548.8200000000002</v>
      </c>
      <c r="R2251" s="4">
        <f t="shared" si="179"/>
        <v>0.23080000000000001</v>
      </c>
      <c r="S2251" s="2">
        <v>11</v>
      </c>
      <c r="T2251" t="s">
        <v>30</v>
      </c>
      <c r="U2251">
        <v>4</v>
      </c>
    </row>
    <row r="2252" spans="1:21" x14ac:dyDescent="0.25">
      <c r="A2252" s="1">
        <v>46159</v>
      </c>
      <c r="B2252" t="s">
        <v>2442</v>
      </c>
      <c r="C2252" t="s">
        <v>251</v>
      </c>
      <c r="D2252" t="s">
        <v>121</v>
      </c>
      <c r="E2252" t="s">
        <v>72</v>
      </c>
      <c r="F2252" t="s">
        <v>26</v>
      </c>
      <c r="G2252" t="s">
        <v>51</v>
      </c>
      <c r="H2252" t="s">
        <v>116</v>
      </c>
      <c r="I2252" t="s">
        <v>92</v>
      </c>
      <c r="J2252" s="2">
        <v>5</v>
      </c>
      <c r="K2252" s="3">
        <v>2846.31</v>
      </c>
      <c r="L2252" s="3">
        <v>1945.04</v>
      </c>
      <c r="M2252" s="4">
        <v>0</v>
      </c>
      <c r="N2252" s="3">
        <f t="shared" si="175"/>
        <v>14231.55</v>
      </c>
      <c r="O2252" s="3">
        <f t="shared" si="176"/>
        <v>14231.55</v>
      </c>
      <c r="P2252" s="3">
        <f t="shared" si="177"/>
        <v>9725.2000000000007</v>
      </c>
      <c r="Q2252" s="3">
        <f t="shared" si="178"/>
        <v>4506.3500000000004</v>
      </c>
      <c r="R2252" s="4">
        <f t="shared" si="179"/>
        <v>0.31659999999999999</v>
      </c>
      <c r="S2252" s="2">
        <v>9</v>
      </c>
      <c r="T2252" t="s">
        <v>46</v>
      </c>
      <c r="U2252">
        <v>5</v>
      </c>
    </row>
    <row r="2253" spans="1:21" x14ac:dyDescent="0.25">
      <c r="A2253" s="1">
        <v>46083</v>
      </c>
      <c r="B2253" t="s">
        <v>2443</v>
      </c>
      <c r="C2253" t="s">
        <v>290</v>
      </c>
      <c r="D2253" t="s">
        <v>43</v>
      </c>
      <c r="E2253" t="s">
        <v>25</v>
      </c>
      <c r="F2253" t="s">
        <v>26</v>
      </c>
      <c r="G2253" t="s">
        <v>37</v>
      </c>
      <c r="H2253" t="s">
        <v>38</v>
      </c>
      <c r="I2253" t="s">
        <v>74</v>
      </c>
      <c r="J2253" s="2">
        <v>2</v>
      </c>
      <c r="K2253" s="3">
        <v>441.34</v>
      </c>
      <c r="L2253" s="3">
        <v>190.69</v>
      </c>
      <c r="M2253" s="4">
        <v>0.1298</v>
      </c>
      <c r="N2253" s="3">
        <f t="shared" si="175"/>
        <v>882.68</v>
      </c>
      <c r="O2253" s="3">
        <f t="shared" si="176"/>
        <v>768.11</v>
      </c>
      <c r="P2253" s="3">
        <f t="shared" si="177"/>
        <v>381.38</v>
      </c>
      <c r="Q2253" s="3">
        <f t="shared" si="178"/>
        <v>386.73</v>
      </c>
      <c r="R2253" s="4">
        <f t="shared" si="179"/>
        <v>0.50349999999999995</v>
      </c>
      <c r="S2253" s="2">
        <v>9</v>
      </c>
      <c r="T2253" t="s">
        <v>46</v>
      </c>
      <c r="U2253">
        <v>4</v>
      </c>
    </row>
    <row r="2254" spans="1:21" x14ac:dyDescent="0.25">
      <c r="A2254" s="1">
        <v>46095</v>
      </c>
      <c r="B2254" t="s">
        <v>2444</v>
      </c>
      <c r="C2254" t="s">
        <v>226</v>
      </c>
      <c r="D2254" t="s">
        <v>56</v>
      </c>
      <c r="E2254" t="s">
        <v>57</v>
      </c>
      <c r="F2254" t="s">
        <v>36</v>
      </c>
      <c r="G2254" t="s">
        <v>44</v>
      </c>
      <c r="H2254" t="s">
        <v>45</v>
      </c>
      <c r="I2254" t="s">
        <v>29</v>
      </c>
      <c r="J2254" s="2">
        <v>1</v>
      </c>
      <c r="K2254" s="3">
        <v>370.23</v>
      </c>
      <c r="L2254" s="3">
        <v>209.12</v>
      </c>
      <c r="M2254" s="4">
        <v>2.0999999999999999E-3</v>
      </c>
      <c r="N2254" s="3">
        <f t="shared" si="175"/>
        <v>370.23</v>
      </c>
      <c r="O2254" s="3">
        <f t="shared" si="176"/>
        <v>369.45</v>
      </c>
      <c r="P2254" s="3">
        <f t="shared" si="177"/>
        <v>209.12</v>
      </c>
      <c r="Q2254" s="3">
        <f t="shared" si="178"/>
        <v>160.33000000000001</v>
      </c>
      <c r="R2254" s="4">
        <f t="shared" si="179"/>
        <v>0.434</v>
      </c>
      <c r="S2254" s="2">
        <v>10</v>
      </c>
      <c r="T2254" t="s">
        <v>46</v>
      </c>
      <c r="U2254">
        <v>3</v>
      </c>
    </row>
    <row r="2255" spans="1:21" x14ac:dyDescent="0.25">
      <c r="A2255" s="1">
        <v>46087</v>
      </c>
      <c r="B2255" t="s">
        <v>2445</v>
      </c>
      <c r="C2255" t="s">
        <v>527</v>
      </c>
      <c r="D2255" t="s">
        <v>113</v>
      </c>
      <c r="E2255" t="s">
        <v>50</v>
      </c>
      <c r="F2255" t="s">
        <v>26</v>
      </c>
      <c r="G2255" t="s">
        <v>37</v>
      </c>
      <c r="H2255" t="s">
        <v>178</v>
      </c>
      <c r="I2255" t="s">
        <v>87</v>
      </c>
      <c r="J2255" s="2">
        <v>3</v>
      </c>
      <c r="K2255" s="3">
        <v>480.77</v>
      </c>
      <c r="L2255" s="3">
        <v>239.37</v>
      </c>
      <c r="M2255" s="4">
        <v>4.4499999999999998E-2</v>
      </c>
      <c r="N2255" s="3">
        <f t="shared" si="175"/>
        <v>1442.31</v>
      </c>
      <c r="O2255" s="3">
        <f t="shared" si="176"/>
        <v>1378.13</v>
      </c>
      <c r="P2255" s="3">
        <f t="shared" si="177"/>
        <v>718.11</v>
      </c>
      <c r="Q2255" s="3">
        <f t="shared" si="178"/>
        <v>660.02</v>
      </c>
      <c r="R2255" s="4">
        <f t="shared" si="179"/>
        <v>0.47889999999999999</v>
      </c>
      <c r="S2255" s="2">
        <v>10</v>
      </c>
      <c r="T2255" t="s">
        <v>46</v>
      </c>
      <c r="U2255">
        <v>5</v>
      </c>
    </row>
    <row r="2256" spans="1:21" x14ac:dyDescent="0.25">
      <c r="A2256" s="1">
        <v>46053</v>
      </c>
      <c r="B2256" t="s">
        <v>2446</v>
      </c>
      <c r="C2256" t="s">
        <v>331</v>
      </c>
      <c r="D2256" t="s">
        <v>97</v>
      </c>
      <c r="E2256" t="s">
        <v>57</v>
      </c>
      <c r="F2256" t="s">
        <v>58</v>
      </c>
      <c r="G2256" t="s">
        <v>51</v>
      </c>
      <c r="H2256" t="s">
        <v>116</v>
      </c>
      <c r="I2256" t="s">
        <v>53</v>
      </c>
      <c r="J2256" s="2">
        <v>3</v>
      </c>
      <c r="K2256" s="3">
        <v>2711.71</v>
      </c>
      <c r="L2256" s="3">
        <v>1859.25</v>
      </c>
      <c r="M2256" s="4">
        <v>3.5000000000000003E-2</v>
      </c>
      <c r="N2256" s="3">
        <f t="shared" si="175"/>
        <v>8135.13</v>
      </c>
      <c r="O2256" s="3">
        <f t="shared" si="176"/>
        <v>7850.4</v>
      </c>
      <c r="P2256" s="3">
        <f t="shared" si="177"/>
        <v>5577.75</v>
      </c>
      <c r="Q2256" s="3">
        <f t="shared" si="178"/>
        <v>2272.65</v>
      </c>
      <c r="R2256" s="4">
        <f t="shared" si="179"/>
        <v>0.28949999999999998</v>
      </c>
      <c r="S2256" s="2">
        <v>7</v>
      </c>
      <c r="T2256" t="s">
        <v>46</v>
      </c>
      <c r="U2256">
        <v>5</v>
      </c>
    </row>
    <row r="2257" spans="1:22" x14ac:dyDescent="0.25">
      <c r="A2257" s="1">
        <v>46211</v>
      </c>
      <c r="B2257" t="s">
        <v>2447</v>
      </c>
      <c r="C2257" t="s">
        <v>378</v>
      </c>
      <c r="D2257" t="s">
        <v>49</v>
      </c>
      <c r="E2257" t="s">
        <v>50</v>
      </c>
      <c r="F2257" t="s">
        <v>64</v>
      </c>
      <c r="G2257" t="s">
        <v>37</v>
      </c>
      <c r="H2257" t="s">
        <v>38</v>
      </c>
      <c r="I2257" t="s">
        <v>87</v>
      </c>
      <c r="J2257" s="2">
        <v>3</v>
      </c>
      <c r="K2257" s="3">
        <v>452.95</v>
      </c>
      <c r="L2257" s="3">
        <v>194.87</v>
      </c>
      <c r="M2257" s="4">
        <v>2.7099999999999999E-2</v>
      </c>
      <c r="N2257" s="3">
        <f t="shared" si="175"/>
        <v>1358.85</v>
      </c>
      <c r="O2257" s="3">
        <f t="shared" si="176"/>
        <v>1322.03</v>
      </c>
      <c r="P2257" s="3">
        <f t="shared" si="177"/>
        <v>584.61</v>
      </c>
      <c r="Q2257" s="3">
        <f t="shared" si="178"/>
        <v>737.42</v>
      </c>
      <c r="R2257" s="4">
        <f t="shared" si="179"/>
        <v>0.55779999999999996</v>
      </c>
      <c r="S2257" s="2">
        <v>3</v>
      </c>
      <c r="T2257" t="s">
        <v>46</v>
      </c>
      <c r="U2257">
        <v>5</v>
      </c>
    </row>
    <row r="2258" spans="1:22" x14ac:dyDescent="0.25">
      <c r="A2258" s="1">
        <v>46124</v>
      </c>
      <c r="B2258" t="s">
        <v>2448</v>
      </c>
      <c r="C2258" t="s">
        <v>294</v>
      </c>
      <c r="D2258" t="s">
        <v>113</v>
      </c>
      <c r="E2258" t="s">
        <v>50</v>
      </c>
      <c r="F2258" t="s">
        <v>26</v>
      </c>
      <c r="G2258" t="s">
        <v>51</v>
      </c>
      <c r="H2258" t="s">
        <v>116</v>
      </c>
      <c r="I2258" t="s">
        <v>60</v>
      </c>
      <c r="J2258" s="2">
        <v>3</v>
      </c>
      <c r="K2258" s="3">
        <v>2837.53</v>
      </c>
      <c r="L2258" s="3">
        <v>1769</v>
      </c>
      <c r="M2258" s="4">
        <v>0</v>
      </c>
      <c r="N2258" s="3">
        <f t="shared" si="175"/>
        <v>8512.59</v>
      </c>
      <c r="O2258" s="3">
        <f t="shared" si="176"/>
        <v>8512.59</v>
      </c>
      <c r="P2258" s="3">
        <f t="shared" si="177"/>
        <v>5307</v>
      </c>
      <c r="Q2258" s="3">
        <f t="shared" si="178"/>
        <v>3205.59</v>
      </c>
      <c r="R2258" s="4">
        <f t="shared" si="179"/>
        <v>0.37659999999999999</v>
      </c>
      <c r="S2258" s="2">
        <v>14</v>
      </c>
      <c r="T2258" t="s">
        <v>30</v>
      </c>
      <c r="U2258">
        <v>3</v>
      </c>
    </row>
    <row r="2259" spans="1:22" x14ac:dyDescent="0.25">
      <c r="A2259" s="1">
        <v>46055</v>
      </c>
      <c r="B2259" t="s">
        <v>2449</v>
      </c>
      <c r="C2259" t="s">
        <v>204</v>
      </c>
      <c r="D2259" t="s">
        <v>63</v>
      </c>
      <c r="E2259" t="s">
        <v>35</v>
      </c>
      <c r="F2259" t="s">
        <v>58</v>
      </c>
      <c r="G2259" t="s">
        <v>27</v>
      </c>
      <c r="H2259" t="s">
        <v>28</v>
      </c>
      <c r="I2259" t="s">
        <v>94</v>
      </c>
      <c r="J2259" s="2">
        <v>5</v>
      </c>
      <c r="K2259" s="3">
        <v>815.1</v>
      </c>
      <c r="L2259" s="3">
        <v>467.24</v>
      </c>
      <c r="M2259" s="4">
        <v>8.9200000000000002E-2</v>
      </c>
      <c r="N2259" s="3">
        <f t="shared" si="175"/>
        <v>4075.5</v>
      </c>
      <c r="O2259" s="3">
        <f t="shared" si="176"/>
        <v>3711.97</v>
      </c>
      <c r="P2259" s="3">
        <f t="shared" si="177"/>
        <v>2336.1999999999998</v>
      </c>
      <c r="Q2259" s="3">
        <f t="shared" si="178"/>
        <v>1375.77</v>
      </c>
      <c r="R2259" s="4">
        <f t="shared" si="179"/>
        <v>0.37059999999999998</v>
      </c>
      <c r="S2259" s="2">
        <v>12</v>
      </c>
      <c r="T2259" t="s">
        <v>30</v>
      </c>
      <c r="U2259">
        <v>3</v>
      </c>
    </row>
    <row r="2260" spans="1:22" x14ac:dyDescent="0.25">
      <c r="A2260" s="1">
        <v>46149</v>
      </c>
      <c r="B2260" t="s">
        <v>2450</v>
      </c>
      <c r="C2260" t="s">
        <v>418</v>
      </c>
      <c r="D2260" t="s">
        <v>126</v>
      </c>
      <c r="E2260" t="s">
        <v>57</v>
      </c>
      <c r="F2260" t="s">
        <v>64</v>
      </c>
      <c r="G2260" t="s">
        <v>37</v>
      </c>
      <c r="H2260" t="s">
        <v>178</v>
      </c>
      <c r="I2260" t="s">
        <v>29</v>
      </c>
      <c r="J2260" s="2">
        <v>7</v>
      </c>
      <c r="K2260" s="3">
        <v>503.88</v>
      </c>
      <c r="L2260" s="3">
        <v>232.09</v>
      </c>
      <c r="M2260" s="4">
        <v>6.3700000000000007E-2</v>
      </c>
      <c r="N2260" s="3">
        <f t="shared" si="175"/>
        <v>3527.16</v>
      </c>
      <c r="O2260" s="3">
        <f t="shared" si="176"/>
        <v>3302.48</v>
      </c>
      <c r="P2260" s="3">
        <f t="shared" si="177"/>
        <v>1624.63</v>
      </c>
      <c r="Q2260" s="3">
        <f t="shared" si="178"/>
        <v>1677.85</v>
      </c>
      <c r="R2260" s="4">
        <f t="shared" si="179"/>
        <v>0.5081</v>
      </c>
      <c r="S2260" s="2">
        <v>10</v>
      </c>
      <c r="T2260" t="s">
        <v>46</v>
      </c>
      <c r="U2260">
        <v>5</v>
      </c>
    </row>
    <row r="2261" spans="1:22" x14ac:dyDescent="0.25">
      <c r="A2261" s="1">
        <v>46112</v>
      </c>
      <c r="B2261" t="s">
        <v>2451</v>
      </c>
      <c r="C2261" t="s">
        <v>231</v>
      </c>
      <c r="D2261" t="s">
        <v>97</v>
      </c>
      <c r="E2261" t="s">
        <v>57</v>
      </c>
      <c r="F2261" t="s">
        <v>58</v>
      </c>
      <c r="G2261" t="s">
        <v>37</v>
      </c>
      <c r="H2261" t="s">
        <v>104</v>
      </c>
      <c r="I2261" t="s">
        <v>60</v>
      </c>
      <c r="J2261" s="2">
        <v>5</v>
      </c>
      <c r="K2261" s="3">
        <v>325.61</v>
      </c>
      <c r="L2261" s="3">
        <v>133.87</v>
      </c>
      <c r="M2261" s="4">
        <v>3.5000000000000003E-2</v>
      </c>
      <c r="N2261" s="3">
        <f t="shared" si="175"/>
        <v>1628.05</v>
      </c>
      <c r="O2261" s="3">
        <f t="shared" si="176"/>
        <v>1571.07</v>
      </c>
      <c r="P2261" s="3">
        <f t="shared" si="177"/>
        <v>669.35</v>
      </c>
      <c r="Q2261" s="3">
        <f t="shared" si="178"/>
        <v>901.72</v>
      </c>
      <c r="R2261" s="4">
        <f t="shared" si="179"/>
        <v>0.57399999999999995</v>
      </c>
      <c r="S2261" s="2">
        <v>3</v>
      </c>
      <c r="T2261" t="s">
        <v>46</v>
      </c>
      <c r="U2261">
        <v>5</v>
      </c>
    </row>
    <row r="2262" spans="1:22" x14ac:dyDescent="0.25">
      <c r="A2262" s="1">
        <v>46095</v>
      </c>
      <c r="B2262" t="s">
        <v>2452</v>
      </c>
      <c r="C2262" t="s">
        <v>349</v>
      </c>
      <c r="D2262" t="s">
        <v>207</v>
      </c>
      <c r="E2262" t="s">
        <v>35</v>
      </c>
      <c r="F2262" t="s">
        <v>64</v>
      </c>
      <c r="G2262" t="s">
        <v>44</v>
      </c>
      <c r="H2262" t="s">
        <v>45</v>
      </c>
      <c r="I2262" t="s">
        <v>39</v>
      </c>
      <c r="J2262" s="2">
        <v>2</v>
      </c>
      <c r="K2262" s="3">
        <v>398.78</v>
      </c>
      <c r="L2262" s="3">
        <v>219.72</v>
      </c>
      <c r="M2262" s="4">
        <v>0.1245</v>
      </c>
      <c r="N2262" s="3">
        <f t="shared" si="175"/>
        <v>797.56</v>
      </c>
      <c r="O2262" s="3">
        <f t="shared" si="176"/>
        <v>698.26</v>
      </c>
      <c r="P2262" s="3">
        <f t="shared" si="177"/>
        <v>439.44</v>
      </c>
      <c r="Q2262" s="3">
        <f t="shared" si="178"/>
        <v>258.82</v>
      </c>
      <c r="R2262" s="4">
        <f t="shared" si="179"/>
        <v>0.37069999999999997</v>
      </c>
      <c r="S2262" s="2">
        <v>12</v>
      </c>
      <c r="T2262" t="s">
        <v>30</v>
      </c>
      <c r="U2262">
        <v>2</v>
      </c>
    </row>
    <row r="2263" spans="1:22" x14ac:dyDescent="0.25">
      <c r="A2263" s="1">
        <v>46024</v>
      </c>
      <c r="B2263" t="s">
        <v>2453</v>
      </c>
      <c r="C2263" t="s">
        <v>162</v>
      </c>
      <c r="D2263" t="s">
        <v>43</v>
      </c>
      <c r="E2263" t="s">
        <v>25</v>
      </c>
      <c r="F2263" t="s">
        <v>36</v>
      </c>
      <c r="G2263" t="s">
        <v>44</v>
      </c>
      <c r="H2263" t="s">
        <v>124</v>
      </c>
      <c r="I2263" t="s">
        <v>39</v>
      </c>
      <c r="J2263" s="2">
        <v>4</v>
      </c>
      <c r="K2263" s="3">
        <v>5828.72</v>
      </c>
      <c r="L2263" s="3">
        <v>4370.72</v>
      </c>
      <c r="M2263" s="4">
        <v>5.7700000000000001E-2</v>
      </c>
      <c r="N2263" s="3">
        <f t="shared" si="175"/>
        <v>23314.880000000001</v>
      </c>
      <c r="O2263" s="3">
        <f t="shared" si="176"/>
        <v>21969.61</v>
      </c>
      <c r="P2263" s="3">
        <f t="shared" si="177"/>
        <v>17482.88</v>
      </c>
      <c r="Q2263" s="3">
        <f t="shared" si="178"/>
        <v>4486.7299999999996</v>
      </c>
      <c r="R2263" s="4">
        <f t="shared" si="179"/>
        <v>0.20419999999999999</v>
      </c>
      <c r="S2263" s="2">
        <v>7</v>
      </c>
      <c r="T2263" t="s">
        <v>46</v>
      </c>
      <c r="U2263">
        <v>4</v>
      </c>
    </row>
    <row r="2264" spans="1:22" x14ac:dyDescent="0.25">
      <c r="A2264" s="1">
        <v>46085</v>
      </c>
      <c r="B2264" t="s">
        <v>2454</v>
      </c>
      <c r="C2264" t="s">
        <v>375</v>
      </c>
      <c r="D2264" t="s">
        <v>113</v>
      </c>
      <c r="E2264" t="s">
        <v>50</v>
      </c>
      <c r="F2264" t="s">
        <v>58</v>
      </c>
      <c r="G2264" t="s">
        <v>51</v>
      </c>
      <c r="H2264" t="s">
        <v>52</v>
      </c>
      <c r="I2264" t="s">
        <v>94</v>
      </c>
      <c r="J2264" s="2">
        <v>8</v>
      </c>
      <c r="K2264" s="3">
        <v>261.45</v>
      </c>
      <c r="L2264" s="3">
        <v>116.13</v>
      </c>
      <c r="M2264" s="4">
        <v>0.15939999999999999</v>
      </c>
      <c r="N2264" s="3">
        <f t="shared" si="175"/>
        <v>2091.6</v>
      </c>
      <c r="O2264" s="3">
        <f t="shared" si="176"/>
        <v>1758.2</v>
      </c>
      <c r="P2264" s="3">
        <f t="shared" si="177"/>
        <v>929.04</v>
      </c>
      <c r="Q2264" s="3">
        <f t="shared" si="178"/>
        <v>829.16</v>
      </c>
      <c r="R2264" s="4">
        <f t="shared" si="179"/>
        <v>0.47160000000000002</v>
      </c>
      <c r="S2264" s="2">
        <v>3</v>
      </c>
      <c r="T2264" t="s">
        <v>46</v>
      </c>
      <c r="U2264">
        <v>2</v>
      </c>
    </row>
    <row r="2265" spans="1:22" x14ac:dyDescent="0.25">
      <c r="A2265" s="1">
        <v>46193</v>
      </c>
      <c r="B2265" t="s">
        <v>2455</v>
      </c>
      <c r="C2265" t="s">
        <v>216</v>
      </c>
      <c r="D2265" t="s">
        <v>121</v>
      </c>
      <c r="E2265" t="s">
        <v>72</v>
      </c>
      <c r="F2265" t="s">
        <v>58</v>
      </c>
      <c r="G2265" t="s">
        <v>27</v>
      </c>
      <c r="H2265" t="s">
        <v>86</v>
      </c>
      <c r="I2265" t="s">
        <v>77</v>
      </c>
      <c r="J2265" s="2">
        <v>1</v>
      </c>
      <c r="K2265" s="3">
        <v>1974.23</v>
      </c>
      <c r="L2265" s="3">
        <v>1271.6400000000001</v>
      </c>
      <c r="M2265" s="4">
        <v>0.15129999999999999</v>
      </c>
      <c r="N2265" s="3">
        <f t="shared" si="175"/>
        <v>1974.23</v>
      </c>
      <c r="O2265" s="3">
        <f t="shared" si="176"/>
        <v>1675.53</v>
      </c>
      <c r="P2265" s="3">
        <f t="shared" si="177"/>
        <v>1271.6400000000001</v>
      </c>
      <c r="Q2265" s="3">
        <f t="shared" si="178"/>
        <v>403.89</v>
      </c>
      <c r="R2265" s="4">
        <f t="shared" si="179"/>
        <v>0.24110000000000001</v>
      </c>
      <c r="S2265" s="2">
        <v>33</v>
      </c>
      <c r="T2265" t="s">
        <v>30</v>
      </c>
      <c r="U2265">
        <v>1</v>
      </c>
      <c r="V2265" t="s">
        <v>208</v>
      </c>
    </row>
    <row r="2266" spans="1:22" x14ac:dyDescent="0.25">
      <c r="A2266" s="1">
        <v>46037</v>
      </c>
      <c r="B2266" t="s">
        <v>2456</v>
      </c>
      <c r="C2266" t="s">
        <v>375</v>
      </c>
      <c r="D2266" t="s">
        <v>97</v>
      </c>
      <c r="E2266" t="s">
        <v>57</v>
      </c>
      <c r="F2266" t="s">
        <v>36</v>
      </c>
      <c r="G2266" t="s">
        <v>37</v>
      </c>
      <c r="H2266" t="s">
        <v>104</v>
      </c>
      <c r="I2266" t="s">
        <v>77</v>
      </c>
      <c r="J2266" s="2">
        <v>3</v>
      </c>
      <c r="K2266" s="3">
        <v>314.44</v>
      </c>
      <c r="L2266" s="3">
        <v>135.51</v>
      </c>
      <c r="M2266" s="4">
        <v>0</v>
      </c>
      <c r="N2266" s="3">
        <f t="shared" si="175"/>
        <v>943.32</v>
      </c>
      <c r="O2266" s="3">
        <f t="shared" si="176"/>
        <v>943.32</v>
      </c>
      <c r="P2266" s="3">
        <f t="shared" si="177"/>
        <v>406.53</v>
      </c>
      <c r="Q2266" s="3">
        <f t="shared" si="178"/>
        <v>536.79</v>
      </c>
      <c r="R2266" s="4">
        <f t="shared" si="179"/>
        <v>0.56899999999999995</v>
      </c>
      <c r="S2266" s="2">
        <v>10</v>
      </c>
      <c r="T2266" t="s">
        <v>46</v>
      </c>
      <c r="U2266">
        <v>3</v>
      </c>
    </row>
    <row r="2267" spans="1:22" x14ac:dyDescent="0.25">
      <c r="A2267" s="1">
        <v>46056</v>
      </c>
      <c r="B2267" t="s">
        <v>2457</v>
      </c>
      <c r="C2267" t="s">
        <v>144</v>
      </c>
      <c r="D2267" t="s">
        <v>71</v>
      </c>
      <c r="E2267" t="s">
        <v>72</v>
      </c>
      <c r="F2267" t="s">
        <v>58</v>
      </c>
      <c r="G2267" t="s">
        <v>44</v>
      </c>
      <c r="H2267" t="s">
        <v>45</v>
      </c>
      <c r="I2267" t="s">
        <v>87</v>
      </c>
      <c r="J2267" s="2">
        <v>5</v>
      </c>
      <c r="K2267" s="3">
        <v>393.43</v>
      </c>
      <c r="L2267" s="3">
        <v>227.34</v>
      </c>
      <c r="M2267" s="4">
        <v>3.5000000000000003E-2</v>
      </c>
      <c r="N2267" s="3">
        <f t="shared" si="175"/>
        <v>1967.15</v>
      </c>
      <c r="O2267" s="3">
        <f t="shared" si="176"/>
        <v>1898.3</v>
      </c>
      <c r="P2267" s="3">
        <f t="shared" si="177"/>
        <v>1136.7</v>
      </c>
      <c r="Q2267" s="3">
        <f t="shared" si="178"/>
        <v>761.6</v>
      </c>
      <c r="R2267" s="4">
        <f t="shared" si="179"/>
        <v>0.4012</v>
      </c>
      <c r="S2267" s="2">
        <v>2</v>
      </c>
      <c r="T2267" t="s">
        <v>46</v>
      </c>
      <c r="U2267">
        <v>3</v>
      </c>
    </row>
    <row r="2268" spans="1:22" x14ac:dyDescent="0.25">
      <c r="A2268" s="1">
        <v>46049</v>
      </c>
      <c r="B2268" t="s">
        <v>2458</v>
      </c>
      <c r="C2268" t="s">
        <v>112</v>
      </c>
      <c r="D2268" t="s">
        <v>43</v>
      </c>
      <c r="E2268" t="s">
        <v>25</v>
      </c>
      <c r="F2268" t="s">
        <v>36</v>
      </c>
      <c r="G2268" t="s">
        <v>44</v>
      </c>
      <c r="H2268" t="s">
        <v>73</v>
      </c>
      <c r="I2268" t="s">
        <v>77</v>
      </c>
      <c r="J2268" s="2">
        <v>7</v>
      </c>
      <c r="K2268" s="3">
        <v>1634.31</v>
      </c>
      <c r="L2268" s="3">
        <v>1150.24</v>
      </c>
      <c r="M2268" s="4">
        <v>0.1173</v>
      </c>
      <c r="N2268" s="3">
        <f t="shared" si="175"/>
        <v>11440.17</v>
      </c>
      <c r="O2268" s="3">
        <f t="shared" si="176"/>
        <v>10098.24</v>
      </c>
      <c r="P2268" s="3">
        <f t="shared" si="177"/>
        <v>8051.68</v>
      </c>
      <c r="Q2268" s="3">
        <f t="shared" si="178"/>
        <v>2046.56</v>
      </c>
      <c r="R2268" s="4">
        <f t="shared" si="179"/>
        <v>0.20269999999999999</v>
      </c>
      <c r="S2268" s="2">
        <v>11</v>
      </c>
      <c r="T2268" t="s">
        <v>30</v>
      </c>
      <c r="U2268">
        <v>2</v>
      </c>
    </row>
    <row r="2269" spans="1:22" x14ac:dyDescent="0.25">
      <c r="A2269" s="1">
        <v>46112</v>
      </c>
      <c r="B2269" t="s">
        <v>2459</v>
      </c>
      <c r="C2269" t="s">
        <v>297</v>
      </c>
      <c r="D2269" t="s">
        <v>97</v>
      </c>
      <c r="E2269" t="s">
        <v>57</v>
      </c>
      <c r="F2269" t="s">
        <v>64</v>
      </c>
      <c r="G2269" t="s">
        <v>51</v>
      </c>
      <c r="H2269" t="s">
        <v>52</v>
      </c>
      <c r="I2269" t="s">
        <v>29</v>
      </c>
      <c r="J2269" s="2">
        <v>4</v>
      </c>
      <c r="K2269" s="3">
        <v>259.39999999999998</v>
      </c>
      <c r="L2269" s="3">
        <v>121.27</v>
      </c>
      <c r="M2269" s="4">
        <v>0</v>
      </c>
      <c r="N2269" s="3">
        <f t="shared" si="175"/>
        <v>1037.5999999999999</v>
      </c>
      <c r="O2269" s="3">
        <f t="shared" si="176"/>
        <v>1037.5999999999999</v>
      </c>
      <c r="P2269" s="3">
        <f t="shared" si="177"/>
        <v>485.08</v>
      </c>
      <c r="Q2269" s="3">
        <f t="shared" si="178"/>
        <v>552.52</v>
      </c>
      <c r="R2269" s="4">
        <f t="shared" si="179"/>
        <v>0.53249999999999997</v>
      </c>
      <c r="S2269" s="2">
        <v>14</v>
      </c>
      <c r="T2269" t="s">
        <v>30</v>
      </c>
      <c r="U2269">
        <v>3</v>
      </c>
    </row>
    <row r="2270" spans="1:22" x14ac:dyDescent="0.25">
      <c r="A2270" s="1">
        <v>46220</v>
      </c>
      <c r="B2270" t="s">
        <v>2460</v>
      </c>
      <c r="C2270" t="s">
        <v>433</v>
      </c>
      <c r="D2270" t="s">
        <v>207</v>
      </c>
      <c r="E2270" t="s">
        <v>35</v>
      </c>
      <c r="F2270" t="s">
        <v>26</v>
      </c>
      <c r="G2270" t="s">
        <v>37</v>
      </c>
      <c r="H2270" t="s">
        <v>104</v>
      </c>
      <c r="I2270" t="s">
        <v>60</v>
      </c>
      <c r="J2270" s="2">
        <v>6</v>
      </c>
      <c r="K2270" s="3">
        <v>316.32</v>
      </c>
      <c r="L2270" s="3">
        <v>129.63</v>
      </c>
      <c r="M2270" s="4">
        <v>0.1215</v>
      </c>
      <c r="N2270" s="3">
        <f t="shared" si="175"/>
        <v>1897.92</v>
      </c>
      <c r="O2270" s="3">
        <f t="shared" si="176"/>
        <v>1667.32</v>
      </c>
      <c r="P2270" s="3">
        <f t="shared" si="177"/>
        <v>777.78</v>
      </c>
      <c r="Q2270" s="3">
        <f t="shared" si="178"/>
        <v>889.54</v>
      </c>
      <c r="R2270" s="4">
        <f t="shared" si="179"/>
        <v>0.53349999999999997</v>
      </c>
      <c r="S2270" s="2">
        <v>12</v>
      </c>
      <c r="T2270" t="s">
        <v>30</v>
      </c>
      <c r="U2270">
        <v>2</v>
      </c>
    </row>
    <row r="2271" spans="1:22" x14ac:dyDescent="0.25">
      <c r="A2271" s="1">
        <v>46105</v>
      </c>
      <c r="B2271" t="s">
        <v>2461</v>
      </c>
      <c r="C2271" t="s">
        <v>148</v>
      </c>
      <c r="D2271" t="s">
        <v>85</v>
      </c>
      <c r="E2271" t="s">
        <v>50</v>
      </c>
      <c r="F2271" t="s">
        <v>58</v>
      </c>
      <c r="G2271" t="s">
        <v>37</v>
      </c>
      <c r="H2271" t="s">
        <v>104</v>
      </c>
      <c r="I2271" t="s">
        <v>92</v>
      </c>
      <c r="J2271" s="2">
        <v>7</v>
      </c>
      <c r="K2271" s="3">
        <v>305.95</v>
      </c>
      <c r="L2271" s="3">
        <v>138.05000000000001</v>
      </c>
      <c r="M2271" s="4">
        <v>3.5000000000000003E-2</v>
      </c>
      <c r="N2271" s="3">
        <f t="shared" si="175"/>
        <v>2141.65</v>
      </c>
      <c r="O2271" s="3">
        <f t="shared" si="176"/>
        <v>2066.69</v>
      </c>
      <c r="P2271" s="3">
        <f t="shared" si="177"/>
        <v>966.35</v>
      </c>
      <c r="Q2271" s="3">
        <f t="shared" si="178"/>
        <v>1100.3399999999999</v>
      </c>
      <c r="R2271" s="4">
        <f t="shared" si="179"/>
        <v>0.53239999999999998</v>
      </c>
      <c r="S2271" s="2">
        <v>6</v>
      </c>
      <c r="T2271" t="s">
        <v>46</v>
      </c>
      <c r="U2271">
        <v>2</v>
      </c>
    </row>
    <row r="2272" spans="1:22" x14ac:dyDescent="0.25">
      <c r="A2272" s="1">
        <v>46039</v>
      </c>
      <c r="B2272" t="s">
        <v>2462</v>
      </c>
      <c r="C2272" t="s">
        <v>331</v>
      </c>
      <c r="D2272" t="s">
        <v>139</v>
      </c>
      <c r="E2272" t="s">
        <v>72</v>
      </c>
      <c r="F2272" t="s">
        <v>36</v>
      </c>
      <c r="G2272" t="s">
        <v>37</v>
      </c>
      <c r="H2272" t="s">
        <v>104</v>
      </c>
      <c r="I2272" t="s">
        <v>87</v>
      </c>
      <c r="J2272" s="2">
        <v>6</v>
      </c>
      <c r="K2272" s="3">
        <v>322.93</v>
      </c>
      <c r="L2272" s="3">
        <v>138.35</v>
      </c>
      <c r="M2272" s="4">
        <v>0</v>
      </c>
      <c r="N2272" s="3">
        <f t="shared" si="175"/>
        <v>1937.58</v>
      </c>
      <c r="O2272" s="3">
        <f t="shared" si="176"/>
        <v>1937.58</v>
      </c>
      <c r="P2272" s="3">
        <f t="shared" si="177"/>
        <v>830.1</v>
      </c>
      <c r="Q2272" s="3">
        <f t="shared" si="178"/>
        <v>1107.48</v>
      </c>
      <c r="R2272" s="4">
        <f t="shared" si="179"/>
        <v>0.5716</v>
      </c>
      <c r="S2272" s="2">
        <v>4</v>
      </c>
      <c r="T2272" t="s">
        <v>46</v>
      </c>
      <c r="U2272">
        <v>5</v>
      </c>
    </row>
    <row r="2273" spans="1:21" x14ac:dyDescent="0.25">
      <c r="A2273" s="1">
        <v>46225</v>
      </c>
      <c r="B2273" t="s">
        <v>2463</v>
      </c>
      <c r="C2273" t="s">
        <v>317</v>
      </c>
      <c r="D2273" t="s">
        <v>101</v>
      </c>
      <c r="E2273" t="s">
        <v>35</v>
      </c>
      <c r="F2273" t="s">
        <v>26</v>
      </c>
      <c r="G2273" t="s">
        <v>37</v>
      </c>
      <c r="H2273" t="s">
        <v>104</v>
      </c>
      <c r="I2273" t="s">
        <v>87</v>
      </c>
      <c r="J2273" s="2">
        <v>6</v>
      </c>
      <c r="K2273" s="3">
        <v>335.98</v>
      </c>
      <c r="L2273" s="3">
        <v>132.43</v>
      </c>
      <c r="M2273" s="4">
        <v>0</v>
      </c>
      <c r="N2273" s="3">
        <f t="shared" si="175"/>
        <v>2015.88</v>
      </c>
      <c r="O2273" s="3">
        <f t="shared" si="176"/>
        <v>2015.88</v>
      </c>
      <c r="P2273" s="3">
        <f t="shared" si="177"/>
        <v>794.58</v>
      </c>
      <c r="Q2273" s="3">
        <f t="shared" si="178"/>
        <v>1221.3</v>
      </c>
      <c r="R2273" s="4">
        <f t="shared" si="179"/>
        <v>0.60580000000000001</v>
      </c>
      <c r="S2273" s="2">
        <v>6</v>
      </c>
      <c r="T2273" t="s">
        <v>46</v>
      </c>
      <c r="U2273">
        <v>5</v>
      </c>
    </row>
    <row r="2274" spans="1:21" x14ac:dyDescent="0.25">
      <c r="A2274" s="1">
        <v>46060</v>
      </c>
      <c r="B2274" t="s">
        <v>2464</v>
      </c>
      <c r="C2274" t="s">
        <v>247</v>
      </c>
      <c r="D2274" t="s">
        <v>97</v>
      </c>
      <c r="E2274" t="s">
        <v>57</v>
      </c>
      <c r="F2274" t="s">
        <v>58</v>
      </c>
      <c r="G2274" t="s">
        <v>44</v>
      </c>
      <c r="H2274" t="s">
        <v>124</v>
      </c>
      <c r="I2274" t="s">
        <v>39</v>
      </c>
      <c r="J2274" s="2">
        <v>6</v>
      </c>
      <c r="K2274" s="3">
        <v>6062.35</v>
      </c>
      <c r="L2274" s="3">
        <v>4181.6099999999997</v>
      </c>
      <c r="M2274" s="4">
        <v>5.5199999999999999E-2</v>
      </c>
      <c r="N2274" s="3">
        <f t="shared" si="175"/>
        <v>36374.1</v>
      </c>
      <c r="O2274" s="3">
        <f t="shared" si="176"/>
        <v>34366.25</v>
      </c>
      <c r="P2274" s="3">
        <f t="shared" si="177"/>
        <v>25089.66</v>
      </c>
      <c r="Q2274" s="3">
        <f t="shared" si="178"/>
        <v>9276.59</v>
      </c>
      <c r="R2274" s="4">
        <f t="shared" si="179"/>
        <v>0.26989999999999997</v>
      </c>
      <c r="S2274" s="2">
        <v>4</v>
      </c>
      <c r="T2274" t="s">
        <v>46</v>
      </c>
      <c r="U2274">
        <v>3</v>
      </c>
    </row>
    <row r="2275" spans="1:21" x14ac:dyDescent="0.25">
      <c r="A2275" s="1">
        <v>46171</v>
      </c>
      <c r="B2275" t="s">
        <v>2465</v>
      </c>
      <c r="C2275" t="s">
        <v>418</v>
      </c>
      <c r="D2275" t="s">
        <v>207</v>
      </c>
      <c r="E2275" t="s">
        <v>35</v>
      </c>
      <c r="F2275" t="s">
        <v>58</v>
      </c>
      <c r="G2275" t="s">
        <v>51</v>
      </c>
      <c r="H2275" t="s">
        <v>59</v>
      </c>
      <c r="I2275" t="s">
        <v>60</v>
      </c>
      <c r="J2275" s="2">
        <v>7</v>
      </c>
      <c r="K2275" s="3">
        <v>2082.64</v>
      </c>
      <c r="L2275" s="3">
        <v>1418.81</v>
      </c>
      <c r="M2275" s="4">
        <v>3.5000000000000003E-2</v>
      </c>
      <c r="N2275" s="3">
        <f t="shared" si="175"/>
        <v>14578.48</v>
      </c>
      <c r="O2275" s="3">
        <f t="shared" si="176"/>
        <v>14068.23</v>
      </c>
      <c r="P2275" s="3">
        <f t="shared" si="177"/>
        <v>9931.67</v>
      </c>
      <c r="Q2275" s="3">
        <f t="shared" si="178"/>
        <v>4136.5600000000004</v>
      </c>
      <c r="R2275" s="4">
        <f t="shared" si="179"/>
        <v>0.29399999999999998</v>
      </c>
      <c r="S2275" s="2">
        <v>11</v>
      </c>
      <c r="T2275" t="s">
        <v>30</v>
      </c>
      <c r="U2275">
        <v>2</v>
      </c>
    </row>
    <row r="2276" spans="1:21" x14ac:dyDescent="0.25">
      <c r="A2276" s="1">
        <v>46150</v>
      </c>
      <c r="B2276" t="s">
        <v>2466</v>
      </c>
      <c r="C2276" t="s">
        <v>120</v>
      </c>
      <c r="D2276" t="s">
        <v>34</v>
      </c>
      <c r="E2276" t="s">
        <v>35</v>
      </c>
      <c r="F2276" t="s">
        <v>26</v>
      </c>
      <c r="G2276" t="s">
        <v>51</v>
      </c>
      <c r="H2276" t="s">
        <v>52</v>
      </c>
      <c r="I2276" t="s">
        <v>60</v>
      </c>
      <c r="J2276" s="2">
        <v>6</v>
      </c>
      <c r="K2276" s="3">
        <v>267.77</v>
      </c>
      <c r="L2276" s="3">
        <v>114.32</v>
      </c>
      <c r="M2276" s="4">
        <v>4.7399999999999998E-2</v>
      </c>
      <c r="N2276" s="3">
        <f t="shared" si="175"/>
        <v>1606.62</v>
      </c>
      <c r="O2276" s="3">
        <f t="shared" si="176"/>
        <v>1530.47</v>
      </c>
      <c r="P2276" s="3">
        <f t="shared" si="177"/>
        <v>685.92</v>
      </c>
      <c r="Q2276" s="3">
        <f t="shared" si="178"/>
        <v>844.55</v>
      </c>
      <c r="R2276" s="4">
        <f t="shared" si="179"/>
        <v>0.55179999999999996</v>
      </c>
      <c r="S2276" s="2">
        <v>9</v>
      </c>
      <c r="T2276" t="s">
        <v>40</v>
      </c>
    </row>
    <row r="2277" spans="1:21" x14ac:dyDescent="0.25">
      <c r="A2277" s="1">
        <v>46199</v>
      </c>
      <c r="B2277" t="s">
        <v>2467</v>
      </c>
      <c r="C2277" t="s">
        <v>464</v>
      </c>
      <c r="D2277" t="s">
        <v>126</v>
      </c>
      <c r="E2277" t="s">
        <v>57</v>
      </c>
      <c r="F2277" t="s">
        <v>26</v>
      </c>
      <c r="G2277" t="s">
        <v>44</v>
      </c>
      <c r="H2277" t="s">
        <v>45</v>
      </c>
      <c r="I2277" t="s">
        <v>77</v>
      </c>
      <c r="J2277" s="2">
        <v>2</v>
      </c>
      <c r="K2277" s="3">
        <v>393.17</v>
      </c>
      <c r="L2277" s="3">
        <v>202.03</v>
      </c>
      <c r="M2277" s="4">
        <v>7.1499999999999994E-2</v>
      </c>
      <c r="N2277" s="3">
        <f t="shared" si="175"/>
        <v>786.34</v>
      </c>
      <c r="O2277" s="3">
        <f t="shared" si="176"/>
        <v>730.12</v>
      </c>
      <c r="P2277" s="3">
        <f t="shared" si="177"/>
        <v>404.06</v>
      </c>
      <c r="Q2277" s="3">
        <f t="shared" si="178"/>
        <v>326.06</v>
      </c>
      <c r="R2277" s="4">
        <f t="shared" si="179"/>
        <v>0.4466</v>
      </c>
      <c r="S2277" s="2">
        <v>12</v>
      </c>
      <c r="T2277" t="s">
        <v>30</v>
      </c>
      <c r="U2277">
        <v>2</v>
      </c>
    </row>
    <row r="2278" spans="1:21" x14ac:dyDescent="0.25">
      <c r="A2278" s="1">
        <v>46103</v>
      </c>
      <c r="B2278" t="s">
        <v>2468</v>
      </c>
      <c r="C2278" t="s">
        <v>146</v>
      </c>
      <c r="D2278" t="s">
        <v>113</v>
      </c>
      <c r="E2278" t="s">
        <v>50</v>
      </c>
      <c r="F2278" t="s">
        <v>26</v>
      </c>
      <c r="G2278" t="s">
        <v>51</v>
      </c>
      <c r="H2278" t="s">
        <v>52</v>
      </c>
      <c r="I2278" t="s">
        <v>77</v>
      </c>
      <c r="J2278" s="2">
        <v>7</v>
      </c>
      <c r="K2278" s="3">
        <v>246.17</v>
      </c>
      <c r="L2278" s="3">
        <v>116.89</v>
      </c>
      <c r="M2278" s="4">
        <v>3.5900000000000001E-2</v>
      </c>
      <c r="N2278" s="3">
        <f t="shared" si="175"/>
        <v>1723.19</v>
      </c>
      <c r="O2278" s="3">
        <f t="shared" si="176"/>
        <v>1661.33</v>
      </c>
      <c r="P2278" s="3">
        <f t="shared" si="177"/>
        <v>818.23</v>
      </c>
      <c r="Q2278" s="3">
        <f t="shared" si="178"/>
        <v>843.1</v>
      </c>
      <c r="R2278" s="4">
        <f t="shared" si="179"/>
        <v>0.50749999999999995</v>
      </c>
      <c r="S2278" s="2">
        <v>8</v>
      </c>
      <c r="T2278" t="s">
        <v>46</v>
      </c>
      <c r="U2278">
        <v>2</v>
      </c>
    </row>
    <row r="2279" spans="1:21" x14ac:dyDescent="0.25">
      <c r="A2279" s="1">
        <v>46093</v>
      </c>
      <c r="B2279" t="s">
        <v>2469</v>
      </c>
      <c r="C2279" t="s">
        <v>290</v>
      </c>
      <c r="D2279" t="s">
        <v>121</v>
      </c>
      <c r="E2279" t="s">
        <v>72</v>
      </c>
      <c r="F2279" t="s">
        <v>58</v>
      </c>
      <c r="G2279" t="s">
        <v>44</v>
      </c>
      <c r="H2279" t="s">
        <v>73</v>
      </c>
      <c r="I2279" t="s">
        <v>77</v>
      </c>
      <c r="J2279" s="2">
        <v>1</v>
      </c>
      <c r="K2279" s="3">
        <v>1722.77</v>
      </c>
      <c r="L2279" s="3">
        <v>1092.93</v>
      </c>
      <c r="M2279" s="4">
        <v>3.5000000000000003E-2</v>
      </c>
      <c r="N2279" s="3">
        <f t="shared" si="175"/>
        <v>1722.77</v>
      </c>
      <c r="O2279" s="3">
        <f t="shared" si="176"/>
        <v>1662.47</v>
      </c>
      <c r="P2279" s="3">
        <f t="shared" si="177"/>
        <v>1092.93</v>
      </c>
      <c r="Q2279" s="3">
        <f t="shared" si="178"/>
        <v>569.54</v>
      </c>
      <c r="R2279" s="4">
        <f t="shared" si="179"/>
        <v>0.34260000000000002</v>
      </c>
      <c r="S2279" s="2">
        <v>11</v>
      </c>
      <c r="T2279" t="s">
        <v>30</v>
      </c>
      <c r="U2279">
        <v>2</v>
      </c>
    </row>
    <row r="2280" spans="1:21" x14ac:dyDescent="0.25">
      <c r="A2280" s="1">
        <v>46205</v>
      </c>
      <c r="B2280" t="s">
        <v>2470</v>
      </c>
      <c r="C2280" t="s">
        <v>91</v>
      </c>
      <c r="D2280" t="s">
        <v>121</v>
      </c>
      <c r="E2280" t="s">
        <v>72</v>
      </c>
      <c r="F2280" t="s">
        <v>58</v>
      </c>
      <c r="G2280" t="s">
        <v>44</v>
      </c>
      <c r="H2280" t="s">
        <v>124</v>
      </c>
      <c r="I2280" t="s">
        <v>87</v>
      </c>
      <c r="J2280" s="2">
        <v>3</v>
      </c>
      <c r="K2280" s="3">
        <v>5587.98</v>
      </c>
      <c r="L2280" s="3">
        <v>4459.78</v>
      </c>
      <c r="M2280" s="4">
        <v>3.5000000000000003E-2</v>
      </c>
      <c r="N2280" s="3">
        <f t="shared" si="175"/>
        <v>16763.939999999999</v>
      </c>
      <c r="O2280" s="3">
        <f t="shared" si="176"/>
        <v>16177.2</v>
      </c>
      <c r="P2280" s="3">
        <f t="shared" si="177"/>
        <v>13379.34</v>
      </c>
      <c r="Q2280" s="3">
        <f t="shared" si="178"/>
        <v>2797.86</v>
      </c>
      <c r="R2280" s="4">
        <f t="shared" si="179"/>
        <v>0.17299999999999999</v>
      </c>
      <c r="S2280" s="2">
        <v>14</v>
      </c>
      <c r="T2280" t="s">
        <v>30</v>
      </c>
      <c r="U2280">
        <v>4</v>
      </c>
    </row>
    <row r="2281" spans="1:21" x14ac:dyDescent="0.25">
      <c r="A2281" s="1">
        <v>46069</v>
      </c>
      <c r="B2281" t="s">
        <v>2471</v>
      </c>
      <c r="C2281" t="s">
        <v>42</v>
      </c>
      <c r="D2281" t="s">
        <v>43</v>
      </c>
      <c r="E2281" t="s">
        <v>25</v>
      </c>
      <c r="F2281" t="s">
        <v>64</v>
      </c>
      <c r="G2281" t="s">
        <v>27</v>
      </c>
      <c r="H2281" t="s">
        <v>86</v>
      </c>
      <c r="I2281" t="s">
        <v>77</v>
      </c>
      <c r="J2281" s="2">
        <v>8</v>
      </c>
      <c r="K2281" s="3">
        <v>1990.55</v>
      </c>
      <c r="L2281" s="3">
        <v>1184.2</v>
      </c>
      <c r="M2281" s="4">
        <v>0.1113</v>
      </c>
      <c r="N2281" s="3">
        <f t="shared" si="175"/>
        <v>15924.4</v>
      </c>
      <c r="O2281" s="3">
        <f t="shared" si="176"/>
        <v>14152.01</v>
      </c>
      <c r="P2281" s="3">
        <f t="shared" si="177"/>
        <v>9473.6</v>
      </c>
      <c r="Q2281" s="3">
        <f t="shared" si="178"/>
        <v>4678.41</v>
      </c>
      <c r="R2281" s="4">
        <f t="shared" si="179"/>
        <v>0.3306</v>
      </c>
      <c r="S2281" s="2">
        <v>6</v>
      </c>
      <c r="T2281" t="s">
        <v>46</v>
      </c>
      <c r="U2281">
        <v>4</v>
      </c>
    </row>
    <row r="2282" spans="1:21" x14ac:dyDescent="0.25">
      <c r="A2282" s="1">
        <v>46091</v>
      </c>
      <c r="B2282" t="s">
        <v>2472</v>
      </c>
      <c r="C2282" t="s">
        <v>418</v>
      </c>
      <c r="D2282" t="s">
        <v>56</v>
      </c>
      <c r="E2282" t="s">
        <v>57</v>
      </c>
      <c r="F2282" t="s">
        <v>36</v>
      </c>
      <c r="G2282" t="s">
        <v>51</v>
      </c>
      <c r="H2282" t="s">
        <v>52</v>
      </c>
      <c r="I2282" t="s">
        <v>94</v>
      </c>
      <c r="J2282" s="2">
        <v>1</v>
      </c>
      <c r="K2282" s="3">
        <v>266.68</v>
      </c>
      <c r="L2282" s="3">
        <v>121.24</v>
      </c>
      <c r="M2282" s="4">
        <v>5.1200000000000002E-2</v>
      </c>
      <c r="N2282" s="3">
        <f t="shared" si="175"/>
        <v>266.68</v>
      </c>
      <c r="O2282" s="3">
        <f t="shared" si="176"/>
        <v>253.03</v>
      </c>
      <c r="P2282" s="3">
        <f t="shared" si="177"/>
        <v>121.24</v>
      </c>
      <c r="Q2282" s="3">
        <f t="shared" si="178"/>
        <v>131.79</v>
      </c>
      <c r="R2282" s="4">
        <f t="shared" si="179"/>
        <v>0.52080000000000004</v>
      </c>
      <c r="S2282" s="2">
        <v>4</v>
      </c>
      <c r="T2282" t="s">
        <v>46</v>
      </c>
      <c r="U2282">
        <v>5</v>
      </c>
    </row>
    <row r="2283" spans="1:21" x14ac:dyDescent="0.25">
      <c r="A2283" s="1">
        <v>46071</v>
      </c>
      <c r="B2283" t="s">
        <v>2473</v>
      </c>
      <c r="C2283" t="s">
        <v>520</v>
      </c>
      <c r="D2283" t="s">
        <v>207</v>
      </c>
      <c r="E2283" t="s">
        <v>35</v>
      </c>
      <c r="F2283" t="s">
        <v>64</v>
      </c>
      <c r="G2283" t="s">
        <v>37</v>
      </c>
      <c r="H2283" t="s">
        <v>104</v>
      </c>
      <c r="I2283" t="s">
        <v>65</v>
      </c>
      <c r="J2283" s="2">
        <v>4</v>
      </c>
      <c r="K2283" s="3">
        <v>305.99</v>
      </c>
      <c r="L2283" s="3">
        <v>131.54</v>
      </c>
      <c r="M2283" s="4">
        <v>9.3200000000000005E-2</v>
      </c>
      <c r="N2283" s="3">
        <f t="shared" si="175"/>
        <v>1223.96</v>
      </c>
      <c r="O2283" s="3">
        <f t="shared" si="176"/>
        <v>1109.8900000000001</v>
      </c>
      <c r="P2283" s="3">
        <f t="shared" si="177"/>
        <v>526.16</v>
      </c>
      <c r="Q2283" s="3">
        <f t="shared" si="178"/>
        <v>583.73</v>
      </c>
      <c r="R2283" s="4">
        <f t="shared" si="179"/>
        <v>0.52590000000000003</v>
      </c>
      <c r="S2283" s="2">
        <v>10</v>
      </c>
      <c r="T2283" t="s">
        <v>46</v>
      </c>
      <c r="U2283">
        <v>4</v>
      </c>
    </row>
    <row r="2284" spans="1:21" x14ac:dyDescent="0.25">
      <c r="A2284" s="1">
        <v>46137</v>
      </c>
      <c r="B2284" t="s">
        <v>2474</v>
      </c>
      <c r="C2284" t="s">
        <v>297</v>
      </c>
      <c r="D2284" t="s">
        <v>85</v>
      </c>
      <c r="E2284" t="s">
        <v>50</v>
      </c>
      <c r="F2284" t="s">
        <v>26</v>
      </c>
      <c r="G2284" t="s">
        <v>51</v>
      </c>
      <c r="H2284" t="s">
        <v>116</v>
      </c>
      <c r="I2284" t="s">
        <v>92</v>
      </c>
      <c r="J2284" s="2">
        <v>1</v>
      </c>
      <c r="K2284" s="3">
        <v>2674.58</v>
      </c>
      <c r="L2284" s="3">
        <v>1839.69</v>
      </c>
      <c r="M2284" s="4">
        <v>4.6899999999999997E-2</v>
      </c>
      <c r="N2284" s="3">
        <f t="shared" si="175"/>
        <v>2674.58</v>
      </c>
      <c r="O2284" s="3">
        <f t="shared" si="176"/>
        <v>2549.14</v>
      </c>
      <c r="P2284" s="3">
        <f t="shared" si="177"/>
        <v>1839.69</v>
      </c>
      <c r="Q2284" s="3">
        <f t="shared" si="178"/>
        <v>709.45</v>
      </c>
      <c r="R2284" s="4">
        <f t="shared" si="179"/>
        <v>0.27829999999999999</v>
      </c>
      <c r="S2284" s="2">
        <v>2</v>
      </c>
      <c r="T2284" t="s">
        <v>46</v>
      </c>
      <c r="U2284">
        <v>2</v>
      </c>
    </row>
    <row r="2285" spans="1:21" x14ac:dyDescent="0.25">
      <c r="A2285" s="1">
        <v>46063</v>
      </c>
      <c r="B2285" t="s">
        <v>2475</v>
      </c>
      <c r="C2285" t="s">
        <v>218</v>
      </c>
      <c r="D2285" t="s">
        <v>139</v>
      </c>
      <c r="E2285" t="s">
        <v>72</v>
      </c>
      <c r="F2285" t="s">
        <v>36</v>
      </c>
      <c r="G2285" t="s">
        <v>51</v>
      </c>
      <c r="H2285" t="s">
        <v>59</v>
      </c>
      <c r="I2285" t="s">
        <v>92</v>
      </c>
      <c r="J2285" s="2">
        <v>8</v>
      </c>
      <c r="K2285" s="3">
        <v>2158.84</v>
      </c>
      <c r="L2285" s="3">
        <v>1430.6</v>
      </c>
      <c r="M2285" s="4">
        <v>3.7600000000000001E-2</v>
      </c>
      <c r="N2285" s="3">
        <f t="shared" si="175"/>
        <v>17270.72</v>
      </c>
      <c r="O2285" s="3">
        <f t="shared" si="176"/>
        <v>16621.34</v>
      </c>
      <c r="P2285" s="3">
        <f t="shared" si="177"/>
        <v>11444.8</v>
      </c>
      <c r="Q2285" s="3">
        <f t="shared" si="178"/>
        <v>5176.54</v>
      </c>
      <c r="R2285" s="4">
        <f t="shared" si="179"/>
        <v>0.31140000000000001</v>
      </c>
      <c r="S2285" s="2">
        <v>13</v>
      </c>
      <c r="T2285" t="s">
        <v>30</v>
      </c>
      <c r="U2285">
        <v>5</v>
      </c>
    </row>
    <row r="2286" spans="1:21" x14ac:dyDescent="0.25">
      <c r="A2286" s="1">
        <v>46102</v>
      </c>
      <c r="B2286" t="s">
        <v>2476</v>
      </c>
      <c r="C2286" t="s">
        <v>514</v>
      </c>
      <c r="D2286" t="s">
        <v>126</v>
      </c>
      <c r="E2286" t="s">
        <v>57</v>
      </c>
      <c r="F2286" t="s">
        <v>36</v>
      </c>
      <c r="G2286" t="s">
        <v>51</v>
      </c>
      <c r="H2286" t="s">
        <v>52</v>
      </c>
      <c r="I2286" t="s">
        <v>53</v>
      </c>
      <c r="J2286" s="2">
        <v>2</v>
      </c>
      <c r="K2286" s="3">
        <v>246.75</v>
      </c>
      <c r="L2286" s="3">
        <v>113.67</v>
      </c>
      <c r="M2286" s="4">
        <v>2.5100000000000001E-2</v>
      </c>
      <c r="N2286" s="3">
        <f t="shared" si="175"/>
        <v>493.5</v>
      </c>
      <c r="O2286" s="3">
        <f t="shared" si="176"/>
        <v>481.11</v>
      </c>
      <c r="P2286" s="3">
        <f t="shared" si="177"/>
        <v>227.34</v>
      </c>
      <c r="Q2286" s="3">
        <f t="shared" si="178"/>
        <v>253.77</v>
      </c>
      <c r="R2286" s="4">
        <f t="shared" si="179"/>
        <v>0.52749999999999997</v>
      </c>
      <c r="S2286" s="2">
        <v>12</v>
      </c>
      <c r="T2286" t="s">
        <v>40</v>
      </c>
    </row>
    <row r="2287" spans="1:21" x14ac:dyDescent="0.25">
      <c r="A2287" s="1">
        <v>46060</v>
      </c>
      <c r="B2287" t="s">
        <v>2477</v>
      </c>
      <c r="C2287" t="s">
        <v>132</v>
      </c>
      <c r="D2287" t="s">
        <v>85</v>
      </c>
      <c r="E2287" t="s">
        <v>50</v>
      </c>
      <c r="F2287" t="s">
        <v>26</v>
      </c>
      <c r="G2287" t="s">
        <v>27</v>
      </c>
      <c r="H2287" t="s">
        <v>68</v>
      </c>
      <c r="I2287" t="s">
        <v>53</v>
      </c>
      <c r="J2287" s="2">
        <v>3</v>
      </c>
      <c r="K2287" s="3">
        <v>1243.8800000000001</v>
      </c>
      <c r="L2287" s="3">
        <v>786.32</v>
      </c>
      <c r="M2287" s="4">
        <v>5.4100000000000002E-2</v>
      </c>
      <c r="N2287" s="3">
        <f t="shared" si="175"/>
        <v>3731.64</v>
      </c>
      <c r="O2287" s="3">
        <f t="shared" si="176"/>
        <v>3529.76</v>
      </c>
      <c r="P2287" s="3">
        <f t="shared" si="177"/>
        <v>2358.96</v>
      </c>
      <c r="Q2287" s="3">
        <f t="shared" si="178"/>
        <v>1170.8</v>
      </c>
      <c r="R2287" s="4">
        <f t="shared" si="179"/>
        <v>0.33169999999999999</v>
      </c>
      <c r="S2287" s="2">
        <v>13</v>
      </c>
      <c r="T2287" t="s">
        <v>30</v>
      </c>
      <c r="U2287">
        <v>4</v>
      </c>
    </row>
    <row r="2288" spans="1:21" x14ac:dyDescent="0.25">
      <c r="A2288" s="1">
        <v>46141</v>
      </c>
      <c r="B2288" t="s">
        <v>2478</v>
      </c>
      <c r="C2288" t="s">
        <v>253</v>
      </c>
      <c r="D2288" t="s">
        <v>101</v>
      </c>
      <c r="E2288" t="s">
        <v>35</v>
      </c>
      <c r="F2288" t="s">
        <v>36</v>
      </c>
      <c r="G2288" t="s">
        <v>37</v>
      </c>
      <c r="H2288" t="s">
        <v>104</v>
      </c>
      <c r="I2288" t="s">
        <v>92</v>
      </c>
      <c r="J2288" s="2">
        <v>5</v>
      </c>
      <c r="K2288" s="3">
        <v>312.83999999999997</v>
      </c>
      <c r="L2288" s="3">
        <v>138.52000000000001</v>
      </c>
      <c r="M2288" s="4">
        <v>1.7000000000000001E-2</v>
      </c>
      <c r="N2288" s="3">
        <f t="shared" si="175"/>
        <v>1564.2</v>
      </c>
      <c r="O2288" s="3">
        <f t="shared" si="176"/>
        <v>1537.61</v>
      </c>
      <c r="P2288" s="3">
        <f t="shared" si="177"/>
        <v>692.6</v>
      </c>
      <c r="Q2288" s="3">
        <f t="shared" si="178"/>
        <v>845.01</v>
      </c>
      <c r="R2288" s="4">
        <f t="shared" si="179"/>
        <v>0.54959999999999998</v>
      </c>
      <c r="S2288" s="2">
        <v>5</v>
      </c>
      <c r="T2288" t="s">
        <v>46</v>
      </c>
      <c r="U2288">
        <v>4</v>
      </c>
    </row>
    <row r="2289" spans="1:21" x14ac:dyDescent="0.25">
      <c r="A2289" s="1">
        <v>46190</v>
      </c>
      <c r="B2289" t="s">
        <v>2479</v>
      </c>
      <c r="C2289" t="s">
        <v>89</v>
      </c>
      <c r="D2289" t="s">
        <v>130</v>
      </c>
      <c r="E2289" t="s">
        <v>72</v>
      </c>
      <c r="F2289" t="s">
        <v>64</v>
      </c>
      <c r="G2289" t="s">
        <v>27</v>
      </c>
      <c r="H2289" t="s">
        <v>28</v>
      </c>
      <c r="I2289" t="s">
        <v>74</v>
      </c>
      <c r="J2289" s="2">
        <v>5</v>
      </c>
      <c r="K2289" s="3">
        <v>768.56</v>
      </c>
      <c r="L2289" s="3">
        <v>463.67</v>
      </c>
      <c r="M2289" s="4">
        <v>0</v>
      </c>
      <c r="N2289" s="3">
        <f t="shared" si="175"/>
        <v>3842.8</v>
      </c>
      <c r="O2289" s="3">
        <f t="shared" si="176"/>
        <v>3842.8</v>
      </c>
      <c r="P2289" s="3">
        <f t="shared" si="177"/>
        <v>2318.35</v>
      </c>
      <c r="Q2289" s="3">
        <f t="shared" si="178"/>
        <v>1524.45</v>
      </c>
      <c r="R2289" s="4">
        <f t="shared" si="179"/>
        <v>0.3967</v>
      </c>
      <c r="S2289" s="2">
        <v>12</v>
      </c>
      <c r="T2289" t="s">
        <v>30</v>
      </c>
      <c r="U2289">
        <v>3</v>
      </c>
    </row>
    <row r="2290" spans="1:21" x14ac:dyDescent="0.25">
      <c r="A2290" s="1">
        <v>46121</v>
      </c>
      <c r="B2290" t="s">
        <v>2480</v>
      </c>
      <c r="C2290" t="s">
        <v>297</v>
      </c>
      <c r="D2290" t="s">
        <v>71</v>
      </c>
      <c r="E2290" t="s">
        <v>72</v>
      </c>
      <c r="F2290" t="s">
        <v>26</v>
      </c>
      <c r="G2290" t="s">
        <v>51</v>
      </c>
      <c r="H2290" t="s">
        <v>116</v>
      </c>
      <c r="I2290" t="s">
        <v>87</v>
      </c>
      <c r="J2290" s="2">
        <v>8</v>
      </c>
      <c r="K2290" s="3">
        <v>2930.93</v>
      </c>
      <c r="L2290" s="3">
        <v>1905.19</v>
      </c>
      <c r="M2290" s="4">
        <v>0</v>
      </c>
      <c r="N2290" s="3">
        <f t="shared" si="175"/>
        <v>23447.439999999999</v>
      </c>
      <c r="O2290" s="3">
        <f t="shared" si="176"/>
        <v>23447.439999999999</v>
      </c>
      <c r="P2290" s="3">
        <f t="shared" si="177"/>
        <v>15241.52</v>
      </c>
      <c r="Q2290" s="3">
        <f t="shared" si="178"/>
        <v>8205.92</v>
      </c>
      <c r="R2290" s="4">
        <f t="shared" si="179"/>
        <v>0.35</v>
      </c>
      <c r="S2290" s="2">
        <v>2</v>
      </c>
      <c r="T2290" t="s">
        <v>46</v>
      </c>
      <c r="U2290">
        <v>2</v>
      </c>
    </row>
    <row r="2291" spans="1:21" x14ac:dyDescent="0.25">
      <c r="A2291" s="1">
        <v>46215</v>
      </c>
      <c r="B2291" t="s">
        <v>2481</v>
      </c>
      <c r="C2291" t="s">
        <v>70</v>
      </c>
      <c r="D2291" t="s">
        <v>49</v>
      </c>
      <c r="E2291" t="s">
        <v>50</v>
      </c>
      <c r="F2291" t="s">
        <v>64</v>
      </c>
      <c r="G2291" t="s">
        <v>51</v>
      </c>
      <c r="H2291" t="s">
        <v>52</v>
      </c>
      <c r="I2291" t="s">
        <v>60</v>
      </c>
      <c r="J2291" s="2">
        <v>5</v>
      </c>
      <c r="K2291" s="3">
        <v>251.3</v>
      </c>
      <c r="L2291" s="3">
        <v>119.83</v>
      </c>
      <c r="M2291" s="4">
        <v>8.9999999999999993E-3</v>
      </c>
      <c r="N2291" s="3">
        <f t="shared" si="175"/>
        <v>1256.5</v>
      </c>
      <c r="O2291" s="3">
        <f t="shared" si="176"/>
        <v>1245.19</v>
      </c>
      <c r="P2291" s="3">
        <f t="shared" si="177"/>
        <v>599.15</v>
      </c>
      <c r="Q2291" s="3">
        <f t="shared" si="178"/>
        <v>646.04</v>
      </c>
      <c r="R2291" s="4">
        <f t="shared" si="179"/>
        <v>0.51880000000000004</v>
      </c>
      <c r="S2291" s="2">
        <v>5</v>
      </c>
      <c r="T2291" t="s">
        <v>46</v>
      </c>
      <c r="U2291">
        <v>3</v>
      </c>
    </row>
    <row r="2292" spans="1:21" x14ac:dyDescent="0.25">
      <c r="A2292" s="1">
        <v>46074</v>
      </c>
      <c r="B2292" t="s">
        <v>1707</v>
      </c>
      <c r="C2292" t="s">
        <v>317</v>
      </c>
      <c r="D2292" t="s">
        <v>63</v>
      </c>
      <c r="E2292" t="s">
        <v>35</v>
      </c>
      <c r="F2292" t="s">
        <v>26</v>
      </c>
      <c r="G2292" t="s">
        <v>51</v>
      </c>
      <c r="H2292" t="s">
        <v>116</v>
      </c>
      <c r="I2292" t="s">
        <v>77</v>
      </c>
      <c r="J2292" s="2">
        <v>6</v>
      </c>
      <c r="K2292" s="3">
        <v>2898.93</v>
      </c>
      <c r="L2292" s="3">
        <v>1793.66</v>
      </c>
      <c r="M2292" s="4">
        <v>9.1200000000000003E-2</v>
      </c>
      <c r="N2292" s="3">
        <f t="shared" si="175"/>
        <v>17393.580000000002</v>
      </c>
      <c r="O2292" s="3">
        <f t="shared" si="176"/>
        <v>15807.29</v>
      </c>
      <c r="P2292" s="3">
        <f t="shared" si="177"/>
        <v>10761.96</v>
      </c>
      <c r="Q2292" s="3">
        <f t="shared" si="178"/>
        <v>5045.33</v>
      </c>
      <c r="R2292" s="4">
        <f t="shared" si="179"/>
        <v>0.31919999999999998</v>
      </c>
      <c r="S2292" s="2">
        <v>11</v>
      </c>
      <c r="T2292" t="s">
        <v>30</v>
      </c>
      <c r="U2292">
        <v>5</v>
      </c>
    </row>
    <row r="2293" spans="1:21" x14ac:dyDescent="0.25">
      <c r="A2293" s="1">
        <v>46213</v>
      </c>
      <c r="B2293" t="s">
        <v>2482</v>
      </c>
      <c r="C2293" t="s">
        <v>67</v>
      </c>
      <c r="D2293" t="s">
        <v>71</v>
      </c>
      <c r="E2293" t="s">
        <v>72</v>
      </c>
      <c r="F2293" t="s">
        <v>26</v>
      </c>
      <c r="G2293" t="s">
        <v>27</v>
      </c>
      <c r="H2293" t="s">
        <v>86</v>
      </c>
      <c r="I2293" t="s">
        <v>92</v>
      </c>
      <c r="J2293" s="2">
        <v>8</v>
      </c>
      <c r="K2293" s="3">
        <v>1879.52</v>
      </c>
      <c r="L2293" s="3">
        <v>1276.27</v>
      </c>
      <c r="M2293" s="4">
        <v>0.1072</v>
      </c>
      <c r="N2293" s="3">
        <f t="shared" si="175"/>
        <v>15036.16</v>
      </c>
      <c r="O2293" s="3">
        <f t="shared" si="176"/>
        <v>13424.28</v>
      </c>
      <c r="P2293" s="3">
        <f t="shared" si="177"/>
        <v>10210.16</v>
      </c>
      <c r="Q2293" s="3">
        <f t="shared" si="178"/>
        <v>3214.12</v>
      </c>
      <c r="R2293" s="4">
        <f t="shared" si="179"/>
        <v>0.2394</v>
      </c>
      <c r="S2293" s="2">
        <v>2</v>
      </c>
      <c r="T2293" t="s">
        <v>46</v>
      </c>
      <c r="U2293">
        <v>2</v>
      </c>
    </row>
    <row r="2294" spans="1:21" x14ac:dyDescent="0.25">
      <c r="A2294" s="1">
        <v>46173</v>
      </c>
      <c r="B2294" t="s">
        <v>2483</v>
      </c>
      <c r="C2294" t="s">
        <v>150</v>
      </c>
      <c r="D2294" t="s">
        <v>24</v>
      </c>
      <c r="E2294" t="s">
        <v>25</v>
      </c>
      <c r="F2294" t="s">
        <v>64</v>
      </c>
      <c r="G2294" t="s">
        <v>27</v>
      </c>
      <c r="H2294" t="s">
        <v>86</v>
      </c>
      <c r="I2294" t="s">
        <v>29</v>
      </c>
      <c r="J2294" s="2">
        <v>1</v>
      </c>
      <c r="K2294" s="3">
        <v>1988.63</v>
      </c>
      <c r="L2294" s="3">
        <v>1281.06</v>
      </c>
      <c r="M2294" s="4">
        <v>6.8599999999999994E-2</v>
      </c>
      <c r="N2294" s="3">
        <f t="shared" si="175"/>
        <v>1988.63</v>
      </c>
      <c r="O2294" s="3">
        <f t="shared" si="176"/>
        <v>1852.21</v>
      </c>
      <c r="P2294" s="3">
        <f t="shared" si="177"/>
        <v>1281.06</v>
      </c>
      <c r="Q2294" s="3">
        <f t="shared" si="178"/>
        <v>571.15</v>
      </c>
      <c r="R2294" s="4">
        <f t="shared" si="179"/>
        <v>0.30840000000000001</v>
      </c>
      <c r="S2294" s="2">
        <v>2</v>
      </c>
      <c r="T2294" t="s">
        <v>46</v>
      </c>
      <c r="U2294">
        <v>2</v>
      </c>
    </row>
    <row r="2295" spans="1:21" x14ac:dyDescent="0.25">
      <c r="A2295" s="1">
        <v>46226</v>
      </c>
      <c r="B2295" t="s">
        <v>2484</v>
      </c>
      <c r="C2295" t="s">
        <v>606</v>
      </c>
      <c r="D2295" t="s">
        <v>34</v>
      </c>
      <c r="E2295" t="s">
        <v>35</v>
      </c>
      <c r="F2295" t="s">
        <v>26</v>
      </c>
      <c r="G2295" t="s">
        <v>51</v>
      </c>
      <c r="H2295" t="s">
        <v>116</v>
      </c>
      <c r="I2295" t="s">
        <v>87</v>
      </c>
      <c r="J2295" s="2">
        <v>5</v>
      </c>
      <c r="K2295" s="3">
        <v>2785.33</v>
      </c>
      <c r="L2295" s="3">
        <v>1768.56</v>
      </c>
      <c r="M2295" s="4">
        <v>6.3700000000000007E-2</v>
      </c>
      <c r="N2295" s="3">
        <f t="shared" si="175"/>
        <v>13926.65</v>
      </c>
      <c r="O2295" s="3">
        <f t="shared" si="176"/>
        <v>13039.52</v>
      </c>
      <c r="P2295" s="3">
        <f t="shared" si="177"/>
        <v>8842.7999999999993</v>
      </c>
      <c r="Q2295" s="3">
        <f t="shared" si="178"/>
        <v>4196.72</v>
      </c>
      <c r="R2295" s="4">
        <f t="shared" si="179"/>
        <v>0.32179999999999997</v>
      </c>
      <c r="S2295" s="2">
        <v>11</v>
      </c>
      <c r="T2295" t="s">
        <v>30</v>
      </c>
      <c r="U2295">
        <v>2</v>
      </c>
    </row>
    <row r="2296" spans="1:21" x14ac:dyDescent="0.25">
      <c r="A2296" s="1">
        <v>46112</v>
      </c>
      <c r="B2296" t="s">
        <v>2485</v>
      </c>
      <c r="C2296" t="s">
        <v>172</v>
      </c>
      <c r="D2296" t="s">
        <v>126</v>
      </c>
      <c r="E2296" t="s">
        <v>57</v>
      </c>
      <c r="F2296" t="s">
        <v>58</v>
      </c>
      <c r="G2296" t="s">
        <v>44</v>
      </c>
      <c r="H2296" t="s">
        <v>124</v>
      </c>
      <c r="I2296" t="s">
        <v>92</v>
      </c>
      <c r="J2296" s="2">
        <v>7</v>
      </c>
      <c r="K2296" s="3">
        <v>5688.15</v>
      </c>
      <c r="L2296" s="3">
        <v>4279.76</v>
      </c>
      <c r="M2296" s="4">
        <v>3.5000000000000003E-2</v>
      </c>
      <c r="N2296" s="3">
        <f t="shared" si="175"/>
        <v>39817.050000000003</v>
      </c>
      <c r="O2296" s="3">
        <f t="shared" si="176"/>
        <v>38423.449999999997</v>
      </c>
      <c r="P2296" s="3">
        <f t="shared" si="177"/>
        <v>29958.32</v>
      </c>
      <c r="Q2296" s="3">
        <f t="shared" si="178"/>
        <v>8465.1299999999992</v>
      </c>
      <c r="R2296" s="4">
        <f t="shared" si="179"/>
        <v>0.2203</v>
      </c>
      <c r="S2296" s="2">
        <v>12</v>
      </c>
      <c r="T2296" t="s">
        <v>30</v>
      </c>
      <c r="U2296">
        <v>4</v>
      </c>
    </row>
    <row r="2297" spans="1:21" x14ac:dyDescent="0.25">
      <c r="A2297" s="1">
        <v>46059</v>
      </c>
      <c r="B2297" t="s">
        <v>2486</v>
      </c>
      <c r="C2297" t="s">
        <v>336</v>
      </c>
      <c r="D2297" t="s">
        <v>56</v>
      </c>
      <c r="E2297" t="s">
        <v>57</v>
      </c>
      <c r="F2297" t="s">
        <v>26</v>
      </c>
      <c r="G2297" t="s">
        <v>37</v>
      </c>
      <c r="H2297" t="s">
        <v>38</v>
      </c>
      <c r="I2297" t="s">
        <v>65</v>
      </c>
      <c r="J2297" s="2">
        <v>7</v>
      </c>
      <c r="K2297" s="3">
        <v>429.3</v>
      </c>
      <c r="L2297" s="3">
        <v>184.43</v>
      </c>
      <c r="M2297" s="4">
        <v>5.2299999999999999E-2</v>
      </c>
      <c r="N2297" s="3">
        <f t="shared" si="175"/>
        <v>3005.1</v>
      </c>
      <c r="O2297" s="3">
        <f t="shared" si="176"/>
        <v>2847.93</v>
      </c>
      <c r="P2297" s="3">
        <f t="shared" si="177"/>
        <v>1291.01</v>
      </c>
      <c r="Q2297" s="3">
        <f t="shared" si="178"/>
        <v>1556.92</v>
      </c>
      <c r="R2297" s="4">
        <f t="shared" si="179"/>
        <v>0.54669999999999996</v>
      </c>
      <c r="S2297" s="2">
        <v>10</v>
      </c>
      <c r="T2297" t="s">
        <v>46</v>
      </c>
      <c r="U2297">
        <v>4</v>
      </c>
    </row>
    <row r="2298" spans="1:21" x14ac:dyDescent="0.25">
      <c r="A2298" s="1">
        <v>46226</v>
      </c>
      <c r="B2298" t="s">
        <v>2487</v>
      </c>
      <c r="C2298" t="s">
        <v>218</v>
      </c>
      <c r="D2298" t="s">
        <v>49</v>
      </c>
      <c r="E2298" t="s">
        <v>50</v>
      </c>
      <c r="F2298" t="s">
        <v>58</v>
      </c>
      <c r="G2298" t="s">
        <v>44</v>
      </c>
      <c r="H2298" t="s">
        <v>73</v>
      </c>
      <c r="I2298" t="s">
        <v>94</v>
      </c>
      <c r="J2298" s="2">
        <v>7</v>
      </c>
      <c r="K2298" s="3">
        <v>1706.5</v>
      </c>
      <c r="L2298" s="3">
        <v>1060.46</v>
      </c>
      <c r="M2298" s="4">
        <v>4.5400000000000003E-2</v>
      </c>
      <c r="N2298" s="3">
        <f t="shared" si="175"/>
        <v>11945.5</v>
      </c>
      <c r="O2298" s="3">
        <f t="shared" si="176"/>
        <v>11403.17</v>
      </c>
      <c r="P2298" s="3">
        <f t="shared" si="177"/>
        <v>7423.22</v>
      </c>
      <c r="Q2298" s="3">
        <f t="shared" si="178"/>
        <v>3979.95</v>
      </c>
      <c r="R2298" s="4">
        <f t="shared" si="179"/>
        <v>0.34899999999999998</v>
      </c>
      <c r="S2298" s="2">
        <v>9</v>
      </c>
      <c r="T2298" t="s">
        <v>46</v>
      </c>
      <c r="U2298">
        <v>5</v>
      </c>
    </row>
    <row r="2299" spans="1:21" x14ac:dyDescent="0.25">
      <c r="A2299" s="1">
        <v>46081</v>
      </c>
      <c r="B2299" t="s">
        <v>2488</v>
      </c>
      <c r="C2299" t="s">
        <v>48</v>
      </c>
      <c r="D2299" t="s">
        <v>101</v>
      </c>
      <c r="E2299" t="s">
        <v>35</v>
      </c>
      <c r="F2299" t="s">
        <v>58</v>
      </c>
      <c r="G2299" t="s">
        <v>44</v>
      </c>
      <c r="H2299" t="s">
        <v>45</v>
      </c>
      <c r="I2299" t="s">
        <v>92</v>
      </c>
      <c r="J2299" s="2">
        <v>3</v>
      </c>
      <c r="K2299" s="3">
        <v>384.59</v>
      </c>
      <c r="L2299" s="3">
        <v>205.78</v>
      </c>
      <c r="M2299" s="4">
        <v>3.5000000000000003E-2</v>
      </c>
      <c r="N2299" s="3">
        <f t="shared" si="175"/>
        <v>1153.77</v>
      </c>
      <c r="O2299" s="3">
        <f t="shared" si="176"/>
        <v>1113.3900000000001</v>
      </c>
      <c r="P2299" s="3">
        <f t="shared" si="177"/>
        <v>617.34</v>
      </c>
      <c r="Q2299" s="3">
        <f t="shared" si="178"/>
        <v>496.05</v>
      </c>
      <c r="R2299" s="4">
        <f t="shared" si="179"/>
        <v>0.44550000000000001</v>
      </c>
      <c r="S2299" s="2">
        <v>4</v>
      </c>
      <c r="T2299" t="s">
        <v>46</v>
      </c>
      <c r="U2299">
        <v>5</v>
      </c>
    </row>
    <row r="2300" spans="1:21" x14ac:dyDescent="0.25">
      <c r="A2300" s="1">
        <v>46123</v>
      </c>
      <c r="B2300" t="s">
        <v>2489</v>
      </c>
      <c r="C2300" t="s">
        <v>159</v>
      </c>
      <c r="D2300" t="s">
        <v>97</v>
      </c>
      <c r="E2300" t="s">
        <v>57</v>
      </c>
      <c r="F2300" t="s">
        <v>26</v>
      </c>
      <c r="G2300" t="s">
        <v>51</v>
      </c>
      <c r="H2300" t="s">
        <v>52</v>
      </c>
      <c r="I2300" t="s">
        <v>65</v>
      </c>
      <c r="J2300" s="2">
        <v>6</v>
      </c>
      <c r="K2300" s="3">
        <v>266.8</v>
      </c>
      <c r="L2300" s="3">
        <v>122.95</v>
      </c>
      <c r="M2300" s="4">
        <v>0</v>
      </c>
      <c r="N2300" s="3">
        <f t="shared" si="175"/>
        <v>1600.8</v>
      </c>
      <c r="O2300" s="3">
        <f t="shared" si="176"/>
        <v>1600.8</v>
      </c>
      <c r="P2300" s="3">
        <f t="shared" si="177"/>
        <v>737.7</v>
      </c>
      <c r="Q2300" s="3">
        <f t="shared" si="178"/>
        <v>863.1</v>
      </c>
      <c r="R2300" s="4">
        <f t="shared" si="179"/>
        <v>0.53920000000000001</v>
      </c>
      <c r="S2300" s="2">
        <v>11</v>
      </c>
      <c r="T2300" t="s">
        <v>30</v>
      </c>
      <c r="U2300">
        <v>2</v>
      </c>
    </row>
    <row r="2301" spans="1:21" x14ac:dyDescent="0.25">
      <c r="A2301" s="1">
        <v>46156</v>
      </c>
      <c r="B2301" t="s">
        <v>2490</v>
      </c>
      <c r="C2301" t="s">
        <v>349</v>
      </c>
      <c r="D2301" t="s">
        <v>43</v>
      </c>
      <c r="E2301" t="s">
        <v>25</v>
      </c>
      <c r="F2301" t="s">
        <v>26</v>
      </c>
      <c r="G2301" t="s">
        <v>44</v>
      </c>
      <c r="H2301" t="s">
        <v>45</v>
      </c>
      <c r="I2301" t="s">
        <v>60</v>
      </c>
      <c r="J2301" s="2">
        <v>7</v>
      </c>
      <c r="K2301" s="3">
        <v>372.82</v>
      </c>
      <c r="L2301" s="3">
        <v>221.44</v>
      </c>
      <c r="M2301" s="4">
        <v>2.4299999999999999E-2</v>
      </c>
      <c r="N2301" s="3">
        <f t="shared" si="175"/>
        <v>2609.7399999999998</v>
      </c>
      <c r="O2301" s="3">
        <f t="shared" si="176"/>
        <v>2546.3200000000002</v>
      </c>
      <c r="P2301" s="3">
        <f t="shared" si="177"/>
        <v>1550.08</v>
      </c>
      <c r="Q2301" s="3">
        <f t="shared" si="178"/>
        <v>996.24</v>
      </c>
      <c r="R2301" s="4">
        <f t="shared" si="179"/>
        <v>0.39119999999999999</v>
      </c>
      <c r="S2301" s="2">
        <v>3</v>
      </c>
      <c r="T2301" t="s">
        <v>46</v>
      </c>
      <c r="U2301">
        <v>5</v>
      </c>
    </row>
    <row r="2302" spans="1:21" x14ac:dyDescent="0.25">
      <c r="A2302" s="1">
        <v>46042</v>
      </c>
      <c r="B2302" t="s">
        <v>2491</v>
      </c>
      <c r="C2302" t="s">
        <v>358</v>
      </c>
      <c r="D2302" t="s">
        <v>97</v>
      </c>
      <c r="E2302" t="s">
        <v>57</v>
      </c>
      <c r="F2302" t="s">
        <v>58</v>
      </c>
      <c r="G2302" t="s">
        <v>37</v>
      </c>
      <c r="H2302" t="s">
        <v>104</v>
      </c>
      <c r="I2302" t="s">
        <v>74</v>
      </c>
      <c r="J2302" s="2">
        <v>5</v>
      </c>
      <c r="K2302" s="3">
        <v>338.98</v>
      </c>
      <c r="L2302" s="3">
        <v>135.44</v>
      </c>
      <c r="M2302" s="4">
        <v>3.5000000000000003E-2</v>
      </c>
      <c r="N2302" s="3">
        <f t="shared" si="175"/>
        <v>1694.9</v>
      </c>
      <c r="O2302" s="3">
        <f t="shared" si="176"/>
        <v>1635.58</v>
      </c>
      <c r="P2302" s="3">
        <f t="shared" si="177"/>
        <v>677.2</v>
      </c>
      <c r="Q2302" s="3">
        <f t="shared" si="178"/>
        <v>958.38</v>
      </c>
      <c r="R2302" s="4">
        <f t="shared" si="179"/>
        <v>0.58599999999999997</v>
      </c>
      <c r="S2302" s="2">
        <v>4</v>
      </c>
      <c r="T2302" t="s">
        <v>46</v>
      </c>
      <c r="U2302">
        <v>5</v>
      </c>
    </row>
    <row r="2303" spans="1:21" x14ac:dyDescent="0.25">
      <c r="A2303" s="1">
        <v>46206</v>
      </c>
      <c r="B2303" t="s">
        <v>2492</v>
      </c>
      <c r="C2303" t="s">
        <v>108</v>
      </c>
      <c r="D2303" t="s">
        <v>63</v>
      </c>
      <c r="E2303" t="s">
        <v>35</v>
      </c>
      <c r="F2303" t="s">
        <v>58</v>
      </c>
      <c r="G2303" t="s">
        <v>44</v>
      </c>
      <c r="H2303" t="s">
        <v>124</v>
      </c>
      <c r="I2303" t="s">
        <v>77</v>
      </c>
      <c r="J2303" s="2">
        <v>6</v>
      </c>
      <c r="K2303" s="3">
        <v>5878.16</v>
      </c>
      <c r="L2303" s="3">
        <v>4314</v>
      </c>
      <c r="M2303" s="4">
        <v>0.1416</v>
      </c>
      <c r="N2303" s="3">
        <f t="shared" si="175"/>
        <v>35268.959999999999</v>
      </c>
      <c r="O2303" s="3">
        <f t="shared" si="176"/>
        <v>30274.880000000001</v>
      </c>
      <c r="P2303" s="3">
        <f t="shared" si="177"/>
        <v>25884</v>
      </c>
      <c r="Q2303" s="3">
        <f t="shared" si="178"/>
        <v>4390.88</v>
      </c>
      <c r="R2303" s="4">
        <f t="shared" si="179"/>
        <v>0.14499999999999999</v>
      </c>
      <c r="S2303" s="2">
        <v>7</v>
      </c>
      <c r="T2303" t="s">
        <v>46</v>
      </c>
      <c r="U2303">
        <v>4</v>
      </c>
    </row>
    <row r="2304" spans="1:21" x14ac:dyDescent="0.25">
      <c r="A2304" s="1">
        <v>46123</v>
      </c>
      <c r="B2304" t="s">
        <v>2493</v>
      </c>
      <c r="C2304" t="s">
        <v>174</v>
      </c>
      <c r="D2304" t="s">
        <v>101</v>
      </c>
      <c r="E2304" t="s">
        <v>35</v>
      </c>
      <c r="F2304" t="s">
        <v>26</v>
      </c>
      <c r="G2304" t="s">
        <v>51</v>
      </c>
      <c r="H2304" t="s">
        <v>52</v>
      </c>
      <c r="I2304" t="s">
        <v>94</v>
      </c>
      <c r="J2304" s="2">
        <v>2</v>
      </c>
      <c r="K2304" s="3">
        <v>252.63</v>
      </c>
      <c r="L2304" s="3">
        <v>115.99</v>
      </c>
      <c r="M2304" s="4">
        <v>3.9E-2</v>
      </c>
      <c r="N2304" s="3">
        <f t="shared" si="175"/>
        <v>505.26</v>
      </c>
      <c r="O2304" s="3">
        <f t="shared" si="176"/>
        <v>485.55</v>
      </c>
      <c r="P2304" s="3">
        <f t="shared" si="177"/>
        <v>231.98</v>
      </c>
      <c r="Q2304" s="3">
        <f t="shared" si="178"/>
        <v>253.57</v>
      </c>
      <c r="R2304" s="4">
        <f t="shared" si="179"/>
        <v>0.5222</v>
      </c>
      <c r="S2304" s="2">
        <v>7</v>
      </c>
      <c r="T2304" t="s">
        <v>46</v>
      </c>
      <c r="U2304">
        <v>2</v>
      </c>
    </row>
    <row r="2305" spans="1:21" x14ac:dyDescent="0.25">
      <c r="A2305" s="1">
        <v>46137</v>
      </c>
      <c r="B2305" t="s">
        <v>2494</v>
      </c>
      <c r="C2305" t="s">
        <v>70</v>
      </c>
      <c r="D2305" t="s">
        <v>101</v>
      </c>
      <c r="E2305" t="s">
        <v>35</v>
      </c>
      <c r="F2305" t="s">
        <v>26</v>
      </c>
      <c r="G2305" t="s">
        <v>37</v>
      </c>
      <c r="H2305" t="s">
        <v>38</v>
      </c>
      <c r="I2305" t="s">
        <v>94</v>
      </c>
      <c r="J2305" s="2">
        <v>1</v>
      </c>
      <c r="K2305" s="3">
        <v>430.99</v>
      </c>
      <c r="L2305" s="3">
        <v>198.23</v>
      </c>
      <c r="M2305" s="4">
        <v>7.9899999999999999E-2</v>
      </c>
      <c r="N2305" s="3">
        <f t="shared" si="175"/>
        <v>430.99</v>
      </c>
      <c r="O2305" s="3">
        <f t="shared" si="176"/>
        <v>396.55</v>
      </c>
      <c r="P2305" s="3">
        <f t="shared" si="177"/>
        <v>198.23</v>
      </c>
      <c r="Q2305" s="3">
        <f t="shared" si="178"/>
        <v>198.32</v>
      </c>
      <c r="R2305" s="4">
        <f t="shared" si="179"/>
        <v>0.50009999999999999</v>
      </c>
      <c r="S2305" s="2">
        <v>14</v>
      </c>
      <c r="T2305" t="s">
        <v>30</v>
      </c>
      <c r="U2305">
        <v>4</v>
      </c>
    </row>
    <row r="2306" spans="1:21" x14ac:dyDescent="0.25">
      <c r="A2306" s="1">
        <v>46166</v>
      </c>
      <c r="B2306" t="s">
        <v>2495</v>
      </c>
      <c r="C2306" t="s">
        <v>231</v>
      </c>
      <c r="D2306" t="s">
        <v>34</v>
      </c>
      <c r="E2306" t="s">
        <v>35</v>
      </c>
      <c r="F2306" t="s">
        <v>64</v>
      </c>
      <c r="G2306" t="s">
        <v>51</v>
      </c>
      <c r="H2306" t="s">
        <v>116</v>
      </c>
      <c r="I2306" t="s">
        <v>77</v>
      </c>
      <c r="J2306" s="2">
        <v>8</v>
      </c>
      <c r="K2306" s="3">
        <v>2798.83</v>
      </c>
      <c r="L2306" s="3">
        <v>1892.47</v>
      </c>
      <c r="M2306" s="4">
        <v>0</v>
      </c>
      <c r="N2306" s="3">
        <f t="shared" ref="N2306:N2369" si="180">ROUND(J2306*K2306,2)</f>
        <v>22390.639999999999</v>
      </c>
      <c r="O2306" s="3">
        <f t="shared" ref="O2306:O2369" si="181">ROUND(N2306*(1-M2306),2)</f>
        <v>22390.639999999999</v>
      </c>
      <c r="P2306" s="3">
        <f t="shared" ref="P2306:P2369" si="182">ROUND(J2306*L2306,2)</f>
        <v>15139.76</v>
      </c>
      <c r="Q2306" s="3">
        <f t="shared" ref="Q2306:Q2369" si="183">ROUND(O2306-P2306,2)</f>
        <v>7250.88</v>
      </c>
      <c r="R2306" s="4">
        <f t="shared" ref="R2306:R2369" si="184">IF(O2306=0,0,ROUND(Q2306/O2306,4))</f>
        <v>0.32379999999999998</v>
      </c>
      <c r="S2306" s="2">
        <v>4</v>
      </c>
      <c r="T2306" t="s">
        <v>46</v>
      </c>
      <c r="U2306">
        <v>2</v>
      </c>
    </row>
    <row r="2307" spans="1:21" x14ac:dyDescent="0.25">
      <c r="A2307" s="1">
        <v>46149</v>
      </c>
      <c r="B2307" t="s">
        <v>2496</v>
      </c>
      <c r="C2307" t="s">
        <v>294</v>
      </c>
      <c r="D2307" t="s">
        <v>97</v>
      </c>
      <c r="E2307" t="s">
        <v>57</v>
      </c>
      <c r="F2307" t="s">
        <v>58</v>
      </c>
      <c r="G2307" t="s">
        <v>27</v>
      </c>
      <c r="H2307" t="s">
        <v>28</v>
      </c>
      <c r="I2307" t="s">
        <v>60</v>
      </c>
      <c r="J2307" s="2">
        <v>4</v>
      </c>
      <c r="K2307" s="3">
        <v>765.71</v>
      </c>
      <c r="L2307" s="3">
        <v>444.61</v>
      </c>
      <c r="M2307" s="4">
        <v>0.15110000000000001</v>
      </c>
      <c r="N2307" s="3">
        <f t="shared" si="180"/>
        <v>3062.84</v>
      </c>
      <c r="O2307" s="3">
        <f t="shared" si="181"/>
        <v>2600.04</v>
      </c>
      <c r="P2307" s="3">
        <f t="shared" si="182"/>
        <v>1778.44</v>
      </c>
      <c r="Q2307" s="3">
        <f t="shared" si="183"/>
        <v>821.6</v>
      </c>
      <c r="R2307" s="4">
        <f t="shared" si="184"/>
        <v>0.316</v>
      </c>
      <c r="S2307" s="2">
        <v>11</v>
      </c>
      <c r="T2307" t="s">
        <v>30</v>
      </c>
      <c r="U2307">
        <v>3</v>
      </c>
    </row>
    <row r="2308" spans="1:21" x14ac:dyDescent="0.25">
      <c r="A2308" s="1">
        <v>46126</v>
      </c>
      <c r="B2308" t="s">
        <v>2497</v>
      </c>
      <c r="C2308" t="s">
        <v>260</v>
      </c>
      <c r="D2308" t="s">
        <v>130</v>
      </c>
      <c r="E2308" t="s">
        <v>72</v>
      </c>
      <c r="F2308" t="s">
        <v>58</v>
      </c>
      <c r="G2308" t="s">
        <v>44</v>
      </c>
      <c r="H2308" t="s">
        <v>124</v>
      </c>
      <c r="I2308" t="s">
        <v>74</v>
      </c>
      <c r="J2308" s="2">
        <v>2</v>
      </c>
      <c r="K2308" s="3">
        <v>5895.71</v>
      </c>
      <c r="L2308" s="3">
        <v>4524.09</v>
      </c>
      <c r="M2308" s="4">
        <v>3.5000000000000003E-2</v>
      </c>
      <c r="N2308" s="3">
        <f t="shared" si="180"/>
        <v>11791.42</v>
      </c>
      <c r="O2308" s="3">
        <f t="shared" si="181"/>
        <v>11378.72</v>
      </c>
      <c r="P2308" s="3">
        <f t="shared" si="182"/>
        <v>9048.18</v>
      </c>
      <c r="Q2308" s="3">
        <f t="shared" si="183"/>
        <v>2330.54</v>
      </c>
      <c r="R2308" s="4">
        <f t="shared" si="184"/>
        <v>0.20480000000000001</v>
      </c>
      <c r="S2308" s="2">
        <v>4</v>
      </c>
      <c r="T2308" t="s">
        <v>46</v>
      </c>
      <c r="U2308">
        <v>4</v>
      </c>
    </row>
    <row r="2309" spans="1:21" x14ac:dyDescent="0.25">
      <c r="A2309" s="1">
        <v>46136</v>
      </c>
      <c r="B2309" t="s">
        <v>2498</v>
      </c>
      <c r="C2309" t="s">
        <v>166</v>
      </c>
      <c r="D2309" t="s">
        <v>113</v>
      </c>
      <c r="E2309" t="s">
        <v>50</v>
      </c>
      <c r="F2309" t="s">
        <v>58</v>
      </c>
      <c r="G2309" t="s">
        <v>37</v>
      </c>
      <c r="H2309" t="s">
        <v>38</v>
      </c>
      <c r="I2309" t="s">
        <v>87</v>
      </c>
      <c r="J2309" s="2">
        <v>4</v>
      </c>
      <c r="K2309" s="3">
        <v>453.62</v>
      </c>
      <c r="L2309" s="3">
        <v>186.25</v>
      </c>
      <c r="M2309" s="4">
        <v>0.1648</v>
      </c>
      <c r="N2309" s="3">
        <f t="shared" si="180"/>
        <v>1814.48</v>
      </c>
      <c r="O2309" s="3">
        <f t="shared" si="181"/>
        <v>1515.45</v>
      </c>
      <c r="P2309" s="3">
        <f t="shared" si="182"/>
        <v>745</v>
      </c>
      <c r="Q2309" s="3">
        <f t="shared" si="183"/>
        <v>770.45</v>
      </c>
      <c r="R2309" s="4">
        <f t="shared" si="184"/>
        <v>0.50839999999999996</v>
      </c>
      <c r="S2309" s="2">
        <v>9</v>
      </c>
      <c r="T2309" t="s">
        <v>46</v>
      </c>
      <c r="U2309">
        <v>5</v>
      </c>
    </row>
    <row r="2310" spans="1:21" x14ac:dyDescent="0.25">
      <c r="A2310" s="1">
        <v>46045</v>
      </c>
      <c r="B2310" t="s">
        <v>2499</v>
      </c>
      <c r="C2310" t="s">
        <v>275</v>
      </c>
      <c r="D2310" t="s">
        <v>97</v>
      </c>
      <c r="E2310" t="s">
        <v>57</v>
      </c>
      <c r="F2310" t="s">
        <v>26</v>
      </c>
      <c r="G2310" t="s">
        <v>37</v>
      </c>
      <c r="H2310" t="s">
        <v>104</v>
      </c>
      <c r="I2310" t="s">
        <v>65</v>
      </c>
      <c r="J2310" s="2">
        <v>8</v>
      </c>
      <c r="K2310" s="3">
        <v>327.24</v>
      </c>
      <c r="L2310" s="3">
        <v>133.27000000000001</v>
      </c>
      <c r="M2310" s="4">
        <v>0</v>
      </c>
      <c r="N2310" s="3">
        <f t="shared" si="180"/>
        <v>2617.92</v>
      </c>
      <c r="O2310" s="3">
        <f t="shared" si="181"/>
        <v>2617.92</v>
      </c>
      <c r="P2310" s="3">
        <f t="shared" si="182"/>
        <v>1066.1600000000001</v>
      </c>
      <c r="Q2310" s="3">
        <f t="shared" si="183"/>
        <v>1551.76</v>
      </c>
      <c r="R2310" s="4">
        <f t="shared" si="184"/>
        <v>0.5927</v>
      </c>
      <c r="S2310" s="2">
        <v>5</v>
      </c>
      <c r="T2310" t="s">
        <v>46</v>
      </c>
      <c r="U2310">
        <v>4</v>
      </c>
    </row>
    <row r="2311" spans="1:21" x14ac:dyDescent="0.25">
      <c r="A2311" s="1">
        <v>46181</v>
      </c>
      <c r="B2311" t="s">
        <v>2500</v>
      </c>
      <c r="C2311" t="s">
        <v>190</v>
      </c>
      <c r="D2311" t="s">
        <v>71</v>
      </c>
      <c r="E2311" t="s">
        <v>72</v>
      </c>
      <c r="F2311" t="s">
        <v>64</v>
      </c>
      <c r="G2311" t="s">
        <v>51</v>
      </c>
      <c r="H2311" t="s">
        <v>116</v>
      </c>
      <c r="I2311" t="s">
        <v>77</v>
      </c>
      <c r="J2311" s="2">
        <v>8</v>
      </c>
      <c r="K2311" s="3">
        <v>2898.41</v>
      </c>
      <c r="L2311" s="3">
        <v>1915.38</v>
      </c>
      <c r="M2311" s="4">
        <v>0</v>
      </c>
      <c r="N2311" s="3">
        <f t="shared" si="180"/>
        <v>23187.279999999999</v>
      </c>
      <c r="O2311" s="3">
        <f t="shared" si="181"/>
        <v>23187.279999999999</v>
      </c>
      <c r="P2311" s="3">
        <f t="shared" si="182"/>
        <v>15323.04</v>
      </c>
      <c r="Q2311" s="3">
        <f t="shared" si="183"/>
        <v>7864.24</v>
      </c>
      <c r="R2311" s="4">
        <f t="shared" si="184"/>
        <v>0.3392</v>
      </c>
      <c r="S2311" s="2">
        <v>8</v>
      </c>
      <c r="T2311" t="s">
        <v>46</v>
      </c>
      <c r="U2311">
        <v>5</v>
      </c>
    </row>
    <row r="2312" spans="1:21" x14ac:dyDescent="0.25">
      <c r="A2312" s="1">
        <v>46104</v>
      </c>
      <c r="B2312" t="s">
        <v>2501</v>
      </c>
      <c r="C2312" t="s">
        <v>33</v>
      </c>
      <c r="D2312" t="s">
        <v>56</v>
      </c>
      <c r="E2312" t="s">
        <v>57</v>
      </c>
      <c r="F2312" t="s">
        <v>58</v>
      </c>
      <c r="G2312" t="s">
        <v>44</v>
      </c>
      <c r="H2312" t="s">
        <v>73</v>
      </c>
      <c r="I2312" t="s">
        <v>77</v>
      </c>
      <c r="J2312" s="2">
        <v>8</v>
      </c>
      <c r="K2312" s="3">
        <v>1624.07</v>
      </c>
      <c r="L2312" s="3">
        <v>1123.02</v>
      </c>
      <c r="M2312" s="4">
        <v>3.5000000000000003E-2</v>
      </c>
      <c r="N2312" s="3">
        <f t="shared" si="180"/>
        <v>12992.56</v>
      </c>
      <c r="O2312" s="3">
        <f t="shared" si="181"/>
        <v>12537.82</v>
      </c>
      <c r="P2312" s="3">
        <f t="shared" si="182"/>
        <v>8984.16</v>
      </c>
      <c r="Q2312" s="3">
        <f t="shared" si="183"/>
        <v>3553.66</v>
      </c>
      <c r="R2312" s="4">
        <f t="shared" si="184"/>
        <v>0.28339999999999999</v>
      </c>
      <c r="S2312" s="2">
        <v>6</v>
      </c>
      <c r="T2312" t="s">
        <v>46</v>
      </c>
      <c r="U2312">
        <v>4</v>
      </c>
    </row>
    <row r="2313" spans="1:21" x14ac:dyDescent="0.25">
      <c r="A2313" s="1">
        <v>46052</v>
      </c>
      <c r="B2313" t="s">
        <v>2502</v>
      </c>
      <c r="C2313" t="s">
        <v>23</v>
      </c>
      <c r="D2313" t="s">
        <v>101</v>
      </c>
      <c r="E2313" t="s">
        <v>35</v>
      </c>
      <c r="F2313" t="s">
        <v>36</v>
      </c>
      <c r="G2313" t="s">
        <v>27</v>
      </c>
      <c r="H2313" t="s">
        <v>86</v>
      </c>
      <c r="I2313" t="s">
        <v>77</v>
      </c>
      <c r="J2313" s="2">
        <v>1</v>
      </c>
      <c r="K2313" s="3">
        <v>1985.07</v>
      </c>
      <c r="L2313" s="3">
        <v>1235.83</v>
      </c>
      <c r="M2313" s="4">
        <v>3.27E-2</v>
      </c>
      <c r="N2313" s="3">
        <f t="shared" si="180"/>
        <v>1985.07</v>
      </c>
      <c r="O2313" s="3">
        <f t="shared" si="181"/>
        <v>1920.16</v>
      </c>
      <c r="P2313" s="3">
        <f t="shared" si="182"/>
        <v>1235.83</v>
      </c>
      <c r="Q2313" s="3">
        <f t="shared" si="183"/>
        <v>684.33</v>
      </c>
      <c r="R2313" s="4">
        <f t="shared" si="184"/>
        <v>0.35639999999999999</v>
      </c>
      <c r="S2313" s="2">
        <v>9</v>
      </c>
      <c r="T2313" t="s">
        <v>46</v>
      </c>
      <c r="U2313">
        <v>3</v>
      </c>
    </row>
    <row r="2314" spans="1:21" x14ac:dyDescent="0.25">
      <c r="A2314" s="1">
        <v>46178</v>
      </c>
      <c r="B2314" t="s">
        <v>2503</v>
      </c>
      <c r="C2314" t="s">
        <v>206</v>
      </c>
      <c r="D2314" t="s">
        <v>207</v>
      </c>
      <c r="E2314" t="s">
        <v>35</v>
      </c>
      <c r="F2314" t="s">
        <v>64</v>
      </c>
      <c r="G2314" t="s">
        <v>51</v>
      </c>
      <c r="H2314" t="s">
        <v>116</v>
      </c>
      <c r="I2314" t="s">
        <v>29</v>
      </c>
      <c r="J2314" s="2">
        <v>7</v>
      </c>
      <c r="K2314" s="3">
        <v>2693.19</v>
      </c>
      <c r="L2314" s="3">
        <v>1892.28</v>
      </c>
      <c r="M2314" s="4">
        <v>2.6200000000000001E-2</v>
      </c>
      <c r="N2314" s="3">
        <f t="shared" si="180"/>
        <v>18852.330000000002</v>
      </c>
      <c r="O2314" s="3">
        <f t="shared" si="181"/>
        <v>18358.400000000001</v>
      </c>
      <c r="P2314" s="3">
        <f t="shared" si="182"/>
        <v>13245.96</v>
      </c>
      <c r="Q2314" s="3">
        <f t="shared" si="183"/>
        <v>5112.4399999999996</v>
      </c>
      <c r="R2314" s="4">
        <f t="shared" si="184"/>
        <v>0.27850000000000003</v>
      </c>
      <c r="S2314" s="2">
        <v>11</v>
      </c>
      <c r="T2314" t="s">
        <v>30</v>
      </c>
      <c r="U2314">
        <v>4</v>
      </c>
    </row>
    <row r="2315" spans="1:21" x14ac:dyDescent="0.25">
      <c r="A2315" s="1">
        <v>46167</v>
      </c>
      <c r="B2315" t="s">
        <v>2504</v>
      </c>
      <c r="C2315" t="s">
        <v>523</v>
      </c>
      <c r="D2315" t="s">
        <v>113</v>
      </c>
      <c r="E2315" t="s">
        <v>50</v>
      </c>
      <c r="F2315" t="s">
        <v>58</v>
      </c>
      <c r="G2315" t="s">
        <v>27</v>
      </c>
      <c r="H2315" t="s">
        <v>28</v>
      </c>
      <c r="I2315" t="s">
        <v>53</v>
      </c>
      <c r="J2315" s="2">
        <v>5</v>
      </c>
      <c r="K2315" s="3">
        <v>770.63</v>
      </c>
      <c r="L2315" s="3">
        <v>455.42</v>
      </c>
      <c r="M2315" s="4">
        <v>8.4099999999999994E-2</v>
      </c>
      <c r="N2315" s="3">
        <f t="shared" si="180"/>
        <v>3853.15</v>
      </c>
      <c r="O2315" s="3">
        <f t="shared" si="181"/>
        <v>3529.1</v>
      </c>
      <c r="P2315" s="3">
        <f t="shared" si="182"/>
        <v>2277.1</v>
      </c>
      <c r="Q2315" s="3">
        <f t="shared" si="183"/>
        <v>1252</v>
      </c>
      <c r="R2315" s="4">
        <f t="shared" si="184"/>
        <v>0.3548</v>
      </c>
      <c r="S2315" s="2">
        <v>2</v>
      </c>
      <c r="T2315" t="s">
        <v>46</v>
      </c>
      <c r="U2315">
        <v>2</v>
      </c>
    </row>
    <row r="2316" spans="1:21" x14ac:dyDescent="0.25">
      <c r="A2316" s="1">
        <v>46060</v>
      </c>
      <c r="B2316" t="s">
        <v>2505</v>
      </c>
      <c r="C2316" t="s">
        <v>466</v>
      </c>
      <c r="D2316" t="s">
        <v>207</v>
      </c>
      <c r="E2316" t="s">
        <v>35</v>
      </c>
      <c r="F2316" t="s">
        <v>36</v>
      </c>
      <c r="G2316" t="s">
        <v>37</v>
      </c>
      <c r="H2316" t="s">
        <v>38</v>
      </c>
      <c r="I2316" t="s">
        <v>65</v>
      </c>
      <c r="J2316" s="2">
        <v>7</v>
      </c>
      <c r="K2316" s="3">
        <v>411.64</v>
      </c>
      <c r="L2316" s="3">
        <v>183.51</v>
      </c>
      <c r="M2316" s="4">
        <v>0</v>
      </c>
      <c r="N2316" s="3">
        <f t="shared" si="180"/>
        <v>2881.48</v>
      </c>
      <c r="O2316" s="3">
        <f t="shared" si="181"/>
        <v>2881.48</v>
      </c>
      <c r="P2316" s="3">
        <f t="shared" si="182"/>
        <v>1284.57</v>
      </c>
      <c r="Q2316" s="3">
        <f t="shared" si="183"/>
        <v>1596.91</v>
      </c>
      <c r="R2316" s="4">
        <f t="shared" si="184"/>
        <v>0.55420000000000003</v>
      </c>
      <c r="S2316" s="2">
        <v>10</v>
      </c>
      <c r="T2316" t="s">
        <v>46</v>
      </c>
      <c r="U2316">
        <v>3</v>
      </c>
    </row>
    <row r="2317" spans="1:21" x14ac:dyDescent="0.25">
      <c r="A2317" s="1">
        <v>46151</v>
      </c>
      <c r="B2317" t="s">
        <v>2506</v>
      </c>
      <c r="C2317" t="s">
        <v>106</v>
      </c>
      <c r="D2317" t="s">
        <v>121</v>
      </c>
      <c r="E2317" t="s">
        <v>72</v>
      </c>
      <c r="F2317" t="s">
        <v>26</v>
      </c>
      <c r="G2317" t="s">
        <v>27</v>
      </c>
      <c r="H2317" t="s">
        <v>28</v>
      </c>
      <c r="I2317" t="s">
        <v>77</v>
      </c>
      <c r="J2317" s="2">
        <v>3</v>
      </c>
      <c r="K2317" s="3">
        <v>808.37</v>
      </c>
      <c r="L2317" s="3">
        <v>454.79</v>
      </c>
      <c r="M2317" s="4">
        <v>0</v>
      </c>
      <c r="N2317" s="3">
        <f t="shared" si="180"/>
        <v>2425.11</v>
      </c>
      <c r="O2317" s="3">
        <f t="shared" si="181"/>
        <v>2425.11</v>
      </c>
      <c r="P2317" s="3">
        <f t="shared" si="182"/>
        <v>1364.37</v>
      </c>
      <c r="Q2317" s="3">
        <f t="shared" si="183"/>
        <v>1060.74</v>
      </c>
      <c r="R2317" s="4">
        <f t="shared" si="184"/>
        <v>0.43740000000000001</v>
      </c>
      <c r="S2317" s="2">
        <v>7</v>
      </c>
      <c r="T2317" t="s">
        <v>46</v>
      </c>
      <c r="U2317">
        <v>3</v>
      </c>
    </row>
    <row r="2318" spans="1:21" x14ac:dyDescent="0.25">
      <c r="A2318" s="1">
        <v>46203</v>
      </c>
      <c r="B2318" t="s">
        <v>2507</v>
      </c>
      <c r="C2318" t="s">
        <v>166</v>
      </c>
      <c r="D2318" t="s">
        <v>207</v>
      </c>
      <c r="E2318" t="s">
        <v>35</v>
      </c>
      <c r="F2318" t="s">
        <v>26</v>
      </c>
      <c r="G2318" t="s">
        <v>37</v>
      </c>
      <c r="H2318" t="s">
        <v>178</v>
      </c>
      <c r="I2318" t="s">
        <v>74</v>
      </c>
      <c r="J2318" s="2">
        <v>2</v>
      </c>
      <c r="K2318" s="3">
        <v>514.75</v>
      </c>
      <c r="L2318" s="3">
        <v>236.49</v>
      </c>
      <c r="M2318" s="4">
        <v>5.4999999999999997E-3</v>
      </c>
      <c r="N2318" s="3">
        <f t="shared" si="180"/>
        <v>1029.5</v>
      </c>
      <c r="O2318" s="3">
        <f t="shared" si="181"/>
        <v>1023.84</v>
      </c>
      <c r="P2318" s="3">
        <f t="shared" si="182"/>
        <v>472.98</v>
      </c>
      <c r="Q2318" s="3">
        <f t="shared" si="183"/>
        <v>550.86</v>
      </c>
      <c r="R2318" s="4">
        <f t="shared" si="184"/>
        <v>0.53800000000000003</v>
      </c>
      <c r="S2318" s="2">
        <v>6</v>
      </c>
      <c r="T2318" t="s">
        <v>46</v>
      </c>
      <c r="U2318">
        <v>4</v>
      </c>
    </row>
    <row r="2319" spans="1:21" x14ac:dyDescent="0.25">
      <c r="A2319" s="1">
        <v>46163</v>
      </c>
      <c r="B2319" t="s">
        <v>2508</v>
      </c>
      <c r="C2319" t="s">
        <v>260</v>
      </c>
      <c r="D2319" t="s">
        <v>71</v>
      </c>
      <c r="E2319" t="s">
        <v>72</v>
      </c>
      <c r="F2319" t="s">
        <v>26</v>
      </c>
      <c r="G2319" t="s">
        <v>44</v>
      </c>
      <c r="H2319" t="s">
        <v>45</v>
      </c>
      <c r="I2319" t="s">
        <v>87</v>
      </c>
      <c r="J2319" s="2">
        <v>2</v>
      </c>
      <c r="K2319" s="3">
        <v>398.69</v>
      </c>
      <c r="L2319" s="3">
        <v>220.29</v>
      </c>
      <c r="M2319" s="4">
        <v>0.10059999999999999</v>
      </c>
      <c r="N2319" s="3">
        <f t="shared" si="180"/>
        <v>797.38</v>
      </c>
      <c r="O2319" s="3">
        <f t="shared" si="181"/>
        <v>717.16</v>
      </c>
      <c r="P2319" s="3">
        <f t="shared" si="182"/>
        <v>440.58</v>
      </c>
      <c r="Q2319" s="3">
        <f t="shared" si="183"/>
        <v>276.58</v>
      </c>
      <c r="R2319" s="4">
        <f t="shared" si="184"/>
        <v>0.38569999999999999</v>
      </c>
      <c r="S2319" s="2">
        <v>7</v>
      </c>
      <c r="T2319" t="s">
        <v>46</v>
      </c>
      <c r="U2319">
        <v>3</v>
      </c>
    </row>
    <row r="2320" spans="1:21" x14ac:dyDescent="0.25">
      <c r="A2320" s="1">
        <v>46158</v>
      </c>
      <c r="B2320" t="s">
        <v>2509</v>
      </c>
      <c r="C2320" t="s">
        <v>266</v>
      </c>
      <c r="D2320" t="s">
        <v>130</v>
      </c>
      <c r="E2320" t="s">
        <v>72</v>
      </c>
      <c r="F2320" t="s">
        <v>26</v>
      </c>
      <c r="G2320" t="s">
        <v>44</v>
      </c>
      <c r="H2320" t="s">
        <v>73</v>
      </c>
      <c r="I2320" t="s">
        <v>77</v>
      </c>
      <c r="J2320" s="2">
        <v>3</v>
      </c>
      <c r="K2320" s="3">
        <v>1681.29</v>
      </c>
      <c r="L2320" s="3">
        <v>1079.8800000000001</v>
      </c>
      <c r="M2320" s="4">
        <v>0</v>
      </c>
      <c r="N2320" s="3">
        <f t="shared" si="180"/>
        <v>5043.87</v>
      </c>
      <c r="O2320" s="3">
        <f t="shared" si="181"/>
        <v>5043.87</v>
      </c>
      <c r="P2320" s="3">
        <f t="shared" si="182"/>
        <v>3239.64</v>
      </c>
      <c r="Q2320" s="3">
        <f t="shared" si="183"/>
        <v>1804.23</v>
      </c>
      <c r="R2320" s="4">
        <f t="shared" si="184"/>
        <v>0.35770000000000002</v>
      </c>
      <c r="S2320" s="2">
        <v>12</v>
      </c>
      <c r="T2320" t="s">
        <v>30</v>
      </c>
      <c r="U2320">
        <v>3</v>
      </c>
    </row>
    <row r="2321" spans="1:22" x14ac:dyDescent="0.25">
      <c r="A2321" s="1">
        <v>46145</v>
      </c>
      <c r="B2321" t="s">
        <v>2510</v>
      </c>
      <c r="C2321" t="s">
        <v>70</v>
      </c>
      <c r="D2321" t="s">
        <v>101</v>
      </c>
      <c r="E2321" t="s">
        <v>35</v>
      </c>
      <c r="F2321" t="s">
        <v>64</v>
      </c>
      <c r="G2321" t="s">
        <v>37</v>
      </c>
      <c r="H2321" t="s">
        <v>178</v>
      </c>
      <c r="I2321" t="s">
        <v>74</v>
      </c>
      <c r="J2321" s="2">
        <v>8</v>
      </c>
      <c r="K2321" s="3">
        <v>484.91</v>
      </c>
      <c r="L2321" s="3">
        <v>237.13</v>
      </c>
      <c r="M2321" s="4">
        <v>0</v>
      </c>
      <c r="N2321" s="3">
        <f t="shared" si="180"/>
        <v>3879.28</v>
      </c>
      <c r="O2321" s="3">
        <f t="shared" si="181"/>
        <v>3879.28</v>
      </c>
      <c r="P2321" s="3">
        <f t="shared" si="182"/>
        <v>1897.04</v>
      </c>
      <c r="Q2321" s="3">
        <f t="shared" si="183"/>
        <v>1982.24</v>
      </c>
      <c r="R2321" s="4">
        <f t="shared" si="184"/>
        <v>0.51100000000000001</v>
      </c>
      <c r="S2321" s="2">
        <v>6</v>
      </c>
      <c r="T2321" t="s">
        <v>46</v>
      </c>
      <c r="U2321">
        <v>2</v>
      </c>
    </row>
    <row r="2322" spans="1:22" x14ac:dyDescent="0.25">
      <c r="A2322" s="1">
        <v>46164</v>
      </c>
      <c r="B2322" t="s">
        <v>2511</v>
      </c>
      <c r="C2322" t="s">
        <v>134</v>
      </c>
      <c r="D2322" t="s">
        <v>130</v>
      </c>
      <c r="E2322" t="s">
        <v>72</v>
      </c>
      <c r="F2322" t="s">
        <v>58</v>
      </c>
      <c r="G2322" t="s">
        <v>27</v>
      </c>
      <c r="H2322" t="s">
        <v>68</v>
      </c>
      <c r="I2322" t="s">
        <v>65</v>
      </c>
      <c r="J2322" s="2">
        <v>4</v>
      </c>
      <c r="K2322" s="3">
        <v>1352.22</v>
      </c>
      <c r="L2322" s="3">
        <v>790.48</v>
      </c>
      <c r="M2322" s="4">
        <v>3.5000000000000003E-2</v>
      </c>
      <c r="N2322" s="3">
        <f t="shared" si="180"/>
        <v>5408.88</v>
      </c>
      <c r="O2322" s="3">
        <f t="shared" si="181"/>
        <v>5219.57</v>
      </c>
      <c r="P2322" s="3">
        <f t="shared" si="182"/>
        <v>3161.92</v>
      </c>
      <c r="Q2322" s="3">
        <f t="shared" si="183"/>
        <v>2057.65</v>
      </c>
      <c r="R2322" s="4">
        <f t="shared" si="184"/>
        <v>0.39419999999999999</v>
      </c>
      <c r="S2322" s="2">
        <v>10</v>
      </c>
      <c r="T2322" t="s">
        <v>46</v>
      </c>
      <c r="U2322">
        <v>5</v>
      </c>
    </row>
    <row r="2323" spans="1:22" x14ac:dyDescent="0.25">
      <c r="A2323" s="1">
        <v>46091</v>
      </c>
      <c r="B2323" t="s">
        <v>2512</v>
      </c>
      <c r="C2323" t="s">
        <v>253</v>
      </c>
      <c r="D2323" t="s">
        <v>121</v>
      </c>
      <c r="E2323" t="s">
        <v>72</v>
      </c>
      <c r="F2323" t="s">
        <v>58</v>
      </c>
      <c r="G2323" t="s">
        <v>44</v>
      </c>
      <c r="H2323" t="s">
        <v>73</v>
      </c>
      <c r="I2323" t="s">
        <v>77</v>
      </c>
      <c r="J2323" s="2">
        <v>5</v>
      </c>
      <c r="K2323" s="3">
        <v>1641.95</v>
      </c>
      <c r="L2323" s="3">
        <v>1812.1</v>
      </c>
      <c r="M2323" s="4">
        <v>0.14430000000000001</v>
      </c>
      <c r="N2323" s="3">
        <f t="shared" si="180"/>
        <v>8209.75</v>
      </c>
      <c r="O2323" s="3">
        <f t="shared" si="181"/>
        <v>7025.08</v>
      </c>
      <c r="P2323" s="3">
        <f t="shared" si="182"/>
        <v>9060.5</v>
      </c>
      <c r="Q2323" s="3">
        <f t="shared" si="183"/>
        <v>-2035.42</v>
      </c>
      <c r="R2323" s="4">
        <f t="shared" si="184"/>
        <v>-0.28970000000000001</v>
      </c>
      <c r="S2323" s="2">
        <v>9</v>
      </c>
      <c r="T2323" t="s">
        <v>46</v>
      </c>
      <c r="U2323">
        <v>2</v>
      </c>
      <c r="V2323" t="s">
        <v>388</v>
      </c>
    </row>
    <row r="2324" spans="1:22" x14ac:dyDescent="0.25">
      <c r="A2324" s="1">
        <v>46162</v>
      </c>
      <c r="B2324" t="s">
        <v>2513</v>
      </c>
      <c r="C2324" t="s">
        <v>184</v>
      </c>
      <c r="D2324" t="s">
        <v>56</v>
      </c>
      <c r="E2324" t="s">
        <v>57</v>
      </c>
      <c r="F2324" t="s">
        <v>36</v>
      </c>
      <c r="G2324" t="s">
        <v>37</v>
      </c>
      <c r="H2324" t="s">
        <v>104</v>
      </c>
      <c r="I2324" t="s">
        <v>65</v>
      </c>
      <c r="J2324" s="2">
        <v>2</v>
      </c>
      <c r="K2324" s="3">
        <v>329.08</v>
      </c>
      <c r="L2324" s="3">
        <v>138.97</v>
      </c>
      <c r="M2324" s="4">
        <v>0.10440000000000001</v>
      </c>
      <c r="N2324" s="3">
        <f t="shared" si="180"/>
        <v>658.16</v>
      </c>
      <c r="O2324" s="3">
        <f t="shared" si="181"/>
        <v>589.45000000000005</v>
      </c>
      <c r="P2324" s="3">
        <f t="shared" si="182"/>
        <v>277.94</v>
      </c>
      <c r="Q2324" s="3">
        <f t="shared" si="183"/>
        <v>311.51</v>
      </c>
      <c r="R2324" s="4">
        <f t="shared" si="184"/>
        <v>0.52849999999999997</v>
      </c>
      <c r="S2324" s="2">
        <v>12</v>
      </c>
      <c r="T2324" t="s">
        <v>30</v>
      </c>
      <c r="U2324">
        <v>3</v>
      </c>
    </row>
    <row r="2325" spans="1:22" x14ac:dyDescent="0.25">
      <c r="A2325" s="1">
        <v>46208</v>
      </c>
      <c r="B2325" t="s">
        <v>2514</v>
      </c>
      <c r="C2325" t="s">
        <v>266</v>
      </c>
      <c r="D2325" t="s">
        <v>71</v>
      </c>
      <c r="E2325" t="s">
        <v>72</v>
      </c>
      <c r="F2325" t="s">
        <v>64</v>
      </c>
      <c r="G2325" t="s">
        <v>44</v>
      </c>
      <c r="H2325" t="s">
        <v>45</v>
      </c>
      <c r="I2325" t="s">
        <v>60</v>
      </c>
      <c r="J2325" s="2">
        <v>8</v>
      </c>
      <c r="K2325" s="3">
        <v>387.69</v>
      </c>
      <c r="L2325" s="3">
        <v>212.67</v>
      </c>
      <c r="M2325" s="4">
        <v>7.5499999999999998E-2</v>
      </c>
      <c r="N2325" s="3">
        <f t="shared" si="180"/>
        <v>3101.52</v>
      </c>
      <c r="O2325" s="3">
        <f t="shared" si="181"/>
        <v>2867.36</v>
      </c>
      <c r="P2325" s="3">
        <f t="shared" si="182"/>
        <v>1701.36</v>
      </c>
      <c r="Q2325" s="3">
        <f t="shared" si="183"/>
        <v>1166</v>
      </c>
      <c r="R2325" s="4">
        <f t="shared" si="184"/>
        <v>0.40660000000000002</v>
      </c>
      <c r="S2325" s="2">
        <v>11</v>
      </c>
      <c r="T2325" t="s">
        <v>40</v>
      </c>
    </row>
    <row r="2326" spans="1:22" x14ac:dyDescent="0.25">
      <c r="A2326" s="1">
        <v>46050</v>
      </c>
      <c r="B2326" t="s">
        <v>2515</v>
      </c>
      <c r="C2326" t="s">
        <v>381</v>
      </c>
      <c r="D2326" t="s">
        <v>97</v>
      </c>
      <c r="E2326" t="s">
        <v>57</v>
      </c>
      <c r="F2326" t="s">
        <v>64</v>
      </c>
      <c r="G2326" t="s">
        <v>51</v>
      </c>
      <c r="H2326" t="s">
        <v>59</v>
      </c>
      <c r="I2326" t="s">
        <v>87</v>
      </c>
      <c r="J2326" s="2">
        <v>2</v>
      </c>
      <c r="K2326" s="3">
        <v>2098.88</v>
      </c>
      <c r="L2326" s="3">
        <v>1468.63</v>
      </c>
      <c r="M2326" s="4">
        <v>8.3099999999999993E-2</v>
      </c>
      <c r="N2326" s="3">
        <f t="shared" si="180"/>
        <v>4197.76</v>
      </c>
      <c r="O2326" s="3">
        <f t="shared" si="181"/>
        <v>3848.93</v>
      </c>
      <c r="P2326" s="3">
        <f t="shared" si="182"/>
        <v>2937.26</v>
      </c>
      <c r="Q2326" s="3">
        <f t="shared" si="183"/>
        <v>911.67</v>
      </c>
      <c r="R2326" s="4">
        <f t="shared" si="184"/>
        <v>0.2369</v>
      </c>
      <c r="S2326" s="2">
        <v>3</v>
      </c>
      <c r="T2326" t="s">
        <v>46</v>
      </c>
      <c r="U2326">
        <v>4</v>
      </c>
    </row>
    <row r="2327" spans="1:22" x14ac:dyDescent="0.25">
      <c r="A2327" s="1">
        <v>46233</v>
      </c>
      <c r="B2327" t="s">
        <v>2516</v>
      </c>
      <c r="C2327" t="s">
        <v>356</v>
      </c>
      <c r="D2327" t="s">
        <v>63</v>
      </c>
      <c r="E2327" t="s">
        <v>35</v>
      </c>
      <c r="F2327" t="s">
        <v>36</v>
      </c>
      <c r="G2327" t="s">
        <v>44</v>
      </c>
      <c r="H2327" t="s">
        <v>124</v>
      </c>
      <c r="I2327" t="s">
        <v>77</v>
      </c>
      <c r="J2327" s="2">
        <v>4</v>
      </c>
      <c r="K2327" s="3">
        <v>5597.51</v>
      </c>
      <c r="L2327" s="3">
        <v>4351.5600000000004</v>
      </c>
      <c r="M2327" s="4">
        <v>0.12790000000000001</v>
      </c>
      <c r="N2327" s="3">
        <f t="shared" si="180"/>
        <v>22390.04</v>
      </c>
      <c r="O2327" s="3">
        <f t="shared" si="181"/>
        <v>19526.349999999999</v>
      </c>
      <c r="P2327" s="3">
        <f t="shared" si="182"/>
        <v>17406.240000000002</v>
      </c>
      <c r="Q2327" s="3">
        <f t="shared" si="183"/>
        <v>2120.11</v>
      </c>
      <c r="R2327" s="4">
        <f t="shared" si="184"/>
        <v>0.1086</v>
      </c>
      <c r="S2327" s="2">
        <v>6</v>
      </c>
      <c r="T2327" t="s">
        <v>46</v>
      </c>
      <c r="U2327">
        <v>4</v>
      </c>
    </row>
    <row r="2328" spans="1:22" x14ac:dyDescent="0.25">
      <c r="A2328" s="1">
        <v>46168</v>
      </c>
      <c r="B2328" t="s">
        <v>2517</v>
      </c>
      <c r="C2328" t="s">
        <v>172</v>
      </c>
      <c r="D2328" t="s">
        <v>113</v>
      </c>
      <c r="E2328" t="s">
        <v>50</v>
      </c>
      <c r="F2328" t="s">
        <v>26</v>
      </c>
      <c r="G2328" t="s">
        <v>44</v>
      </c>
      <c r="H2328" t="s">
        <v>45</v>
      </c>
      <c r="I2328" t="s">
        <v>94</v>
      </c>
      <c r="J2328" s="2">
        <v>2</v>
      </c>
      <c r="K2328" s="3">
        <v>370.4</v>
      </c>
      <c r="L2328" s="3">
        <v>213.26</v>
      </c>
      <c r="M2328" s="4">
        <v>0</v>
      </c>
      <c r="N2328" s="3">
        <f t="shared" si="180"/>
        <v>740.8</v>
      </c>
      <c r="O2328" s="3">
        <f t="shared" si="181"/>
        <v>740.8</v>
      </c>
      <c r="P2328" s="3">
        <f t="shared" si="182"/>
        <v>426.52</v>
      </c>
      <c r="Q2328" s="3">
        <f t="shared" si="183"/>
        <v>314.27999999999997</v>
      </c>
      <c r="R2328" s="4">
        <f t="shared" si="184"/>
        <v>0.42420000000000002</v>
      </c>
      <c r="S2328" s="2">
        <v>7</v>
      </c>
      <c r="T2328" t="s">
        <v>46</v>
      </c>
      <c r="U2328">
        <v>3</v>
      </c>
    </row>
    <row r="2329" spans="1:22" x14ac:dyDescent="0.25">
      <c r="A2329" s="1">
        <v>46144</v>
      </c>
      <c r="B2329" t="s">
        <v>2518</v>
      </c>
      <c r="C2329" t="s">
        <v>349</v>
      </c>
      <c r="D2329" t="s">
        <v>130</v>
      </c>
      <c r="E2329" t="s">
        <v>72</v>
      </c>
      <c r="F2329" t="s">
        <v>58</v>
      </c>
      <c r="G2329" t="s">
        <v>27</v>
      </c>
      <c r="H2329" t="s">
        <v>86</v>
      </c>
      <c r="I2329" t="s">
        <v>92</v>
      </c>
      <c r="J2329" s="2">
        <v>3</v>
      </c>
      <c r="K2329" s="3">
        <v>1957.88</v>
      </c>
      <c r="L2329" s="3">
        <v>1199.54</v>
      </c>
      <c r="M2329" s="4">
        <v>3.5000000000000003E-2</v>
      </c>
      <c r="N2329" s="3">
        <f t="shared" si="180"/>
        <v>5873.64</v>
      </c>
      <c r="O2329" s="3">
        <f t="shared" si="181"/>
        <v>5668.06</v>
      </c>
      <c r="P2329" s="3">
        <f t="shared" si="182"/>
        <v>3598.62</v>
      </c>
      <c r="Q2329" s="3">
        <f t="shared" si="183"/>
        <v>2069.44</v>
      </c>
      <c r="R2329" s="4">
        <f t="shared" si="184"/>
        <v>0.36509999999999998</v>
      </c>
      <c r="S2329" s="2">
        <v>7</v>
      </c>
      <c r="T2329" t="s">
        <v>40</v>
      </c>
    </row>
    <row r="2330" spans="1:22" x14ac:dyDescent="0.25">
      <c r="A2330" s="1">
        <v>46053</v>
      </c>
      <c r="B2330" t="s">
        <v>2519</v>
      </c>
      <c r="C2330" t="s">
        <v>103</v>
      </c>
      <c r="D2330" t="s">
        <v>85</v>
      </c>
      <c r="E2330" t="s">
        <v>50</v>
      </c>
      <c r="F2330" t="s">
        <v>36</v>
      </c>
      <c r="G2330" t="s">
        <v>37</v>
      </c>
      <c r="H2330" t="s">
        <v>178</v>
      </c>
      <c r="I2330" t="s">
        <v>92</v>
      </c>
      <c r="J2330" s="2">
        <v>4</v>
      </c>
      <c r="K2330" s="3">
        <v>539.59</v>
      </c>
      <c r="L2330" s="3">
        <v>246.56</v>
      </c>
      <c r="M2330" s="4">
        <v>9.8000000000000004E-2</v>
      </c>
      <c r="N2330" s="3">
        <f t="shared" si="180"/>
        <v>2158.36</v>
      </c>
      <c r="O2330" s="3">
        <f t="shared" si="181"/>
        <v>1946.84</v>
      </c>
      <c r="P2330" s="3">
        <f t="shared" si="182"/>
        <v>986.24</v>
      </c>
      <c r="Q2330" s="3">
        <f t="shared" si="183"/>
        <v>960.6</v>
      </c>
      <c r="R2330" s="4">
        <f t="shared" si="184"/>
        <v>0.49340000000000001</v>
      </c>
      <c r="S2330" s="2">
        <v>6</v>
      </c>
      <c r="T2330" t="s">
        <v>46</v>
      </c>
      <c r="U2330">
        <v>4</v>
      </c>
    </row>
    <row r="2331" spans="1:22" x14ac:dyDescent="0.25">
      <c r="A2331" s="1">
        <v>46157</v>
      </c>
      <c r="B2331" t="s">
        <v>2520</v>
      </c>
      <c r="C2331" t="s">
        <v>464</v>
      </c>
      <c r="D2331" t="s">
        <v>49</v>
      </c>
      <c r="E2331" t="s">
        <v>50</v>
      </c>
      <c r="F2331" t="s">
        <v>36</v>
      </c>
      <c r="G2331" t="s">
        <v>51</v>
      </c>
      <c r="H2331" t="s">
        <v>59</v>
      </c>
      <c r="I2331" t="s">
        <v>65</v>
      </c>
      <c r="J2331" s="2">
        <v>7</v>
      </c>
      <c r="K2331" s="3">
        <v>2145.2800000000002</v>
      </c>
      <c r="L2331" s="3">
        <v>1359.73</v>
      </c>
      <c r="M2331" s="4">
        <v>8.5500000000000007E-2</v>
      </c>
      <c r="N2331" s="3">
        <f t="shared" si="180"/>
        <v>15016.96</v>
      </c>
      <c r="O2331" s="3">
        <f t="shared" si="181"/>
        <v>13733.01</v>
      </c>
      <c r="P2331" s="3">
        <f t="shared" si="182"/>
        <v>9518.11</v>
      </c>
      <c r="Q2331" s="3">
        <f t="shared" si="183"/>
        <v>4214.8999999999996</v>
      </c>
      <c r="R2331" s="4">
        <f t="shared" si="184"/>
        <v>0.30690000000000001</v>
      </c>
      <c r="S2331" s="2">
        <v>7</v>
      </c>
      <c r="T2331" t="s">
        <v>46</v>
      </c>
      <c r="U2331">
        <v>4</v>
      </c>
    </row>
    <row r="2332" spans="1:22" x14ac:dyDescent="0.25">
      <c r="A2332" s="1">
        <v>46106</v>
      </c>
      <c r="B2332" t="s">
        <v>2521</v>
      </c>
      <c r="C2332" t="s">
        <v>253</v>
      </c>
      <c r="D2332" t="s">
        <v>139</v>
      </c>
      <c r="E2332" t="s">
        <v>72</v>
      </c>
      <c r="F2332" t="s">
        <v>58</v>
      </c>
      <c r="G2332" t="s">
        <v>51</v>
      </c>
      <c r="H2332" t="s">
        <v>59</v>
      </c>
      <c r="I2332" t="s">
        <v>60</v>
      </c>
      <c r="J2332" s="2">
        <v>2</v>
      </c>
      <c r="K2332" s="3">
        <v>2320.3000000000002</v>
      </c>
      <c r="L2332" s="3">
        <v>1506.88</v>
      </c>
      <c r="M2332" s="4">
        <v>8.7400000000000005E-2</v>
      </c>
      <c r="N2332" s="3">
        <f t="shared" si="180"/>
        <v>4640.6000000000004</v>
      </c>
      <c r="O2332" s="3">
        <f t="shared" si="181"/>
        <v>4235.01</v>
      </c>
      <c r="P2332" s="3">
        <f t="shared" si="182"/>
        <v>3013.76</v>
      </c>
      <c r="Q2332" s="3">
        <f t="shared" si="183"/>
        <v>1221.25</v>
      </c>
      <c r="R2332" s="4">
        <f t="shared" si="184"/>
        <v>0.28839999999999999</v>
      </c>
      <c r="S2332" s="2">
        <v>10</v>
      </c>
      <c r="T2332" t="s">
        <v>46</v>
      </c>
      <c r="U2332">
        <v>3</v>
      </c>
    </row>
    <row r="2333" spans="1:22" x14ac:dyDescent="0.25">
      <c r="A2333" s="1">
        <v>46183</v>
      </c>
      <c r="B2333" t="s">
        <v>2522</v>
      </c>
      <c r="C2333" t="s">
        <v>235</v>
      </c>
      <c r="D2333" t="s">
        <v>139</v>
      </c>
      <c r="E2333" t="s">
        <v>72</v>
      </c>
      <c r="F2333" t="s">
        <v>26</v>
      </c>
      <c r="G2333" t="s">
        <v>44</v>
      </c>
      <c r="H2333" t="s">
        <v>124</v>
      </c>
      <c r="I2333" t="s">
        <v>60</v>
      </c>
      <c r="J2333" s="2">
        <v>3</v>
      </c>
      <c r="K2333" s="3">
        <v>5669.41</v>
      </c>
      <c r="L2333" s="3">
        <v>4379.1499999999996</v>
      </c>
      <c r="M2333" s="4">
        <v>4.2999999999999997E-2</v>
      </c>
      <c r="N2333" s="3">
        <f t="shared" si="180"/>
        <v>17008.23</v>
      </c>
      <c r="O2333" s="3">
        <f t="shared" si="181"/>
        <v>16276.88</v>
      </c>
      <c r="P2333" s="3">
        <f t="shared" si="182"/>
        <v>13137.45</v>
      </c>
      <c r="Q2333" s="3">
        <f t="shared" si="183"/>
        <v>3139.43</v>
      </c>
      <c r="R2333" s="4">
        <f t="shared" si="184"/>
        <v>0.19289999999999999</v>
      </c>
      <c r="S2333" s="2">
        <v>6</v>
      </c>
      <c r="T2333" t="s">
        <v>46</v>
      </c>
      <c r="U2333">
        <v>5</v>
      </c>
    </row>
    <row r="2334" spans="1:22" x14ac:dyDescent="0.25">
      <c r="A2334" s="1">
        <v>46138</v>
      </c>
      <c r="B2334" t="s">
        <v>2523</v>
      </c>
      <c r="C2334" t="s">
        <v>214</v>
      </c>
      <c r="D2334" t="s">
        <v>126</v>
      </c>
      <c r="E2334" t="s">
        <v>57</v>
      </c>
      <c r="F2334" t="s">
        <v>36</v>
      </c>
      <c r="G2334" t="s">
        <v>51</v>
      </c>
      <c r="H2334" t="s">
        <v>52</v>
      </c>
      <c r="I2334" t="s">
        <v>53</v>
      </c>
      <c r="J2334" s="2">
        <v>5</v>
      </c>
      <c r="K2334" s="3">
        <v>266.33999999999997</v>
      </c>
      <c r="L2334" s="3">
        <v>117.61</v>
      </c>
      <c r="M2334" s="4">
        <v>0.1023</v>
      </c>
      <c r="N2334" s="3">
        <f t="shared" si="180"/>
        <v>1331.7</v>
      </c>
      <c r="O2334" s="3">
        <f t="shared" si="181"/>
        <v>1195.47</v>
      </c>
      <c r="P2334" s="3">
        <f t="shared" si="182"/>
        <v>588.04999999999995</v>
      </c>
      <c r="Q2334" s="3">
        <f t="shared" si="183"/>
        <v>607.41999999999996</v>
      </c>
      <c r="R2334" s="4">
        <f t="shared" si="184"/>
        <v>0.5081</v>
      </c>
      <c r="S2334" s="2">
        <v>6</v>
      </c>
      <c r="T2334" t="s">
        <v>46</v>
      </c>
      <c r="U2334">
        <v>5</v>
      </c>
    </row>
    <row r="2335" spans="1:22" x14ac:dyDescent="0.25">
      <c r="A2335" s="1">
        <v>46136</v>
      </c>
      <c r="B2335" t="s">
        <v>2524</v>
      </c>
      <c r="C2335" t="s">
        <v>433</v>
      </c>
      <c r="D2335" t="s">
        <v>24</v>
      </c>
      <c r="E2335" t="s">
        <v>25</v>
      </c>
      <c r="F2335" t="s">
        <v>64</v>
      </c>
      <c r="G2335" t="s">
        <v>27</v>
      </c>
      <c r="H2335" t="s">
        <v>86</v>
      </c>
      <c r="I2335" t="s">
        <v>77</v>
      </c>
      <c r="J2335" s="2">
        <v>6</v>
      </c>
      <c r="K2335" s="3">
        <v>1842.16</v>
      </c>
      <c r="L2335" s="3">
        <v>1237.3699999999999</v>
      </c>
      <c r="M2335" s="4">
        <v>0.1239</v>
      </c>
      <c r="N2335" s="3">
        <f t="shared" si="180"/>
        <v>11052.96</v>
      </c>
      <c r="O2335" s="3">
        <f t="shared" si="181"/>
        <v>9683.5</v>
      </c>
      <c r="P2335" s="3">
        <f t="shared" si="182"/>
        <v>7424.22</v>
      </c>
      <c r="Q2335" s="3">
        <f t="shared" si="183"/>
        <v>2259.2800000000002</v>
      </c>
      <c r="R2335" s="4">
        <f t="shared" si="184"/>
        <v>0.23330000000000001</v>
      </c>
      <c r="S2335" s="2">
        <v>14</v>
      </c>
      <c r="T2335" t="s">
        <v>30</v>
      </c>
      <c r="U2335">
        <v>3</v>
      </c>
    </row>
    <row r="2336" spans="1:22" x14ac:dyDescent="0.25">
      <c r="A2336" s="1">
        <v>46062</v>
      </c>
      <c r="B2336" t="s">
        <v>2525</v>
      </c>
      <c r="C2336" t="s">
        <v>315</v>
      </c>
      <c r="D2336" t="s">
        <v>113</v>
      </c>
      <c r="E2336" t="s">
        <v>50</v>
      </c>
      <c r="F2336" t="s">
        <v>36</v>
      </c>
      <c r="G2336" t="s">
        <v>27</v>
      </c>
      <c r="H2336" t="s">
        <v>68</v>
      </c>
      <c r="I2336" t="s">
        <v>29</v>
      </c>
      <c r="J2336" s="2">
        <v>3</v>
      </c>
      <c r="K2336" s="3">
        <v>1273.74</v>
      </c>
      <c r="L2336" s="3">
        <v>769.91</v>
      </c>
      <c r="M2336" s="4">
        <v>9.11E-2</v>
      </c>
      <c r="N2336" s="3">
        <f t="shared" si="180"/>
        <v>3821.22</v>
      </c>
      <c r="O2336" s="3">
        <f t="shared" si="181"/>
        <v>3473.11</v>
      </c>
      <c r="P2336" s="3">
        <f t="shared" si="182"/>
        <v>2309.73</v>
      </c>
      <c r="Q2336" s="3">
        <f t="shared" si="183"/>
        <v>1163.3800000000001</v>
      </c>
      <c r="R2336" s="4">
        <f t="shared" si="184"/>
        <v>0.33500000000000002</v>
      </c>
      <c r="S2336" s="2">
        <v>14</v>
      </c>
      <c r="T2336" t="s">
        <v>30</v>
      </c>
      <c r="U2336">
        <v>5</v>
      </c>
    </row>
    <row r="2337" spans="1:22" x14ac:dyDescent="0.25">
      <c r="A2337" s="1">
        <v>46221</v>
      </c>
      <c r="B2337" t="s">
        <v>2526</v>
      </c>
      <c r="C2337" t="s">
        <v>418</v>
      </c>
      <c r="D2337" t="s">
        <v>113</v>
      </c>
      <c r="E2337" t="s">
        <v>50</v>
      </c>
      <c r="F2337" t="s">
        <v>64</v>
      </c>
      <c r="G2337" t="s">
        <v>27</v>
      </c>
      <c r="H2337" t="s">
        <v>86</v>
      </c>
      <c r="I2337" t="s">
        <v>65</v>
      </c>
      <c r="J2337" s="2">
        <v>5</v>
      </c>
      <c r="K2337" s="3">
        <v>1903.38</v>
      </c>
      <c r="L2337" s="3">
        <v>1175.72</v>
      </c>
      <c r="M2337" s="4">
        <v>8.5500000000000007E-2</v>
      </c>
      <c r="N2337" s="3">
        <f t="shared" si="180"/>
        <v>9516.9</v>
      </c>
      <c r="O2337" s="3">
        <f t="shared" si="181"/>
        <v>8703.2099999999991</v>
      </c>
      <c r="P2337" s="3">
        <f t="shared" si="182"/>
        <v>5878.6</v>
      </c>
      <c r="Q2337" s="3">
        <f t="shared" si="183"/>
        <v>2824.61</v>
      </c>
      <c r="R2337" s="4">
        <f t="shared" si="184"/>
        <v>0.32450000000000001</v>
      </c>
      <c r="S2337" s="2">
        <v>2</v>
      </c>
      <c r="T2337" t="s">
        <v>46</v>
      </c>
      <c r="U2337">
        <v>2</v>
      </c>
    </row>
    <row r="2338" spans="1:22" x14ac:dyDescent="0.25">
      <c r="A2338" s="1">
        <v>46159</v>
      </c>
      <c r="B2338" t="s">
        <v>2527</v>
      </c>
      <c r="C2338" t="s">
        <v>297</v>
      </c>
      <c r="D2338" t="s">
        <v>71</v>
      </c>
      <c r="E2338" t="s">
        <v>72</v>
      </c>
      <c r="F2338" t="s">
        <v>64</v>
      </c>
      <c r="G2338" t="s">
        <v>37</v>
      </c>
      <c r="H2338" t="s">
        <v>38</v>
      </c>
      <c r="I2338" t="s">
        <v>39</v>
      </c>
      <c r="J2338" s="2">
        <v>5</v>
      </c>
      <c r="K2338" s="3">
        <v>425.47</v>
      </c>
      <c r="L2338" s="3">
        <v>191.04</v>
      </c>
      <c r="M2338" s="4">
        <v>0.1033</v>
      </c>
      <c r="N2338" s="3">
        <f t="shared" si="180"/>
        <v>2127.35</v>
      </c>
      <c r="O2338" s="3">
        <f t="shared" si="181"/>
        <v>1907.59</v>
      </c>
      <c r="P2338" s="3">
        <f t="shared" si="182"/>
        <v>955.2</v>
      </c>
      <c r="Q2338" s="3">
        <f t="shared" si="183"/>
        <v>952.39</v>
      </c>
      <c r="R2338" s="4">
        <f t="shared" si="184"/>
        <v>0.49930000000000002</v>
      </c>
      <c r="S2338" s="2">
        <v>27</v>
      </c>
      <c r="T2338" t="s">
        <v>30</v>
      </c>
      <c r="U2338">
        <v>2</v>
      </c>
      <c r="V2338" t="s">
        <v>208</v>
      </c>
    </row>
    <row r="2339" spans="1:22" x14ac:dyDescent="0.25">
      <c r="A2339" s="1">
        <v>46152</v>
      </c>
      <c r="B2339" t="s">
        <v>2528</v>
      </c>
      <c r="C2339" t="s">
        <v>251</v>
      </c>
      <c r="D2339" t="s">
        <v>24</v>
      </c>
      <c r="E2339" t="s">
        <v>25</v>
      </c>
      <c r="F2339" t="s">
        <v>36</v>
      </c>
      <c r="G2339" t="s">
        <v>44</v>
      </c>
      <c r="H2339" t="s">
        <v>73</v>
      </c>
      <c r="I2339" t="s">
        <v>65</v>
      </c>
      <c r="J2339" s="2">
        <v>6</v>
      </c>
      <c r="K2339" s="3">
        <v>1667.14</v>
      </c>
      <c r="L2339" s="3">
        <v>1171.3699999999999</v>
      </c>
      <c r="M2339" s="4">
        <v>0.1115</v>
      </c>
      <c r="N2339" s="3">
        <f t="shared" si="180"/>
        <v>10002.84</v>
      </c>
      <c r="O2339" s="3">
        <f t="shared" si="181"/>
        <v>8887.52</v>
      </c>
      <c r="P2339" s="3">
        <f t="shared" si="182"/>
        <v>7028.22</v>
      </c>
      <c r="Q2339" s="3">
        <f t="shared" si="183"/>
        <v>1859.3</v>
      </c>
      <c r="R2339" s="4">
        <f t="shared" si="184"/>
        <v>0.2092</v>
      </c>
      <c r="S2339" s="2">
        <v>9</v>
      </c>
      <c r="T2339" t="s">
        <v>46</v>
      </c>
      <c r="U2339">
        <v>3</v>
      </c>
    </row>
    <row r="2340" spans="1:22" x14ac:dyDescent="0.25">
      <c r="A2340" s="1">
        <v>46071</v>
      </c>
      <c r="B2340" t="s">
        <v>2529</v>
      </c>
      <c r="C2340" t="s">
        <v>226</v>
      </c>
      <c r="D2340" t="s">
        <v>85</v>
      </c>
      <c r="E2340" t="s">
        <v>50</v>
      </c>
      <c r="F2340" t="s">
        <v>64</v>
      </c>
      <c r="G2340" t="s">
        <v>51</v>
      </c>
      <c r="H2340" t="s">
        <v>52</v>
      </c>
      <c r="I2340" t="s">
        <v>94</v>
      </c>
      <c r="J2340" s="2">
        <v>5</v>
      </c>
      <c r="K2340" s="3">
        <v>265.52999999999997</v>
      </c>
      <c r="L2340" s="3">
        <v>117.24</v>
      </c>
      <c r="M2340" s="4">
        <v>3.3399999999999999E-2</v>
      </c>
      <c r="N2340" s="3">
        <f t="shared" si="180"/>
        <v>1327.65</v>
      </c>
      <c r="O2340" s="3">
        <f t="shared" si="181"/>
        <v>1283.31</v>
      </c>
      <c r="P2340" s="3">
        <f t="shared" si="182"/>
        <v>586.20000000000005</v>
      </c>
      <c r="Q2340" s="3">
        <f t="shared" si="183"/>
        <v>697.11</v>
      </c>
      <c r="R2340" s="4">
        <f t="shared" si="184"/>
        <v>0.54320000000000002</v>
      </c>
      <c r="S2340" s="2">
        <v>8</v>
      </c>
      <c r="T2340" t="s">
        <v>46</v>
      </c>
      <c r="U2340">
        <v>3</v>
      </c>
    </row>
    <row r="2341" spans="1:22" x14ac:dyDescent="0.25">
      <c r="A2341" s="1">
        <v>46192</v>
      </c>
      <c r="B2341" t="s">
        <v>2530</v>
      </c>
      <c r="C2341" t="s">
        <v>182</v>
      </c>
      <c r="D2341" t="s">
        <v>24</v>
      </c>
      <c r="E2341" t="s">
        <v>25</v>
      </c>
      <c r="F2341" t="s">
        <v>58</v>
      </c>
      <c r="G2341" t="s">
        <v>27</v>
      </c>
      <c r="H2341" t="s">
        <v>68</v>
      </c>
      <c r="I2341" t="s">
        <v>74</v>
      </c>
      <c r="J2341" s="2">
        <v>2</v>
      </c>
      <c r="K2341" s="3">
        <v>1356.74</v>
      </c>
      <c r="L2341" s="3">
        <v>807.82</v>
      </c>
      <c r="M2341" s="4">
        <v>0.13550000000000001</v>
      </c>
      <c r="N2341" s="3">
        <f t="shared" si="180"/>
        <v>2713.48</v>
      </c>
      <c r="O2341" s="3">
        <f t="shared" si="181"/>
        <v>2345.8000000000002</v>
      </c>
      <c r="P2341" s="3">
        <f t="shared" si="182"/>
        <v>1615.64</v>
      </c>
      <c r="Q2341" s="3">
        <f t="shared" si="183"/>
        <v>730.16</v>
      </c>
      <c r="R2341" s="4">
        <f t="shared" si="184"/>
        <v>0.31130000000000002</v>
      </c>
      <c r="S2341" s="2">
        <v>2</v>
      </c>
      <c r="T2341" t="s">
        <v>46</v>
      </c>
      <c r="U2341">
        <v>4</v>
      </c>
    </row>
    <row r="2342" spans="1:22" x14ac:dyDescent="0.25">
      <c r="A2342" s="1">
        <v>46084</v>
      </c>
      <c r="B2342" t="s">
        <v>2531</v>
      </c>
      <c r="C2342" t="s">
        <v>67</v>
      </c>
      <c r="D2342" t="s">
        <v>121</v>
      </c>
      <c r="E2342" t="s">
        <v>72</v>
      </c>
      <c r="F2342" t="s">
        <v>36</v>
      </c>
      <c r="G2342" t="s">
        <v>37</v>
      </c>
      <c r="H2342" t="s">
        <v>178</v>
      </c>
      <c r="I2342" t="s">
        <v>39</v>
      </c>
      <c r="J2342" s="2">
        <v>1</v>
      </c>
      <c r="K2342" s="3">
        <v>491.55</v>
      </c>
      <c r="L2342" s="3">
        <v>250.37</v>
      </c>
      <c r="M2342" s="4">
        <v>0</v>
      </c>
      <c r="N2342" s="3">
        <f t="shared" si="180"/>
        <v>491.55</v>
      </c>
      <c r="O2342" s="3">
        <f t="shared" si="181"/>
        <v>491.55</v>
      </c>
      <c r="P2342" s="3">
        <f t="shared" si="182"/>
        <v>250.37</v>
      </c>
      <c r="Q2342" s="3">
        <f t="shared" si="183"/>
        <v>241.18</v>
      </c>
      <c r="R2342" s="4">
        <f t="shared" si="184"/>
        <v>0.49070000000000003</v>
      </c>
      <c r="S2342" s="2">
        <v>2</v>
      </c>
      <c r="T2342" t="s">
        <v>46</v>
      </c>
      <c r="U2342">
        <v>3</v>
      </c>
    </row>
    <row r="2343" spans="1:22" x14ac:dyDescent="0.25">
      <c r="A2343" s="1">
        <v>46157</v>
      </c>
      <c r="B2343" t="s">
        <v>2532</v>
      </c>
      <c r="C2343" t="s">
        <v>48</v>
      </c>
      <c r="D2343" t="s">
        <v>101</v>
      </c>
      <c r="E2343" t="s">
        <v>35</v>
      </c>
      <c r="F2343" t="s">
        <v>26</v>
      </c>
      <c r="G2343" t="s">
        <v>51</v>
      </c>
      <c r="H2343" t="s">
        <v>52</v>
      </c>
      <c r="I2343" t="s">
        <v>94</v>
      </c>
      <c r="J2343" s="2">
        <v>6</v>
      </c>
      <c r="K2343" s="3">
        <v>258.39</v>
      </c>
      <c r="L2343" s="3">
        <v>122.48</v>
      </c>
      <c r="M2343" s="4">
        <v>0</v>
      </c>
      <c r="N2343" s="3">
        <f t="shared" si="180"/>
        <v>1550.34</v>
      </c>
      <c r="O2343" s="3">
        <f t="shared" si="181"/>
        <v>1550.34</v>
      </c>
      <c r="P2343" s="3">
        <f t="shared" si="182"/>
        <v>734.88</v>
      </c>
      <c r="Q2343" s="3">
        <f t="shared" si="183"/>
        <v>815.46</v>
      </c>
      <c r="R2343" s="4">
        <f t="shared" si="184"/>
        <v>0.52600000000000002</v>
      </c>
      <c r="S2343" s="2">
        <v>11</v>
      </c>
      <c r="T2343" t="s">
        <v>40</v>
      </c>
    </row>
    <row r="2344" spans="1:22" x14ac:dyDescent="0.25">
      <c r="A2344" s="1">
        <v>46134</v>
      </c>
      <c r="B2344" t="s">
        <v>2533</v>
      </c>
      <c r="C2344" t="s">
        <v>356</v>
      </c>
      <c r="D2344" t="s">
        <v>101</v>
      </c>
      <c r="E2344" t="s">
        <v>35</v>
      </c>
      <c r="F2344" t="s">
        <v>26</v>
      </c>
      <c r="G2344" t="s">
        <v>37</v>
      </c>
      <c r="H2344" t="s">
        <v>178</v>
      </c>
      <c r="I2344" t="s">
        <v>94</v>
      </c>
      <c r="J2344" s="2">
        <v>5</v>
      </c>
      <c r="K2344" s="3">
        <v>499.98</v>
      </c>
      <c r="L2344" s="3">
        <v>243.52</v>
      </c>
      <c r="M2344" s="4">
        <v>0</v>
      </c>
      <c r="N2344" s="3">
        <f t="shared" si="180"/>
        <v>2499.9</v>
      </c>
      <c r="O2344" s="3">
        <f t="shared" si="181"/>
        <v>2499.9</v>
      </c>
      <c r="P2344" s="3">
        <f t="shared" si="182"/>
        <v>1217.5999999999999</v>
      </c>
      <c r="Q2344" s="3">
        <f t="shared" si="183"/>
        <v>1282.3</v>
      </c>
      <c r="R2344" s="4">
        <f t="shared" si="184"/>
        <v>0.51290000000000002</v>
      </c>
      <c r="S2344" s="2">
        <v>3</v>
      </c>
      <c r="T2344" t="s">
        <v>46</v>
      </c>
      <c r="U2344">
        <v>5</v>
      </c>
    </row>
    <row r="2345" spans="1:22" x14ac:dyDescent="0.25">
      <c r="A2345" s="1">
        <v>46141</v>
      </c>
      <c r="B2345" t="s">
        <v>2534</v>
      </c>
      <c r="C2345" t="s">
        <v>138</v>
      </c>
      <c r="D2345" t="s">
        <v>56</v>
      </c>
      <c r="E2345" t="s">
        <v>57</v>
      </c>
      <c r="F2345" t="s">
        <v>26</v>
      </c>
      <c r="G2345" t="s">
        <v>27</v>
      </c>
      <c r="H2345" t="s">
        <v>68</v>
      </c>
      <c r="I2345" t="s">
        <v>77</v>
      </c>
      <c r="J2345" s="2">
        <v>5</v>
      </c>
      <c r="K2345" s="3">
        <v>1238.04</v>
      </c>
      <c r="L2345" s="3">
        <v>796.53</v>
      </c>
      <c r="M2345" s="4">
        <v>1.89E-2</v>
      </c>
      <c r="N2345" s="3">
        <f t="shared" si="180"/>
        <v>6190.2</v>
      </c>
      <c r="O2345" s="3">
        <f t="shared" si="181"/>
        <v>6073.21</v>
      </c>
      <c r="P2345" s="3">
        <f t="shared" si="182"/>
        <v>3982.65</v>
      </c>
      <c r="Q2345" s="3">
        <f t="shared" si="183"/>
        <v>2090.56</v>
      </c>
      <c r="R2345" s="4">
        <f t="shared" si="184"/>
        <v>0.34420000000000001</v>
      </c>
      <c r="S2345" s="2">
        <v>12</v>
      </c>
      <c r="T2345" t="s">
        <v>30</v>
      </c>
      <c r="U2345">
        <v>5</v>
      </c>
    </row>
    <row r="2346" spans="1:22" x14ac:dyDescent="0.25">
      <c r="A2346" s="1">
        <v>46150</v>
      </c>
      <c r="B2346" t="s">
        <v>2535</v>
      </c>
      <c r="C2346" t="s">
        <v>231</v>
      </c>
      <c r="D2346" t="s">
        <v>43</v>
      </c>
      <c r="E2346" t="s">
        <v>25</v>
      </c>
      <c r="F2346" t="s">
        <v>64</v>
      </c>
      <c r="G2346" t="s">
        <v>27</v>
      </c>
      <c r="H2346" t="s">
        <v>28</v>
      </c>
      <c r="I2346" t="s">
        <v>92</v>
      </c>
      <c r="J2346" s="2">
        <v>2</v>
      </c>
      <c r="K2346" s="3">
        <v>770.52</v>
      </c>
      <c r="L2346" s="3">
        <v>483.58</v>
      </c>
      <c r="M2346" s="4">
        <v>8.6699999999999999E-2</v>
      </c>
      <c r="N2346" s="3">
        <f t="shared" si="180"/>
        <v>1541.04</v>
      </c>
      <c r="O2346" s="3">
        <f t="shared" si="181"/>
        <v>1407.43</v>
      </c>
      <c r="P2346" s="3">
        <f t="shared" si="182"/>
        <v>967.16</v>
      </c>
      <c r="Q2346" s="3">
        <f t="shared" si="183"/>
        <v>440.27</v>
      </c>
      <c r="R2346" s="4">
        <f t="shared" si="184"/>
        <v>0.31280000000000002</v>
      </c>
      <c r="S2346" s="2">
        <v>4</v>
      </c>
      <c r="T2346" t="s">
        <v>46</v>
      </c>
      <c r="U2346">
        <v>2</v>
      </c>
    </row>
    <row r="2347" spans="1:22" x14ac:dyDescent="0.25">
      <c r="A2347" s="1">
        <v>46140</v>
      </c>
      <c r="B2347" t="s">
        <v>2536</v>
      </c>
      <c r="C2347" t="s">
        <v>220</v>
      </c>
      <c r="D2347" t="s">
        <v>139</v>
      </c>
      <c r="E2347" t="s">
        <v>72</v>
      </c>
      <c r="F2347" t="s">
        <v>26</v>
      </c>
      <c r="G2347" t="s">
        <v>37</v>
      </c>
      <c r="H2347" t="s">
        <v>104</v>
      </c>
      <c r="I2347" t="s">
        <v>65</v>
      </c>
      <c r="J2347" s="2">
        <v>6</v>
      </c>
      <c r="K2347" s="3">
        <v>301.5</v>
      </c>
      <c r="L2347" s="3">
        <v>143.79</v>
      </c>
      <c r="M2347" s="4">
        <v>0</v>
      </c>
      <c r="N2347" s="3">
        <f t="shared" si="180"/>
        <v>1809</v>
      </c>
      <c r="O2347" s="3">
        <f t="shared" si="181"/>
        <v>1809</v>
      </c>
      <c r="P2347" s="3">
        <f t="shared" si="182"/>
        <v>862.74</v>
      </c>
      <c r="Q2347" s="3">
        <f t="shared" si="183"/>
        <v>946.26</v>
      </c>
      <c r="R2347" s="4">
        <f t="shared" si="184"/>
        <v>0.52310000000000001</v>
      </c>
      <c r="S2347" s="2">
        <v>8</v>
      </c>
      <c r="T2347" t="s">
        <v>46</v>
      </c>
      <c r="U2347">
        <v>2</v>
      </c>
    </row>
    <row r="2348" spans="1:22" x14ac:dyDescent="0.25">
      <c r="A2348" s="1">
        <v>46171</v>
      </c>
      <c r="B2348" t="s">
        <v>2537</v>
      </c>
      <c r="C2348" t="s">
        <v>76</v>
      </c>
      <c r="D2348" t="s">
        <v>101</v>
      </c>
      <c r="E2348" t="s">
        <v>35</v>
      </c>
      <c r="F2348" t="s">
        <v>26</v>
      </c>
      <c r="G2348" t="s">
        <v>51</v>
      </c>
      <c r="H2348" t="s">
        <v>59</v>
      </c>
      <c r="I2348" t="s">
        <v>39</v>
      </c>
      <c r="J2348" s="2">
        <v>6</v>
      </c>
      <c r="K2348" s="3">
        <v>2264.1</v>
      </c>
      <c r="L2348" s="3">
        <v>1470.26</v>
      </c>
      <c r="M2348" s="4">
        <v>6.59E-2</v>
      </c>
      <c r="N2348" s="3">
        <f t="shared" si="180"/>
        <v>13584.6</v>
      </c>
      <c r="O2348" s="3">
        <f t="shared" si="181"/>
        <v>12689.37</v>
      </c>
      <c r="P2348" s="3">
        <f t="shared" si="182"/>
        <v>8821.56</v>
      </c>
      <c r="Q2348" s="3">
        <f t="shared" si="183"/>
        <v>3867.81</v>
      </c>
      <c r="R2348" s="4">
        <f t="shared" si="184"/>
        <v>0.30480000000000002</v>
      </c>
      <c r="S2348" s="2">
        <v>13</v>
      </c>
      <c r="T2348" t="s">
        <v>30</v>
      </c>
      <c r="U2348">
        <v>3</v>
      </c>
    </row>
    <row r="2349" spans="1:22" x14ac:dyDescent="0.25">
      <c r="A2349" s="1">
        <v>46038</v>
      </c>
      <c r="B2349" t="s">
        <v>2538</v>
      </c>
      <c r="C2349" t="s">
        <v>134</v>
      </c>
      <c r="D2349" t="s">
        <v>126</v>
      </c>
      <c r="E2349" t="s">
        <v>57</v>
      </c>
      <c r="F2349" t="s">
        <v>26</v>
      </c>
      <c r="G2349" t="s">
        <v>44</v>
      </c>
      <c r="H2349" t="s">
        <v>45</v>
      </c>
      <c r="I2349" t="s">
        <v>87</v>
      </c>
      <c r="J2349" s="2">
        <v>8</v>
      </c>
      <c r="K2349" s="3">
        <v>411.26</v>
      </c>
      <c r="L2349" s="3">
        <v>219.65</v>
      </c>
      <c r="M2349" s="4">
        <v>0</v>
      </c>
      <c r="N2349" s="3">
        <f t="shared" si="180"/>
        <v>3290.08</v>
      </c>
      <c r="O2349" s="3">
        <f t="shared" si="181"/>
        <v>3290.08</v>
      </c>
      <c r="P2349" s="3">
        <f t="shared" si="182"/>
        <v>1757.2</v>
      </c>
      <c r="Q2349" s="3">
        <f t="shared" si="183"/>
        <v>1532.88</v>
      </c>
      <c r="R2349" s="4">
        <f t="shared" si="184"/>
        <v>0.46589999999999998</v>
      </c>
      <c r="S2349" s="2">
        <v>8</v>
      </c>
      <c r="T2349" t="s">
        <v>46</v>
      </c>
      <c r="U2349">
        <v>3</v>
      </c>
    </row>
    <row r="2350" spans="1:22" x14ac:dyDescent="0.25">
      <c r="A2350" s="1">
        <v>46188</v>
      </c>
      <c r="B2350" t="s">
        <v>2539</v>
      </c>
      <c r="C2350" t="s">
        <v>514</v>
      </c>
      <c r="D2350" t="s">
        <v>43</v>
      </c>
      <c r="E2350" t="s">
        <v>25</v>
      </c>
      <c r="F2350" t="s">
        <v>26</v>
      </c>
      <c r="G2350" t="s">
        <v>51</v>
      </c>
      <c r="H2350" t="s">
        <v>52</v>
      </c>
      <c r="I2350" t="s">
        <v>29</v>
      </c>
      <c r="J2350" s="2">
        <v>4</v>
      </c>
      <c r="K2350" s="3">
        <v>257.70999999999998</v>
      </c>
      <c r="L2350" s="3">
        <v>121.23</v>
      </c>
      <c r="M2350" s="4">
        <v>2.9600000000000001E-2</v>
      </c>
      <c r="N2350" s="3">
        <f t="shared" si="180"/>
        <v>1030.8399999999999</v>
      </c>
      <c r="O2350" s="3">
        <f t="shared" si="181"/>
        <v>1000.33</v>
      </c>
      <c r="P2350" s="3">
        <f t="shared" si="182"/>
        <v>484.92</v>
      </c>
      <c r="Q2350" s="3">
        <f t="shared" si="183"/>
        <v>515.41</v>
      </c>
      <c r="R2350" s="4">
        <f t="shared" si="184"/>
        <v>0.51519999999999999</v>
      </c>
      <c r="S2350" s="2">
        <v>11</v>
      </c>
      <c r="T2350" t="s">
        <v>30</v>
      </c>
      <c r="U2350">
        <v>2</v>
      </c>
    </row>
    <row r="2351" spans="1:22" x14ac:dyDescent="0.25">
      <c r="A2351" s="1">
        <v>46070</v>
      </c>
      <c r="B2351" t="s">
        <v>2540</v>
      </c>
      <c r="C2351" t="s">
        <v>153</v>
      </c>
      <c r="D2351" t="s">
        <v>34</v>
      </c>
      <c r="E2351" t="s">
        <v>35</v>
      </c>
      <c r="F2351" t="s">
        <v>26</v>
      </c>
      <c r="G2351" t="s">
        <v>37</v>
      </c>
      <c r="H2351" t="s">
        <v>104</v>
      </c>
      <c r="I2351" t="s">
        <v>77</v>
      </c>
      <c r="J2351" s="2">
        <v>3</v>
      </c>
      <c r="K2351" s="3">
        <v>309.08</v>
      </c>
      <c r="L2351" s="3">
        <v>137.61000000000001</v>
      </c>
      <c r="M2351" s="4">
        <v>0</v>
      </c>
      <c r="N2351" s="3">
        <f t="shared" si="180"/>
        <v>927.24</v>
      </c>
      <c r="O2351" s="3">
        <f t="shared" si="181"/>
        <v>927.24</v>
      </c>
      <c r="P2351" s="3">
        <f t="shared" si="182"/>
        <v>412.83</v>
      </c>
      <c r="Q2351" s="3">
        <f t="shared" si="183"/>
        <v>514.41</v>
      </c>
      <c r="R2351" s="4">
        <f t="shared" si="184"/>
        <v>0.55479999999999996</v>
      </c>
      <c r="S2351" s="2">
        <v>6</v>
      </c>
      <c r="T2351" t="s">
        <v>46</v>
      </c>
      <c r="U2351">
        <v>4</v>
      </c>
    </row>
    <row r="2352" spans="1:22" x14ac:dyDescent="0.25">
      <c r="A2352" s="1">
        <v>46074</v>
      </c>
      <c r="B2352" t="s">
        <v>2541</v>
      </c>
      <c r="C2352" t="s">
        <v>392</v>
      </c>
      <c r="D2352" t="s">
        <v>63</v>
      </c>
      <c r="E2352" t="s">
        <v>35</v>
      </c>
      <c r="F2352" t="s">
        <v>36</v>
      </c>
      <c r="G2352" t="s">
        <v>51</v>
      </c>
      <c r="H2352" t="s">
        <v>52</v>
      </c>
      <c r="I2352" t="s">
        <v>29</v>
      </c>
      <c r="J2352" s="2">
        <v>2</v>
      </c>
      <c r="K2352" s="3">
        <v>272.36</v>
      </c>
      <c r="L2352" s="3">
        <v>123.1</v>
      </c>
      <c r="M2352" s="4">
        <v>0</v>
      </c>
      <c r="N2352" s="3">
        <f t="shared" si="180"/>
        <v>544.72</v>
      </c>
      <c r="O2352" s="3">
        <f t="shared" si="181"/>
        <v>544.72</v>
      </c>
      <c r="P2352" s="3">
        <f t="shared" si="182"/>
        <v>246.2</v>
      </c>
      <c r="Q2352" s="3">
        <f t="shared" si="183"/>
        <v>298.52</v>
      </c>
      <c r="R2352" s="4">
        <f t="shared" si="184"/>
        <v>0.54800000000000004</v>
      </c>
      <c r="S2352" s="2">
        <v>3</v>
      </c>
      <c r="T2352" t="s">
        <v>46</v>
      </c>
      <c r="U2352">
        <v>3</v>
      </c>
    </row>
    <row r="2353" spans="1:22" x14ac:dyDescent="0.25">
      <c r="A2353" s="1">
        <v>46106</v>
      </c>
      <c r="B2353" t="s">
        <v>2542</v>
      </c>
      <c r="C2353" t="s">
        <v>418</v>
      </c>
      <c r="D2353" t="s">
        <v>34</v>
      </c>
      <c r="E2353" t="s">
        <v>35</v>
      </c>
      <c r="F2353" t="s">
        <v>26</v>
      </c>
      <c r="G2353" t="s">
        <v>37</v>
      </c>
      <c r="H2353" t="s">
        <v>38</v>
      </c>
      <c r="I2353" t="s">
        <v>29</v>
      </c>
      <c r="J2353" s="2">
        <v>3</v>
      </c>
      <c r="K2353" s="3">
        <v>445.82</v>
      </c>
      <c r="L2353" s="3">
        <v>184.43</v>
      </c>
      <c r="M2353" s="4">
        <v>0.1232</v>
      </c>
      <c r="N2353" s="3">
        <f t="shared" si="180"/>
        <v>1337.46</v>
      </c>
      <c r="O2353" s="3">
        <f t="shared" si="181"/>
        <v>1172.68</v>
      </c>
      <c r="P2353" s="3">
        <f t="shared" si="182"/>
        <v>553.29</v>
      </c>
      <c r="Q2353" s="3">
        <f t="shared" si="183"/>
        <v>619.39</v>
      </c>
      <c r="R2353" s="4">
        <f t="shared" si="184"/>
        <v>0.5282</v>
      </c>
      <c r="S2353" s="2">
        <v>3</v>
      </c>
      <c r="T2353" t="s">
        <v>46</v>
      </c>
      <c r="U2353">
        <v>2</v>
      </c>
    </row>
    <row r="2354" spans="1:22" x14ac:dyDescent="0.25">
      <c r="A2354" s="1">
        <v>46033</v>
      </c>
      <c r="B2354" t="s">
        <v>2543</v>
      </c>
      <c r="C2354" t="s">
        <v>164</v>
      </c>
      <c r="D2354" t="s">
        <v>85</v>
      </c>
      <c r="E2354" t="s">
        <v>50</v>
      </c>
      <c r="F2354" t="s">
        <v>36</v>
      </c>
      <c r="G2354" t="s">
        <v>37</v>
      </c>
      <c r="H2354" t="s">
        <v>104</v>
      </c>
      <c r="I2354" t="s">
        <v>94</v>
      </c>
      <c r="J2354" s="2">
        <v>8</v>
      </c>
      <c r="K2354" s="3">
        <v>328.23</v>
      </c>
      <c r="L2354" s="3">
        <v>133.94</v>
      </c>
      <c r="M2354" s="4">
        <v>0</v>
      </c>
      <c r="N2354" s="3">
        <f t="shared" si="180"/>
        <v>2625.84</v>
      </c>
      <c r="O2354" s="3">
        <f t="shared" si="181"/>
        <v>2625.84</v>
      </c>
      <c r="P2354" s="3">
        <f t="shared" si="182"/>
        <v>1071.52</v>
      </c>
      <c r="Q2354" s="3">
        <f t="shared" si="183"/>
        <v>1554.32</v>
      </c>
      <c r="R2354" s="4">
        <f t="shared" si="184"/>
        <v>0.59189999999999998</v>
      </c>
      <c r="S2354" s="2">
        <v>5</v>
      </c>
      <c r="T2354" t="s">
        <v>46</v>
      </c>
      <c r="U2354">
        <v>2</v>
      </c>
    </row>
    <row r="2355" spans="1:22" x14ac:dyDescent="0.25">
      <c r="A2355" s="1">
        <v>46031</v>
      </c>
      <c r="B2355" t="s">
        <v>2544</v>
      </c>
      <c r="C2355" t="s">
        <v>157</v>
      </c>
      <c r="D2355" t="s">
        <v>24</v>
      </c>
      <c r="E2355" t="s">
        <v>25</v>
      </c>
      <c r="F2355" t="s">
        <v>64</v>
      </c>
      <c r="G2355" t="s">
        <v>51</v>
      </c>
      <c r="H2355" t="s">
        <v>59</v>
      </c>
      <c r="I2355" t="s">
        <v>65</v>
      </c>
      <c r="J2355" s="2">
        <v>7</v>
      </c>
      <c r="K2355" s="3">
        <v>2196.42</v>
      </c>
      <c r="L2355" s="3">
        <v>1495.67</v>
      </c>
      <c r="M2355" s="4">
        <v>0</v>
      </c>
      <c r="N2355" s="3">
        <f t="shared" si="180"/>
        <v>15374.94</v>
      </c>
      <c r="O2355" s="3">
        <f t="shared" si="181"/>
        <v>15374.94</v>
      </c>
      <c r="P2355" s="3">
        <f t="shared" si="182"/>
        <v>10469.69</v>
      </c>
      <c r="Q2355" s="3">
        <f t="shared" si="183"/>
        <v>4905.25</v>
      </c>
      <c r="R2355" s="4">
        <f t="shared" si="184"/>
        <v>0.31900000000000001</v>
      </c>
      <c r="S2355" s="2">
        <v>2</v>
      </c>
      <c r="T2355" t="s">
        <v>46</v>
      </c>
      <c r="U2355">
        <v>3</v>
      </c>
    </row>
    <row r="2356" spans="1:22" x14ac:dyDescent="0.25">
      <c r="A2356" s="1">
        <v>46064</v>
      </c>
      <c r="B2356" t="s">
        <v>2545</v>
      </c>
      <c r="C2356" t="s">
        <v>184</v>
      </c>
      <c r="D2356" t="s">
        <v>24</v>
      </c>
      <c r="E2356" t="s">
        <v>25</v>
      </c>
      <c r="F2356" t="s">
        <v>36</v>
      </c>
      <c r="G2356" t="s">
        <v>51</v>
      </c>
      <c r="H2356" t="s">
        <v>116</v>
      </c>
      <c r="I2356" t="s">
        <v>65</v>
      </c>
      <c r="J2356" s="2">
        <v>8</v>
      </c>
      <c r="K2356" s="3">
        <v>2747.83</v>
      </c>
      <c r="L2356" s="3">
        <v>1949.74</v>
      </c>
      <c r="M2356" s="4">
        <v>0</v>
      </c>
      <c r="N2356" s="3">
        <f t="shared" si="180"/>
        <v>21982.639999999999</v>
      </c>
      <c r="O2356" s="3">
        <f t="shared" si="181"/>
        <v>21982.639999999999</v>
      </c>
      <c r="P2356" s="3">
        <f t="shared" si="182"/>
        <v>15597.92</v>
      </c>
      <c r="Q2356" s="3">
        <f t="shared" si="183"/>
        <v>6384.72</v>
      </c>
      <c r="R2356" s="4">
        <f t="shared" si="184"/>
        <v>0.29039999999999999</v>
      </c>
      <c r="S2356" s="2">
        <v>5</v>
      </c>
      <c r="T2356" t="s">
        <v>46</v>
      </c>
      <c r="U2356">
        <v>3</v>
      </c>
    </row>
    <row r="2357" spans="1:22" x14ac:dyDescent="0.25">
      <c r="A2357" s="1">
        <v>46193</v>
      </c>
      <c r="B2357" t="s">
        <v>2546</v>
      </c>
      <c r="C2357" t="s">
        <v>103</v>
      </c>
      <c r="D2357" t="s">
        <v>130</v>
      </c>
      <c r="E2357" t="s">
        <v>72</v>
      </c>
      <c r="F2357" t="s">
        <v>36</v>
      </c>
      <c r="G2357" t="s">
        <v>44</v>
      </c>
      <c r="H2357" t="s">
        <v>124</v>
      </c>
      <c r="I2357" t="s">
        <v>94</v>
      </c>
      <c r="J2357" s="2">
        <v>4</v>
      </c>
      <c r="K2357" s="3">
        <v>6180.4</v>
      </c>
      <c r="L2357" s="3">
        <v>4396.18</v>
      </c>
      <c r="M2357" s="4">
        <v>0</v>
      </c>
      <c r="N2357" s="3">
        <f t="shared" si="180"/>
        <v>24721.599999999999</v>
      </c>
      <c r="O2357" s="3">
        <f t="shared" si="181"/>
        <v>24721.599999999999</v>
      </c>
      <c r="P2357" s="3">
        <f t="shared" si="182"/>
        <v>17584.72</v>
      </c>
      <c r="Q2357" s="3">
        <f t="shared" si="183"/>
        <v>7136.88</v>
      </c>
      <c r="R2357" s="4">
        <f t="shared" si="184"/>
        <v>0.28870000000000001</v>
      </c>
      <c r="S2357" s="2">
        <v>10</v>
      </c>
      <c r="T2357" t="s">
        <v>46</v>
      </c>
      <c r="U2357">
        <v>2</v>
      </c>
    </row>
    <row r="2358" spans="1:22" x14ac:dyDescent="0.25">
      <c r="A2358" s="1">
        <v>46069</v>
      </c>
      <c r="B2358" t="s">
        <v>2547</v>
      </c>
      <c r="C2358" t="s">
        <v>288</v>
      </c>
      <c r="D2358" t="s">
        <v>101</v>
      </c>
      <c r="E2358" t="s">
        <v>35</v>
      </c>
      <c r="F2358" t="s">
        <v>64</v>
      </c>
      <c r="G2358" t="s">
        <v>27</v>
      </c>
      <c r="H2358" t="s">
        <v>28</v>
      </c>
      <c r="I2358" t="s">
        <v>29</v>
      </c>
      <c r="J2358" s="2">
        <v>4</v>
      </c>
      <c r="K2358" s="3">
        <v>759.19</v>
      </c>
      <c r="L2358" s="3">
        <v>451.68</v>
      </c>
      <c r="M2358" s="4">
        <v>7.2900000000000006E-2</v>
      </c>
      <c r="N2358" s="3">
        <f t="shared" si="180"/>
        <v>3036.76</v>
      </c>
      <c r="O2358" s="3">
        <f t="shared" si="181"/>
        <v>2815.38</v>
      </c>
      <c r="P2358" s="3">
        <f t="shared" si="182"/>
        <v>1806.72</v>
      </c>
      <c r="Q2358" s="3">
        <f t="shared" si="183"/>
        <v>1008.66</v>
      </c>
      <c r="R2358" s="4">
        <f t="shared" si="184"/>
        <v>0.35830000000000001</v>
      </c>
      <c r="S2358" s="2">
        <v>8</v>
      </c>
      <c r="T2358" t="s">
        <v>46</v>
      </c>
      <c r="U2358">
        <v>4</v>
      </c>
    </row>
    <row r="2359" spans="1:22" x14ac:dyDescent="0.25">
      <c r="A2359" s="1">
        <v>46234</v>
      </c>
      <c r="B2359" t="s">
        <v>2548</v>
      </c>
      <c r="C2359" t="s">
        <v>609</v>
      </c>
      <c r="D2359" t="s">
        <v>113</v>
      </c>
      <c r="E2359" t="s">
        <v>50</v>
      </c>
      <c r="F2359" t="s">
        <v>64</v>
      </c>
      <c r="G2359" t="s">
        <v>27</v>
      </c>
      <c r="H2359" t="s">
        <v>86</v>
      </c>
      <c r="I2359" t="s">
        <v>65</v>
      </c>
      <c r="J2359" s="2">
        <v>3</v>
      </c>
      <c r="K2359" s="3">
        <v>1962.72</v>
      </c>
      <c r="L2359" s="3">
        <v>1217.42</v>
      </c>
      <c r="M2359" s="4">
        <v>6.7299999999999999E-2</v>
      </c>
      <c r="N2359" s="3">
        <f t="shared" si="180"/>
        <v>5888.16</v>
      </c>
      <c r="O2359" s="3">
        <f t="shared" si="181"/>
        <v>5491.89</v>
      </c>
      <c r="P2359" s="3">
        <f t="shared" si="182"/>
        <v>3652.26</v>
      </c>
      <c r="Q2359" s="3">
        <f t="shared" si="183"/>
        <v>1839.63</v>
      </c>
      <c r="R2359" s="4">
        <f t="shared" si="184"/>
        <v>0.33500000000000002</v>
      </c>
      <c r="S2359" s="2">
        <v>5</v>
      </c>
      <c r="T2359" t="s">
        <v>46</v>
      </c>
      <c r="U2359">
        <v>3</v>
      </c>
    </row>
    <row r="2360" spans="1:22" x14ac:dyDescent="0.25">
      <c r="A2360" s="1">
        <v>46176</v>
      </c>
      <c r="B2360" t="s">
        <v>2549</v>
      </c>
      <c r="C2360" t="s">
        <v>609</v>
      </c>
      <c r="D2360" t="s">
        <v>207</v>
      </c>
      <c r="E2360" t="s">
        <v>35</v>
      </c>
      <c r="F2360" t="s">
        <v>26</v>
      </c>
      <c r="G2360" t="s">
        <v>27</v>
      </c>
      <c r="H2360" t="s">
        <v>68</v>
      </c>
      <c r="I2360" t="s">
        <v>39</v>
      </c>
      <c r="J2360" s="2">
        <v>5</v>
      </c>
      <c r="K2360" s="3">
        <v>1339.73</v>
      </c>
      <c r="L2360" s="3">
        <v>752.18</v>
      </c>
      <c r="M2360" s="4">
        <v>0</v>
      </c>
      <c r="N2360" s="3">
        <f t="shared" si="180"/>
        <v>6698.65</v>
      </c>
      <c r="O2360" s="3">
        <f t="shared" si="181"/>
        <v>6698.65</v>
      </c>
      <c r="P2360" s="3">
        <f t="shared" si="182"/>
        <v>3760.9</v>
      </c>
      <c r="Q2360" s="3">
        <f t="shared" si="183"/>
        <v>2937.75</v>
      </c>
      <c r="R2360" s="4">
        <f t="shared" si="184"/>
        <v>0.43859999999999999</v>
      </c>
      <c r="S2360" s="2">
        <v>10</v>
      </c>
      <c r="T2360" t="s">
        <v>46</v>
      </c>
      <c r="U2360">
        <v>4</v>
      </c>
    </row>
    <row r="2361" spans="1:22" x14ac:dyDescent="0.25">
      <c r="A2361" s="1">
        <v>46072</v>
      </c>
      <c r="B2361" t="s">
        <v>2550</v>
      </c>
      <c r="C2361" t="s">
        <v>240</v>
      </c>
      <c r="D2361" t="s">
        <v>63</v>
      </c>
      <c r="E2361" t="s">
        <v>35</v>
      </c>
      <c r="F2361" t="s">
        <v>26</v>
      </c>
      <c r="G2361" t="s">
        <v>51</v>
      </c>
      <c r="H2361" t="s">
        <v>59</v>
      </c>
      <c r="I2361" t="s">
        <v>39</v>
      </c>
      <c r="J2361" s="2">
        <v>4</v>
      </c>
      <c r="K2361" s="3">
        <v>2224.09</v>
      </c>
      <c r="L2361" s="3">
        <v>1448.82</v>
      </c>
      <c r="M2361" s="4">
        <v>0</v>
      </c>
      <c r="N2361" s="3">
        <f t="shared" si="180"/>
        <v>8896.36</v>
      </c>
      <c r="O2361" s="3">
        <f t="shared" si="181"/>
        <v>8896.36</v>
      </c>
      <c r="P2361" s="3">
        <f t="shared" si="182"/>
        <v>5795.28</v>
      </c>
      <c r="Q2361" s="3">
        <f t="shared" si="183"/>
        <v>3101.08</v>
      </c>
      <c r="R2361" s="4">
        <f t="shared" si="184"/>
        <v>0.34860000000000002</v>
      </c>
      <c r="S2361" s="2">
        <v>7</v>
      </c>
      <c r="T2361" t="s">
        <v>46</v>
      </c>
      <c r="U2361">
        <v>5</v>
      </c>
    </row>
    <row r="2362" spans="1:22" x14ac:dyDescent="0.25">
      <c r="A2362" s="1">
        <v>46053</v>
      </c>
      <c r="B2362" t="s">
        <v>2551</v>
      </c>
      <c r="C2362" t="s">
        <v>218</v>
      </c>
      <c r="D2362" t="s">
        <v>34</v>
      </c>
      <c r="E2362" t="s">
        <v>35</v>
      </c>
      <c r="F2362" t="s">
        <v>36</v>
      </c>
      <c r="G2362" t="s">
        <v>37</v>
      </c>
      <c r="H2362" t="s">
        <v>104</v>
      </c>
      <c r="I2362" t="s">
        <v>53</v>
      </c>
      <c r="J2362" s="2">
        <v>6</v>
      </c>
      <c r="K2362" s="3">
        <v>321.39</v>
      </c>
      <c r="L2362" s="3">
        <v>135.57</v>
      </c>
      <c r="M2362" s="4">
        <v>3.6999999999999998E-2</v>
      </c>
      <c r="N2362" s="3">
        <f t="shared" si="180"/>
        <v>1928.34</v>
      </c>
      <c r="O2362" s="3">
        <f t="shared" si="181"/>
        <v>1856.99</v>
      </c>
      <c r="P2362" s="3">
        <f t="shared" si="182"/>
        <v>813.42</v>
      </c>
      <c r="Q2362" s="3">
        <f t="shared" si="183"/>
        <v>1043.57</v>
      </c>
      <c r="R2362" s="4">
        <f t="shared" si="184"/>
        <v>0.56200000000000006</v>
      </c>
      <c r="S2362" s="2">
        <v>5</v>
      </c>
      <c r="T2362" t="s">
        <v>46</v>
      </c>
      <c r="U2362">
        <v>3</v>
      </c>
    </row>
    <row r="2363" spans="1:22" x14ac:dyDescent="0.25">
      <c r="A2363" s="1">
        <v>46104</v>
      </c>
      <c r="B2363" t="s">
        <v>2552</v>
      </c>
      <c r="C2363" t="s">
        <v>226</v>
      </c>
      <c r="D2363" t="s">
        <v>71</v>
      </c>
      <c r="E2363" t="s">
        <v>72</v>
      </c>
      <c r="F2363" t="s">
        <v>64</v>
      </c>
      <c r="G2363" t="s">
        <v>44</v>
      </c>
      <c r="H2363" t="s">
        <v>124</v>
      </c>
      <c r="I2363" t="s">
        <v>60</v>
      </c>
      <c r="J2363" s="2">
        <v>8</v>
      </c>
      <c r="K2363" s="3">
        <v>6241.49</v>
      </c>
      <c r="L2363" s="3">
        <v>4499.3</v>
      </c>
      <c r="M2363" s="4">
        <v>0</v>
      </c>
      <c r="N2363" s="3">
        <f t="shared" si="180"/>
        <v>49931.92</v>
      </c>
      <c r="O2363" s="3">
        <f t="shared" si="181"/>
        <v>49931.92</v>
      </c>
      <c r="P2363" s="3">
        <f t="shared" si="182"/>
        <v>35994.400000000001</v>
      </c>
      <c r="Q2363" s="3">
        <f t="shared" si="183"/>
        <v>13937.52</v>
      </c>
      <c r="R2363" s="4">
        <f t="shared" si="184"/>
        <v>0.27910000000000001</v>
      </c>
      <c r="S2363" s="2">
        <v>9</v>
      </c>
      <c r="T2363" t="s">
        <v>46</v>
      </c>
      <c r="U2363">
        <v>5</v>
      </c>
    </row>
    <row r="2364" spans="1:22" x14ac:dyDescent="0.25">
      <c r="A2364" s="1">
        <v>46155</v>
      </c>
      <c r="B2364" t="s">
        <v>2553</v>
      </c>
      <c r="C2364" t="s">
        <v>349</v>
      </c>
      <c r="D2364" t="s">
        <v>56</v>
      </c>
      <c r="E2364" t="s">
        <v>57</v>
      </c>
      <c r="F2364" t="s">
        <v>36</v>
      </c>
      <c r="G2364" t="s">
        <v>27</v>
      </c>
      <c r="H2364" t="s">
        <v>28</v>
      </c>
      <c r="I2364" t="s">
        <v>74</v>
      </c>
      <c r="J2364" s="2">
        <v>7</v>
      </c>
      <c r="K2364" s="3">
        <v>788.77</v>
      </c>
      <c r="L2364" s="3">
        <v>477.72</v>
      </c>
      <c r="M2364" s="4">
        <v>6.3700000000000007E-2</v>
      </c>
      <c r="N2364" s="3">
        <f t="shared" si="180"/>
        <v>5521.39</v>
      </c>
      <c r="O2364" s="3">
        <f t="shared" si="181"/>
        <v>5169.68</v>
      </c>
      <c r="P2364" s="3">
        <f t="shared" si="182"/>
        <v>3344.04</v>
      </c>
      <c r="Q2364" s="3">
        <f t="shared" si="183"/>
        <v>1825.64</v>
      </c>
      <c r="R2364" s="4">
        <f t="shared" si="184"/>
        <v>0.35310000000000002</v>
      </c>
      <c r="S2364" s="2">
        <v>10</v>
      </c>
      <c r="T2364" t="s">
        <v>46</v>
      </c>
      <c r="U2364">
        <v>2</v>
      </c>
    </row>
    <row r="2365" spans="1:22" x14ac:dyDescent="0.25">
      <c r="A2365" s="1">
        <v>46182</v>
      </c>
      <c r="B2365" t="s">
        <v>2554</v>
      </c>
      <c r="C2365" t="s">
        <v>464</v>
      </c>
      <c r="D2365" t="s">
        <v>207</v>
      </c>
      <c r="E2365" t="s">
        <v>35</v>
      </c>
      <c r="F2365" t="s">
        <v>36</v>
      </c>
      <c r="G2365" t="s">
        <v>51</v>
      </c>
      <c r="H2365" t="s">
        <v>52</v>
      </c>
      <c r="I2365" t="s">
        <v>74</v>
      </c>
      <c r="J2365" s="2">
        <v>8</v>
      </c>
      <c r="K2365" s="3">
        <v>262.23</v>
      </c>
      <c r="L2365" s="3">
        <v>114.12</v>
      </c>
      <c r="M2365" s="4">
        <v>0</v>
      </c>
      <c r="N2365" s="3">
        <f t="shared" si="180"/>
        <v>2097.84</v>
      </c>
      <c r="O2365" s="3">
        <f t="shared" si="181"/>
        <v>2097.84</v>
      </c>
      <c r="P2365" s="3">
        <f t="shared" si="182"/>
        <v>912.96</v>
      </c>
      <c r="Q2365" s="3">
        <f t="shared" si="183"/>
        <v>1184.8800000000001</v>
      </c>
      <c r="R2365" s="4">
        <f t="shared" si="184"/>
        <v>0.56479999999999997</v>
      </c>
      <c r="S2365" s="2">
        <v>13</v>
      </c>
      <c r="T2365" t="s">
        <v>30</v>
      </c>
      <c r="U2365">
        <v>3</v>
      </c>
    </row>
    <row r="2366" spans="1:22" x14ac:dyDescent="0.25">
      <c r="A2366" s="1">
        <v>46115</v>
      </c>
      <c r="B2366" t="s">
        <v>2555</v>
      </c>
      <c r="C2366" t="s">
        <v>70</v>
      </c>
      <c r="D2366" t="s">
        <v>130</v>
      </c>
      <c r="E2366" t="s">
        <v>72</v>
      </c>
      <c r="F2366" t="s">
        <v>64</v>
      </c>
      <c r="G2366" t="s">
        <v>37</v>
      </c>
      <c r="H2366" t="s">
        <v>104</v>
      </c>
      <c r="I2366" t="s">
        <v>74</v>
      </c>
      <c r="J2366" s="2">
        <v>1</v>
      </c>
      <c r="K2366" s="3">
        <v>327.33</v>
      </c>
      <c r="L2366" s="3">
        <v>146.25</v>
      </c>
      <c r="M2366" s="4">
        <v>0.38929999999999998</v>
      </c>
      <c r="N2366" s="3">
        <f t="shared" si="180"/>
        <v>327.33</v>
      </c>
      <c r="O2366" s="3">
        <f t="shared" si="181"/>
        <v>199.9</v>
      </c>
      <c r="P2366" s="3">
        <f t="shared" si="182"/>
        <v>146.25</v>
      </c>
      <c r="Q2366" s="3">
        <f t="shared" si="183"/>
        <v>53.65</v>
      </c>
      <c r="R2366" s="4">
        <f t="shared" si="184"/>
        <v>0.26840000000000003</v>
      </c>
      <c r="S2366" s="2">
        <v>5</v>
      </c>
      <c r="T2366" t="s">
        <v>46</v>
      </c>
      <c r="U2366">
        <v>5</v>
      </c>
      <c r="V2366" t="s">
        <v>31</v>
      </c>
    </row>
    <row r="2367" spans="1:22" x14ac:dyDescent="0.25">
      <c r="A2367" s="1">
        <v>46108</v>
      </c>
      <c r="B2367" t="s">
        <v>2556</v>
      </c>
      <c r="C2367" t="s">
        <v>118</v>
      </c>
      <c r="D2367" t="s">
        <v>130</v>
      </c>
      <c r="E2367" t="s">
        <v>72</v>
      </c>
      <c r="F2367" t="s">
        <v>64</v>
      </c>
      <c r="G2367" t="s">
        <v>51</v>
      </c>
      <c r="H2367" t="s">
        <v>59</v>
      </c>
      <c r="I2367" t="s">
        <v>74</v>
      </c>
      <c r="J2367" s="2">
        <v>8</v>
      </c>
      <c r="K2367" s="3">
        <v>2289.4299999999998</v>
      </c>
      <c r="L2367" s="3">
        <v>1530.03</v>
      </c>
      <c r="M2367" s="4">
        <v>9.7100000000000006E-2</v>
      </c>
      <c r="N2367" s="3">
        <f t="shared" si="180"/>
        <v>18315.439999999999</v>
      </c>
      <c r="O2367" s="3">
        <f t="shared" si="181"/>
        <v>16537.009999999998</v>
      </c>
      <c r="P2367" s="3">
        <f t="shared" si="182"/>
        <v>12240.24</v>
      </c>
      <c r="Q2367" s="3">
        <f t="shared" si="183"/>
        <v>4296.7700000000004</v>
      </c>
      <c r="R2367" s="4">
        <f t="shared" si="184"/>
        <v>0.25979999999999998</v>
      </c>
      <c r="S2367" s="2">
        <v>2</v>
      </c>
      <c r="T2367" t="s">
        <v>46</v>
      </c>
      <c r="U2367">
        <v>4</v>
      </c>
    </row>
    <row r="2368" spans="1:22" x14ac:dyDescent="0.25">
      <c r="A2368" s="1">
        <v>46151</v>
      </c>
      <c r="B2368" t="s">
        <v>2557</v>
      </c>
      <c r="C2368" t="s">
        <v>464</v>
      </c>
      <c r="D2368" t="s">
        <v>97</v>
      </c>
      <c r="E2368" t="s">
        <v>57</v>
      </c>
      <c r="F2368" t="s">
        <v>64</v>
      </c>
      <c r="G2368" t="s">
        <v>27</v>
      </c>
      <c r="H2368" t="s">
        <v>68</v>
      </c>
      <c r="I2368" t="s">
        <v>94</v>
      </c>
      <c r="J2368" s="2">
        <v>6</v>
      </c>
      <c r="K2368" s="3">
        <v>1299.3399999999999</v>
      </c>
      <c r="L2368" s="3">
        <v>786.08</v>
      </c>
      <c r="M2368" s="4">
        <v>0.1135</v>
      </c>
      <c r="N2368" s="3">
        <f t="shared" si="180"/>
        <v>7796.04</v>
      </c>
      <c r="O2368" s="3">
        <f t="shared" si="181"/>
        <v>6911.19</v>
      </c>
      <c r="P2368" s="3">
        <f t="shared" si="182"/>
        <v>4716.4799999999996</v>
      </c>
      <c r="Q2368" s="3">
        <f t="shared" si="183"/>
        <v>2194.71</v>
      </c>
      <c r="R2368" s="4">
        <f t="shared" si="184"/>
        <v>0.31759999999999999</v>
      </c>
      <c r="S2368" s="2">
        <v>4</v>
      </c>
      <c r="T2368" t="s">
        <v>46</v>
      </c>
      <c r="U2368">
        <v>3</v>
      </c>
    </row>
    <row r="2369" spans="1:21" x14ac:dyDescent="0.25">
      <c r="A2369" s="1">
        <v>46149</v>
      </c>
      <c r="B2369" t="s">
        <v>2558</v>
      </c>
      <c r="C2369" t="s">
        <v>67</v>
      </c>
      <c r="D2369" t="s">
        <v>113</v>
      </c>
      <c r="E2369" t="s">
        <v>50</v>
      </c>
      <c r="F2369" t="s">
        <v>64</v>
      </c>
      <c r="G2369" t="s">
        <v>37</v>
      </c>
      <c r="H2369" t="s">
        <v>178</v>
      </c>
      <c r="I2369" t="s">
        <v>53</v>
      </c>
      <c r="J2369" s="2">
        <v>1</v>
      </c>
      <c r="K2369" s="3">
        <v>496.06</v>
      </c>
      <c r="L2369" s="3">
        <v>241.61</v>
      </c>
      <c r="M2369" s="4">
        <v>0</v>
      </c>
      <c r="N2369" s="3">
        <f t="shared" si="180"/>
        <v>496.06</v>
      </c>
      <c r="O2369" s="3">
        <f t="shared" si="181"/>
        <v>496.06</v>
      </c>
      <c r="P2369" s="3">
        <f t="shared" si="182"/>
        <v>241.61</v>
      </c>
      <c r="Q2369" s="3">
        <f t="shared" si="183"/>
        <v>254.45</v>
      </c>
      <c r="R2369" s="4">
        <f t="shared" si="184"/>
        <v>0.51290000000000002</v>
      </c>
      <c r="S2369" s="2">
        <v>14</v>
      </c>
      <c r="T2369" t="s">
        <v>30</v>
      </c>
      <c r="U2369">
        <v>3</v>
      </c>
    </row>
    <row r="2370" spans="1:21" x14ac:dyDescent="0.25">
      <c r="A2370" s="1">
        <v>46056</v>
      </c>
      <c r="B2370" t="s">
        <v>2559</v>
      </c>
      <c r="C2370" t="s">
        <v>253</v>
      </c>
      <c r="D2370" t="s">
        <v>63</v>
      </c>
      <c r="E2370" t="s">
        <v>35</v>
      </c>
      <c r="F2370" t="s">
        <v>58</v>
      </c>
      <c r="G2370" t="s">
        <v>51</v>
      </c>
      <c r="H2370" t="s">
        <v>52</v>
      </c>
      <c r="I2370" t="s">
        <v>65</v>
      </c>
      <c r="J2370" s="2">
        <v>3</v>
      </c>
      <c r="K2370" s="3">
        <v>255.03</v>
      </c>
      <c r="L2370" s="3">
        <v>118.7</v>
      </c>
      <c r="M2370" s="4">
        <v>0.10829999999999999</v>
      </c>
      <c r="N2370" s="3">
        <f t="shared" ref="N2370:N2433" si="185">ROUND(J2370*K2370,2)</f>
        <v>765.09</v>
      </c>
      <c r="O2370" s="3">
        <f t="shared" ref="O2370:O2433" si="186">ROUND(N2370*(1-M2370),2)</f>
        <v>682.23</v>
      </c>
      <c r="P2370" s="3">
        <f t="shared" ref="P2370:P2433" si="187">ROUND(J2370*L2370,2)</f>
        <v>356.1</v>
      </c>
      <c r="Q2370" s="3">
        <f t="shared" ref="Q2370:Q2433" si="188">ROUND(O2370-P2370,2)</f>
        <v>326.13</v>
      </c>
      <c r="R2370" s="4">
        <f t="shared" ref="R2370:R2433" si="189">IF(O2370=0,0,ROUND(Q2370/O2370,4))</f>
        <v>0.47799999999999998</v>
      </c>
      <c r="S2370" s="2">
        <v>10</v>
      </c>
      <c r="T2370" t="s">
        <v>46</v>
      </c>
      <c r="U2370">
        <v>5</v>
      </c>
    </row>
    <row r="2371" spans="1:21" x14ac:dyDescent="0.25">
      <c r="A2371" s="1">
        <v>46092</v>
      </c>
      <c r="B2371" t="s">
        <v>2560</v>
      </c>
      <c r="C2371" t="s">
        <v>266</v>
      </c>
      <c r="D2371" t="s">
        <v>49</v>
      </c>
      <c r="E2371" t="s">
        <v>50</v>
      </c>
      <c r="F2371" t="s">
        <v>26</v>
      </c>
      <c r="G2371" t="s">
        <v>37</v>
      </c>
      <c r="H2371" t="s">
        <v>38</v>
      </c>
      <c r="I2371" t="s">
        <v>77</v>
      </c>
      <c r="J2371" s="2">
        <v>7</v>
      </c>
      <c r="K2371" s="3">
        <v>408.37</v>
      </c>
      <c r="L2371" s="3">
        <v>190.52</v>
      </c>
      <c r="M2371" s="4">
        <v>6.4000000000000001E-2</v>
      </c>
      <c r="N2371" s="3">
        <f t="shared" si="185"/>
        <v>2858.59</v>
      </c>
      <c r="O2371" s="3">
        <f t="shared" si="186"/>
        <v>2675.64</v>
      </c>
      <c r="P2371" s="3">
        <f t="shared" si="187"/>
        <v>1333.64</v>
      </c>
      <c r="Q2371" s="3">
        <f t="shared" si="188"/>
        <v>1342</v>
      </c>
      <c r="R2371" s="4">
        <f t="shared" si="189"/>
        <v>0.50160000000000005</v>
      </c>
      <c r="S2371" s="2">
        <v>10</v>
      </c>
      <c r="T2371" t="s">
        <v>46</v>
      </c>
      <c r="U2371">
        <v>5</v>
      </c>
    </row>
    <row r="2372" spans="1:21" x14ac:dyDescent="0.25">
      <c r="A2372" s="1">
        <v>46196</v>
      </c>
      <c r="B2372" t="s">
        <v>2561</v>
      </c>
      <c r="C2372" t="s">
        <v>55</v>
      </c>
      <c r="D2372" t="s">
        <v>121</v>
      </c>
      <c r="E2372" t="s">
        <v>72</v>
      </c>
      <c r="F2372" t="s">
        <v>36</v>
      </c>
      <c r="G2372" t="s">
        <v>44</v>
      </c>
      <c r="H2372" t="s">
        <v>124</v>
      </c>
      <c r="I2372" t="s">
        <v>92</v>
      </c>
      <c r="J2372" s="2">
        <v>4</v>
      </c>
      <c r="K2372" s="3">
        <v>5839.6</v>
      </c>
      <c r="L2372" s="3">
        <v>4464.51</v>
      </c>
      <c r="M2372" s="4">
        <v>5.9299999999999999E-2</v>
      </c>
      <c r="N2372" s="3">
        <f t="shared" si="185"/>
        <v>23358.400000000001</v>
      </c>
      <c r="O2372" s="3">
        <f t="shared" si="186"/>
        <v>21973.25</v>
      </c>
      <c r="P2372" s="3">
        <f t="shared" si="187"/>
        <v>17858.04</v>
      </c>
      <c r="Q2372" s="3">
        <f t="shared" si="188"/>
        <v>4115.21</v>
      </c>
      <c r="R2372" s="4">
        <f t="shared" si="189"/>
        <v>0.18729999999999999</v>
      </c>
      <c r="S2372" s="2">
        <v>8</v>
      </c>
      <c r="T2372" t="s">
        <v>46</v>
      </c>
      <c r="U2372">
        <v>5</v>
      </c>
    </row>
    <row r="2373" spans="1:21" x14ac:dyDescent="0.25">
      <c r="A2373" s="1">
        <v>46217</v>
      </c>
      <c r="B2373" t="s">
        <v>2562</v>
      </c>
      <c r="C2373" t="s">
        <v>115</v>
      </c>
      <c r="D2373" t="s">
        <v>43</v>
      </c>
      <c r="E2373" t="s">
        <v>25</v>
      </c>
      <c r="F2373" t="s">
        <v>26</v>
      </c>
      <c r="G2373" t="s">
        <v>37</v>
      </c>
      <c r="H2373" t="s">
        <v>38</v>
      </c>
      <c r="I2373" t="s">
        <v>92</v>
      </c>
      <c r="J2373" s="2">
        <v>5</v>
      </c>
      <c r="K2373" s="3">
        <v>427.17</v>
      </c>
      <c r="L2373" s="3">
        <v>197.7</v>
      </c>
      <c r="M2373" s="4">
        <v>5.5500000000000001E-2</v>
      </c>
      <c r="N2373" s="3">
        <f t="shared" si="185"/>
        <v>2135.85</v>
      </c>
      <c r="O2373" s="3">
        <f t="shared" si="186"/>
        <v>2017.31</v>
      </c>
      <c r="P2373" s="3">
        <f t="shared" si="187"/>
        <v>988.5</v>
      </c>
      <c r="Q2373" s="3">
        <f t="shared" si="188"/>
        <v>1028.81</v>
      </c>
      <c r="R2373" s="4">
        <f t="shared" si="189"/>
        <v>0.51</v>
      </c>
      <c r="S2373" s="2">
        <v>14</v>
      </c>
      <c r="T2373" t="s">
        <v>30</v>
      </c>
      <c r="U2373">
        <v>3</v>
      </c>
    </row>
    <row r="2374" spans="1:21" x14ac:dyDescent="0.25">
      <c r="A2374" s="1">
        <v>46197</v>
      </c>
      <c r="B2374" t="s">
        <v>2563</v>
      </c>
      <c r="C2374" t="s">
        <v>560</v>
      </c>
      <c r="D2374" t="s">
        <v>24</v>
      </c>
      <c r="E2374" t="s">
        <v>25</v>
      </c>
      <c r="F2374" t="s">
        <v>36</v>
      </c>
      <c r="G2374" t="s">
        <v>37</v>
      </c>
      <c r="H2374" t="s">
        <v>38</v>
      </c>
      <c r="I2374" t="s">
        <v>60</v>
      </c>
      <c r="J2374" s="2">
        <v>4</v>
      </c>
      <c r="K2374" s="3">
        <v>445.58</v>
      </c>
      <c r="L2374" s="3">
        <v>195.55</v>
      </c>
      <c r="M2374" s="4">
        <v>1.77E-2</v>
      </c>
      <c r="N2374" s="3">
        <f t="shared" si="185"/>
        <v>1782.32</v>
      </c>
      <c r="O2374" s="3">
        <f t="shared" si="186"/>
        <v>1750.77</v>
      </c>
      <c r="P2374" s="3">
        <f t="shared" si="187"/>
        <v>782.2</v>
      </c>
      <c r="Q2374" s="3">
        <f t="shared" si="188"/>
        <v>968.57</v>
      </c>
      <c r="R2374" s="4">
        <f t="shared" si="189"/>
        <v>0.55320000000000003</v>
      </c>
      <c r="S2374" s="2">
        <v>10</v>
      </c>
      <c r="T2374" t="s">
        <v>46</v>
      </c>
      <c r="U2374">
        <v>2</v>
      </c>
    </row>
    <row r="2375" spans="1:21" x14ac:dyDescent="0.25">
      <c r="A2375" s="1">
        <v>46061</v>
      </c>
      <c r="B2375" t="s">
        <v>2564</v>
      </c>
      <c r="C2375" t="s">
        <v>520</v>
      </c>
      <c r="D2375" t="s">
        <v>56</v>
      </c>
      <c r="E2375" t="s">
        <v>57</v>
      </c>
      <c r="F2375" t="s">
        <v>64</v>
      </c>
      <c r="G2375" t="s">
        <v>51</v>
      </c>
      <c r="H2375" t="s">
        <v>59</v>
      </c>
      <c r="I2375" t="s">
        <v>29</v>
      </c>
      <c r="J2375" s="2">
        <v>1</v>
      </c>
      <c r="K2375" s="3">
        <v>2076.46</v>
      </c>
      <c r="L2375" s="3">
        <v>1431.99</v>
      </c>
      <c r="M2375" s="4">
        <v>0</v>
      </c>
      <c r="N2375" s="3">
        <f t="shared" si="185"/>
        <v>2076.46</v>
      </c>
      <c r="O2375" s="3">
        <f t="shared" si="186"/>
        <v>2076.46</v>
      </c>
      <c r="P2375" s="3">
        <f t="shared" si="187"/>
        <v>1431.99</v>
      </c>
      <c r="Q2375" s="3">
        <f t="shared" si="188"/>
        <v>644.47</v>
      </c>
      <c r="R2375" s="4">
        <f t="shared" si="189"/>
        <v>0.31040000000000001</v>
      </c>
      <c r="S2375" s="2">
        <v>7</v>
      </c>
      <c r="T2375" t="s">
        <v>46</v>
      </c>
      <c r="U2375">
        <v>2</v>
      </c>
    </row>
    <row r="2376" spans="1:21" x14ac:dyDescent="0.25">
      <c r="A2376" s="1">
        <v>46208</v>
      </c>
      <c r="B2376" t="s">
        <v>2565</v>
      </c>
      <c r="C2376" t="s">
        <v>110</v>
      </c>
      <c r="D2376" t="s">
        <v>71</v>
      </c>
      <c r="E2376" t="s">
        <v>72</v>
      </c>
      <c r="F2376" t="s">
        <v>64</v>
      </c>
      <c r="G2376" t="s">
        <v>51</v>
      </c>
      <c r="H2376" t="s">
        <v>52</v>
      </c>
      <c r="I2376" t="s">
        <v>53</v>
      </c>
      <c r="J2376" s="2">
        <v>4</v>
      </c>
      <c r="K2376" s="3">
        <v>274.22000000000003</v>
      </c>
      <c r="L2376" s="3">
        <v>121.25</v>
      </c>
      <c r="M2376" s="4">
        <v>0</v>
      </c>
      <c r="N2376" s="3">
        <f t="shared" si="185"/>
        <v>1096.8800000000001</v>
      </c>
      <c r="O2376" s="3">
        <f t="shared" si="186"/>
        <v>1096.8800000000001</v>
      </c>
      <c r="P2376" s="3">
        <f t="shared" si="187"/>
        <v>485</v>
      </c>
      <c r="Q2376" s="3">
        <f t="shared" si="188"/>
        <v>611.88</v>
      </c>
      <c r="R2376" s="4">
        <f t="shared" si="189"/>
        <v>0.55779999999999996</v>
      </c>
      <c r="S2376" s="2">
        <v>9</v>
      </c>
      <c r="T2376" t="s">
        <v>46</v>
      </c>
      <c r="U2376">
        <v>2</v>
      </c>
    </row>
    <row r="2377" spans="1:21" x14ac:dyDescent="0.25">
      <c r="A2377" s="1">
        <v>46077</v>
      </c>
      <c r="B2377" t="s">
        <v>2566</v>
      </c>
      <c r="C2377" t="s">
        <v>260</v>
      </c>
      <c r="D2377" t="s">
        <v>63</v>
      </c>
      <c r="E2377" t="s">
        <v>35</v>
      </c>
      <c r="F2377" t="s">
        <v>26</v>
      </c>
      <c r="G2377" t="s">
        <v>51</v>
      </c>
      <c r="H2377" t="s">
        <v>52</v>
      </c>
      <c r="I2377" t="s">
        <v>92</v>
      </c>
      <c r="J2377" s="2">
        <v>2</v>
      </c>
      <c r="K2377" s="3">
        <v>260.35000000000002</v>
      </c>
      <c r="L2377" s="3">
        <v>113.66</v>
      </c>
      <c r="M2377" s="4">
        <v>0</v>
      </c>
      <c r="N2377" s="3">
        <f t="shared" si="185"/>
        <v>520.70000000000005</v>
      </c>
      <c r="O2377" s="3">
        <f t="shared" si="186"/>
        <v>520.70000000000005</v>
      </c>
      <c r="P2377" s="3">
        <f t="shared" si="187"/>
        <v>227.32</v>
      </c>
      <c r="Q2377" s="3">
        <f t="shared" si="188"/>
        <v>293.38</v>
      </c>
      <c r="R2377" s="4">
        <f t="shared" si="189"/>
        <v>0.56340000000000001</v>
      </c>
      <c r="S2377" s="2">
        <v>14</v>
      </c>
      <c r="T2377" t="s">
        <v>30</v>
      </c>
      <c r="U2377">
        <v>3</v>
      </c>
    </row>
    <row r="2378" spans="1:21" x14ac:dyDescent="0.25">
      <c r="A2378" s="1">
        <v>46201</v>
      </c>
      <c r="B2378" t="s">
        <v>2567</v>
      </c>
      <c r="C2378" t="s">
        <v>70</v>
      </c>
      <c r="D2378" t="s">
        <v>49</v>
      </c>
      <c r="E2378" t="s">
        <v>50</v>
      </c>
      <c r="F2378" t="s">
        <v>26</v>
      </c>
      <c r="G2378" t="s">
        <v>44</v>
      </c>
      <c r="H2378" t="s">
        <v>73</v>
      </c>
      <c r="I2378" t="s">
        <v>92</v>
      </c>
      <c r="J2378" s="2">
        <v>4</v>
      </c>
      <c r="K2378" s="3">
        <v>1607.53</v>
      </c>
      <c r="L2378" s="3">
        <v>1068.4000000000001</v>
      </c>
      <c r="M2378" s="4">
        <v>3.0000000000000001E-3</v>
      </c>
      <c r="N2378" s="3">
        <f t="shared" si="185"/>
        <v>6430.12</v>
      </c>
      <c r="O2378" s="3">
        <f t="shared" si="186"/>
        <v>6410.83</v>
      </c>
      <c r="P2378" s="3">
        <f t="shared" si="187"/>
        <v>4273.6000000000004</v>
      </c>
      <c r="Q2378" s="3">
        <f t="shared" si="188"/>
        <v>2137.23</v>
      </c>
      <c r="R2378" s="4">
        <f t="shared" si="189"/>
        <v>0.33339999999999997</v>
      </c>
      <c r="S2378" s="2">
        <v>11</v>
      </c>
      <c r="T2378" t="s">
        <v>30</v>
      </c>
      <c r="U2378">
        <v>4</v>
      </c>
    </row>
    <row r="2379" spans="1:21" x14ac:dyDescent="0.25">
      <c r="A2379" s="1">
        <v>46074</v>
      </c>
      <c r="B2379" t="s">
        <v>2568</v>
      </c>
      <c r="C2379" t="s">
        <v>433</v>
      </c>
      <c r="D2379" t="s">
        <v>43</v>
      </c>
      <c r="E2379" t="s">
        <v>25</v>
      </c>
      <c r="F2379" t="s">
        <v>58</v>
      </c>
      <c r="G2379" t="s">
        <v>27</v>
      </c>
      <c r="H2379" t="s">
        <v>86</v>
      </c>
      <c r="I2379" t="s">
        <v>53</v>
      </c>
      <c r="J2379" s="2">
        <v>3</v>
      </c>
      <c r="K2379" s="3">
        <v>1969.42</v>
      </c>
      <c r="L2379" s="3">
        <v>1247.3800000000001</v>
      </c>
      <c r="M2379" s="4">
        <v>0.1459</v>
      </c>
      <c r="N2379" s="3">
        <f t="shared" si="185"/>
        <v>5908.26</v>
      </c>
      <c r="O2379" s="3">
        <f t="shared" si="186"/>
        <v>5046.24</v>
      </c>
      <c r="P2379" s="3">
        <f t="shared" si="187"/>
        <v>3742.14</v>
      </c>
      <c r="Q2379" s="3">
        <f t="shared" si="188"/>
        <v>1304.0999999999999</v>
      </c>
      <c r="R2379" s="4">
        <f t="shared" si="189"/>
        <v>0.25840000000000002</v>
      </c>
      <c r="S2379" s="2">
        <v>10</v>
      </c>
      <c r="T2379" t="s">
        <v>46</v>
      </c>
      <c r="U2379">
        <v>3</v>
      </c>
    </row>
    <row r="2380" spans="1:21" x14ac:dyDescent="0.25">
      <c r="A2380" s="1">
        <v>46068</v>
      </c>
      <c r="B2380" t="s">
        <v>2569</v>
      </c>
      <c r="C2380" t="s">
        <v>180</v>
      </c>
      <c r="D2380" t="s">
        <v>85</v>
      </c>
      <c r="E2380" t="s">
        <v>50</v>
      </c>
      <c r="F2380" t="s">
        <v>64</v>
      </c>
      <c r="G2380" t="s">
        <v>37</v>
      </c>
      <c r="H2380" t="s">
        <v>38</v>
      </c>
      <c r="I2380" t="s">
        <v>92</v>
      </c>
      <c r="J2380" s="2">
        <v>2</v>
      </c>
      <c r="K2380" s="3">
        <v>428.05</v>
      </c>
      <c r="L2380" s="3">
        <v>191.83</v>
      </c>
      <c r="M2380" s="4">
        <v>3.49E-2</v>
      </c>
      <c r="N2380" s="3">
        <f t="shared" si="185"/>
        <v>856.1</v>
      </c>
      <c r="O2380" s="3">
        <f t="shared" si="186"/>
        <v>826.22</v>
      </c>
      <c r="P2380" s="3">
        <f t="shared" si="187"/>
        <v>383.66</v>
      </c>
      <c r="Q2380" s="3">
        <f t="shared" si="188"/>
        <v>442.56</v>
      </c>
      <c r="R2380" s="4">
        <f t="shared" si="189"/>
        <v>0.53559999999999997</v>
      </c>
      <c r="S2380" s="2">
        <v>8</v>
      </c>
      <c r="T2380" t="s">
        <v>46</v>
      </c>
      <c r="U2380">
        <v>2</v>
      </c>
    </row>
    <row r="2381" spans="1:21" x14ac:dyDescent="0.25">
      <c r="A2381" s="1">
        <v>46110</v>
      </c>
      <c r="B2381" t="s">
        <v>2570</v>
      </c>
      <c r="C2381" t="s">
        <v>317</v>
      </c>
      <c r="D2381" t="s">
        <v>34</v>
      </c>
      <c r="E2381" t="s">
        <v>35</v>
      </c>
      <c r="F2381" t="s">
        <v>36</v>
      </c>
      <c r="G2381" t="s">
        <v>51</v>
      </c>
      <c r="H2381" t="s">
        <v>52</v>
      </c>
      <c r="I2381" t="s">
        <v>60</v>
      </c>
      <c r="J2381" s="2">
        <v>4</v>
      </c>
      <c r="K2381" s="3">
        <v>259.97000000000003</v>
      </c>
      <c r="L2381" s="3">
        <v>119.61</v>
      </c>
      <c r="M2381" s="4">
        <v>5.0799999999999998E-2</v>
      </c>
      <c r="N2381" s="3">
        <f t="shared" si="185"/>
        <v>1039.8800000000001</v>
      </c>
      <c r="O2381" s="3">
        <f t="shared" si="186"/>
        <v>987.05</v>
      </c>
      <c r="P2381" s="3">
        <f t="shared" si="187"/>
        <v>478.44</v>
      </c>
      <c r="Q2381" s="3">
        <f t="shared" si="188"/>
        <v>508.61</v>
      </c>
      <c r="R2381" s="4">
        <f t="shared" si="189"/>
        <v>0.51529999999999998</v>
      </c>
      <c r="S2381" s="2">
        <v>4</v>
      </c>
      <c r="T2381" t="s">
        <v>46</v>
      </c>
      <c r="U2381">
        <v>5</v>
      </c>
    </row>
    <row r="2382" spans="1:21" x14ac:dyDescent="0.25">
      <c r="A2382" s="1">
        <v>46193</v>
      </c>
      <c r="B2382" t="s">
        <v>2571</v>
      </c>
      <c r="C2382" t="s">
        <v>375</v>
      </c>
      <c r="D2382" t="s">
        <v>49</v>
      </c>
      <c r="E2382" t="s">
        <v>50</v>
      </c>
      <c r="F2382" t="s">
        <v>36</v>
      </c>
      <c r="G2382" t="s">
        <v>27</v>
      </c>
      <c r="H2382" t="s">
        <v>86</v>
      </c>
      <c r="I2382" t="s">
        <v>77</v>
      </c>
      <c r="J2382" s="2">
        <v>5</v>
      </c>
      <c r="K2382" s="3">
        <v>1855.8</v>
      </c>
      <c r="L2382" s="3">
        <v>1211.48</v>
      </c>
      <c r="M2382" s="4">
        <v>7.3099999999999998E-2</v>
      </c>
      <c r="N2382" s="3">
        <f t="shared" si="185"/>
        <v>9279</v>
      </c>
      <c r="O2382" s="3">
        <f t="shared" si="186"/>
        <v>8600.7099999999991</v>
      </c>
      <c r="P2382" s="3">
        <f t="shared" si="187"/>
        <v>6057.4</v>
      </c>
      <c r="Q2382" s="3">
        <f t="shared" si="188"/>
        <v>2543.31</v>
      </c>
      <c r="R2382" s="4">
        <f t="shared" si="189"/>
        <v>0.29570000000000002</v>
      </c>
      <c r="S2382" s="2">
        <v>13</v>
      </c>
      <c r="T2382" t="s">
        <v>30</v>
      </c>
      <c r="U2382">
        <v>3</v>
      </c>
    </row>
    <row r="2383" spans="1:21" x14ac:dyDescent="0.25">
      <c r="A2383" s="1">
        <v>46096</v>
      </c>
      <c r="B2383" t="s">
        <v>2572</v>
      </c>
      <c r="C2383" t="s">
        <v>247</v>
      </c>
      <c r="D2383" t="s">
        <v>126</v>
      </c>
      <c r="E2383" t="s">
        <v>57</v>
      </c>
      <c r="F2383" t="s">
        <v>58</v>
      </c>
      <c r="G2383" t="s">
        <v>27</v>
      </c>
      <c r="H2383" t="s">
        <v>68</v>
      </c>
      <c r="I2383" t="s">
        <v>87</v>
      </c>
      <c r="J2383" s="2">
        <v>4</v>
      </c>
      <c r="K2383" s="3">
        <v>1236.9100000000001</v>
      </c>
      <c r="L2383" s="3">
        <v>803.61</v>
      </c>
      <c r="M2383" s="4">
        <v>0.13980000000000001</v>
      </c>
      <c r="N2383" s="3">
        <f t="shared" si="185"/>
        <v>4947.6400000000003</v>
      </c>
      <c r="O2383" s="3">
        <f t="shared" si="186"/>
        <v>4255.96</v>
      </c>
      <c r="P2383" s="3">
        <f t="shared" si="187"/>
        <v>3214.44</v>
      </c>
      <c r="Q2383" s="3">
        <f t="shared" si="188"/>
        <v>1041.52</v>
      </c>
      <c r="R2383" s="4">
        <f t="shared" si="189"/>
        <v>0.2447</v>
      </c>
      <c r="S2383" s="2">
        <v>9</v>
      </c>
      <c r="T2383" t="s">
        <v>46</v>
      </c>
      <c r="U2383">
        <v>4</v>
      </c>
    </row>
    <row r="2384" spans="1:21" x14ac:dyDescent="0.25">
      <c r="A2384" s="1">
        <v>46049</v>
      </c>
      <c r="B2384" t="s">
        <v>2573</v>
      </c>
      <c r="C2384" t="s">
        <v>329</v>
      </c>
      <c r="D2384" t="s">
        <v>130</v>
      </c>
      <c r="E2384" t="s">
        <v>72</v>
      </c>
      <c r="F2384" t="s">
        <v>64</v>
      </c>
      <c r="G2384" t="s">
        <v>27</v>
      </c>
      <c r="H2384" t="s">
        <v>86</v>
      </c>
      <c r="I2384" t="s">
        <v>74</v>
      </c>
      <c r="J2384" s="2">
        <v>6</v>
      </c>
      <c r="K2384" s="3">
        <v>1790.94</v>
      </c>
      <c r="L2384" s="3">
        <v>1211.76</v>
      </c>
      <c r="M2384" s="4">
        <v>9.3399999999999997E-2</v>
      </c>
      <c r="N2384" s="3">
        <f t="shared" si="185"/>
        <v>10745.64</v>
      </c>
      <c r="O2384" s="3">
        <f t="shared" si="186"/>
        <v>9742</v>
      </c>
      <c r="P2384" s="3">
        <f t="shared" si="187"/>
        <v>7270.56</v>
      </c>
      <c r="Q2384" s="3">
        <f t="shared" si="188"/>
        <v>2471.44</v>
      </c>
      <c r="R2384" s="4">
        <f t="shared" si="189"/>
        <v>0.25369999999999998</v>
      </c>
      <c r="S2384" s="2">
        <v>10</v>
      </c>
      <c r="T2384" t="s">
        <v>46</v>
      </c>
      <c r="U2384">
        <v>2</v>
      </c>
    </row>
    <row r="2385" spans="1:21" x14ac:dyDescent="0.25">
      <c r="A2385" s="1">
        <v>46183</v>
      </c>
      <c r="B2385" t="s">
        <v>2574</v>
      </c>
      <c r="C2385" t="s">
        <v>79</v>
      </c>
      <c r="D2385" t="s">
        <v>85</v>
      </c>
      <c r="E2385" t="s">
        <v>50</v>
      </c>
      <c r="F2385" t="s">
        <v>58</v>
      </c>
      <c r="G2385" t="s">
        <v>27</v>
      </c>
      <c r="H2385" t="s">
        <v>86</v>
      </c>
      <c r="I2385" t="s">
        <v>77</v>
      </c>
      <c r="J2385" s="2">
        <v>5</v>
      </c>
      <c r="K2385" s="3">
        <v>1975.5</v>
      </c>
      <c r="L2385" s="3">
        <v>1190.17</v>
      </c>
      <c r="M2385" s="4">
        <v>0.11210000000000001</v>
      </c>
      <c r="N2385" s="3">
        <f t="shared" si="185"/>
        <v>9877.5</v>
      </c>
      <c r="O2385" s="3">
        <f t="shared" si="186"/>
        <v>8770.23</v>
      </c>
      <c r="P2385" s="3">
        <f t="shared" si="187"/>
        <v>5950.85</v>
      </c>
      <c r="Q2385" s="3">
        <f t="shared" si="188"/>
        <v>2819.38</v>
      </c>
      <c r="R2385" s="4">
        <f t="shared" si="189"/>
        <v>0.32150000000000001</v>
      </c>
      <c r="S2385" s="2">
        <v>12</v>
      </c>
      <c r="T2385" t="s">
        <v>30</v>
      </c>
      <c r="U2385">
        <v>4</v>
      </c>
    </row>
    <row r="2386" spans="1:21" x14ac:dyDescent="0.25">
      <c r="A2386" s="1">
        <v>46058</v>
      </c>
      <c r="B2386" t="s">
        <v>2575</v>
      </c>
      <c r="C2386" t="s">
        <v>370</v>
      </c>
      <c r="D2386" t="s">
        <v>63</v>
      </c>
      <c r="E2386" t="s">
        <v>35</v>
      </c>
      <c r="F2386" t="s">
        <v>36</v>
      </c>
      <c r="G2386" t="s">
        <v>37</v>
      </c>
      <c r="H2386" t="s">
        <v>104</v>
      </c>
      <c r="I2386" t="s">
        <v>29</v>
      </c>
      <c r="J2386" s="2">
        <v>6</v>
      </c>
      <c r="K2386" s="3">
        <v>317.92</v>
      </c>
      <c r="L2386" s="3">
        <v>132.57</v>
      </c>
      <c r="M2386" s="4">
        <v>6.3100000000000003E-2</v>
      </c>
      <c r="N2386" s="3">
        <f t="shared" si="185"/>
        <v>1907.52</v>
      </c>
      <c r="O2386" s="3">
        <f t="shared" si="186"/>
        <v>1787.16</v>
      </c>
      <c r="P2386" s="3">
        <f t="shared" si="187"/>
        <v>795.42</v>
      </c>
      <c r="Q2386" s="3">
        <f t="shared" si="188"/>
        <v>991.74</v>
      </c>
      <c r="R2386" s="4">
        <f t="shared" si="189"/>
        <v>0.55489999999999995</v>
      </c>
      <c r="S2386" s="2">
        <v>7</v>
      </c>
      <c r="T2386" t="s">
        <v>46</v>
      </c>
      <c r="U2386">
        <v>2</v>
      </c>
    </row>
    <row r="2387" spans="1:21" x14ac:dyDescent="0.25">
      <c r="A2387" s="1">
        <v>46161</v>
      </c>
      <c r="B2387" t="s">
        <v>2576</v>
      </c>
      <c r="C2387" t="s">
        <v>447</v>
      </c>
      <c r="D2387" t="s">
        <v>71</v>
      </c>
      <c r="E2387" t="s">
        <v>72</v>
      </c>
      <c r="F2387" t="s">
        <v>58</v>
      </c>
      <c r="G2387" t="s">
        <v>51</v>
      </c>
      <c r="H2387" t="s">
        <v>116</v>
      </c>
      <c r="I2387" t="s">
        <v>60</v>
      </c>
      <c r="J2387" s="2">
        <v>2</v>
      </c>
      <c r="K2387" s="3">
        <v>2829.78</v>
      </c>
      <c r="L2387" s="3">
        <v>1803.95</v>
      </c>
      <c r="M2387" s="4">
        <v>3.5000000000000003E-2</v>
      </c>
      <c r="N2387" s="3">
        <f t="shared" si="185"/>
        <v>5659.56</v>
      </c>
      <c r="O2387" s="3">
        <f t="shared" si="186"/>
        <v>5461.48</v>
      </c>
      <c r="P2387" s="3">
        <f t="shared" si="187"/>
        <v>3607.9</v>
      </c>
      <c r="Q2387" s="3">
        <f t="shared" si="188"/>
        <v>1853.58</v>
      </c>
      <c r="R2387" s="4">
        <f t="shared" si="189"/>
        <v>0.33939999999999998</v>
      </c>
      <c r="S2387" s="2">
        <v>5</v>
      </c>
      <c r="T2387" t="s">
        <v>46</v>
      </c>
      <c r="U2387">
        <v>2</v>
      </c>
    </row>
    <row r="2388" spans="1:21" x14ac:dyDescent="0.25">
      <c r="A2388" s="1">
        <v>46059</v>
      </c>
      <c r="B2388" t="s">
        <v>2577</v>
      </c>
      <c r="C2388" t="s">
        <v>110</v>
      </c>
      <c r="D2388" t="s">
        <v>97</v>
      </c>
      <c r="E2388" t="s">
        <v>57</v>
      </c>
      <c r="F2388" t="s">
        <v>36</v>
      </c>
      <c r="G2388" t="s">
        <v>44</v>
      </c>
      <c r="H2388" t="s">
        <v>45</v>
      </c>
      <c r="I2388" t="s">
        <v>74</v>
      </c>
      <c r="J2388" s="2">
        <v>6</v>
      </c>
      <c r="K2388" s="3">
        <v>411.89</v>
      </c>
      <c r="L2388" s="3">
        <v>217.64</v>
      </c>
      <c r="M2388" s="4">
        <v>0</v>
      </c>
      <c r="N2388" s="3">
        <f t="shared" si="185"/>
        <v>2471.34</v>
      </c>
      <c r="O2388" s="3">
        <f t="shared" si="186"/>
        <v>2471.34</v>
      </c>
      <c r="P2388" s="3">
        <f t="shared" si="187"/>
        <v>1305.8399999999999</v>
      </c>
      <c r="Q2388" s="3">
        <f t="shared" si="188"/>
        <v>1165.5</v>
      </c>
      <c r="R2388" s="4">
        <f t="shared" si="189"/>
        <v>0.47160000000000002</v>
      </c>
      <c r="S2388" s="2">
        <v>12</v>
      </c>
      <c r="T2388" t="s">
        <v>30</v>
      </c>
      <c r="U2388">
        <v>5</v>
      </c>
    </row>
    <row r="2389" spans="1:21" x14ac:dyDescent="0.25">
      <c r="A2389" s="1">
        <v>46204</v>
      </c>
      <c r="B2389" t="s">
        <v>2578</v>
      </c>
      <c r="C2389" t="s">
        <v>62</v>
      </c>
      <c r="D2389" t="s">
        <v>24</v>
      </c>
      <c r="E2389" t="s">
        <v>25</v>
      </c>
      <c r="F2389" t="s">
        <v>58</v>
      </c>
      <c r="G2389" t="s">
        <v>37</v>
      </c>
      <c r="H2389" t="s">
        <v>38</v>
      </c>
      <c r="I2389" t="s">
        <v>77</v>
      </c>
      <c r="J2389" s="2">
        <v>5</v>
      </c>
      <c r="K2389" s="3">
        <v>449.52</v>
      </c>
      <c r="L2389" s="3">
        <v>192.22</v>
      </c>
      <c r="M2389" s="4">
        <v>4.9500000000000002E-2</v>
      </c>
      <c r="N2389" s="3">
        <f t="shared" si="185"/>
        <v>2247.6</v>
      </c>
      <c r="O2389" s="3">
        <f t="shared" si="186"/>
        <v>2136.34</v>
      </c>
      <c r="P2389" s="3">
        <f t="shared" si="187"/>
        <v>961.1</v>
      </c>
      <c r="Q2389" s="3">
        <f t="shared" si="188"/>
        <v>1175.24</v>
      </c>
      <c r="R2389" s="4">
        <f t="shared" si="189"/>
        <v>0.55010000000000003</v>
      </c>
      <c r="S2389" s="2">
        <v>12</v>
      </c>
      <c r="T2389" t="s">
        <v>30</v>
      </c>
      <c r="U2389">
        <v>4</v>
      </c>
    </row>
    <row r="2390" spans="1:21" x14ac:dyDescent="0.25">
      <c r="A2390" s="1">
        <v>46119</v>
      </c>
      <c r="B2390" t="s">
        <v>2579</v>
      </c>
      <c r="C2390" t="s">
        <v>464</v>
      </c>
      <c r="D2390" t="s">
        <v>56</v>
      </c>
      <c r="E2390" t="s">
        <v>57</v>
      </c>
      <c r="F2390" t="s">
        <v>64</v>
      </c>
      <c r="G2390" t="s">
        <v>37</v>
      </c>
      <c r="H2390" t="s">
        <v>38</v>
      </c>
      <c r="I2390" t="s">
        <v>74</v>
      </c>
      <c r="J2390" s="2">
        <v>6</v>
      </c>
      <c r="K2390" s="3">
        <v>424.73</v>
      </c>
      <c r="L2390" s="3">
        <v>192.01</v>
      </c>
      <c r="M2390" s="4">
        <v>0</v>
      </c>
      <c r="N2390" s="3">
        <f t="shared" si="185"/>
        <v>2548.38</v>
      </c>
      <c r="O2390" s="3">
        <f t="shared" si="186"/>
        <v>2548.38</v>
      </c>
      <c r="P2390" s="3">
        <f t="shared" si="187"/>
        <v>1152.06</v>
      </c>
      <c r="Q2390" s="3">
        <f t="shared" si="188"/>
        <v>1396.32</v>
      </c>
      <c r="R2390" s="4">
        <f t="shared" si="189"/>
        <v>0.54790000000000005</v>
      </c>
      <c r="S2390" s="2">
        <v>3</v>
      </c>
      <c r="T2390" t="s">
        <v>46</v>
      </c>
      <c r="U2390">
        <v>3</v>
      </c>
    </row>
    <row r="2391" spans="1:21" x14ac:dyDescent="0.25">
      <c r="A2391" s="1">
        <v>46217</v>
      </c>
      <c r="B2391" t="s">
        <v>2580</v>
      </c>
      <c r="C2391" t="s">
        <v>42</v>
      </c>
      <c r="D2391" t="s">
        <v>126</v>
      </c>
      <c r="E2391" t="s">
        <v>57</v>
      </c>
      <c r="F2391" t="s">
        <v>58</v>
      </c>
      <c r="G2391" t="s">
        <v>27</v>
      </c>
      <c r="H2391" t="s">
        <v>28</v>
      </c>
      <c r="I2391" t="s">
        <v>53</v>
      </c>
      <c r="J2391" s="2">
        <v>3</v>
      </c>
      <c r="K2391" s="3">
        <v>754.19</v>
      </c>
      <c r="L2391" s="3">
        <v>444.16</v>
      </c>
      <c r="M2391" s="4">
        <v>3.5000000000000003E-2</v>
      </c>
      <c r="N2391" s="3">
        <f t="shared" si="185"/>
        <v>2262.5700000000002</v>
      </c>
      <c r="O2391" s="3">
        <f t="shared" si="186"/>
        <v>2183.38</v>
      </c>
      <c r="P2391" s="3">
        <f t="shared" si="187"/>
        <v>1332.48</v>
      </c>
      <c r="Q2391" s="3">
        <f t="shared" si="188"/>
        <v>850.9</v>
      </c>
      <c r="R2391" s="4">
        <f t="shared" si="189"/>
        <v>0.38969999999999999</v>
      </c>
      <c r="S2391" s="2">
        <v>13</v>
      </c>
      <c r="T2391" t="s">
        <v>30</v>
      </c>
      <c r="U2391">
        <v>3</v>
      </c>
    </row>
    <row r="2392" spans="1:21" x14ac:dyDescent="0.25">
      <c r="A2392" s="1">
        <v>46052</v>
      </c>
      <c r="B2392" t="s">
        <v>2581</v>
      </c>
      <c r="C2392" t="s">
        <v>211</v>
      </c>
      <c r="D2392" t="s">
        <v>85</v>
      </c>
      <c r="E2392" t="s">
        <v>50</v>
      </c>
      <c r="F2392" t="s">
        <v>58</v>
      </c>
      <c r="G2392" t="s">
        <v>37</v>
      </c>
      <c r="H2392" t="s">
        <v>178</v>
      </c>
      <c r="I2392" t="s">
        <v>77</v>
      </c>
      <c r="J2392" s="2">
        <v>5</v>
      </c>
      <c r="K2392" s="3">
        <v>499.98</v>
      </c>
      <c r="L2392" s="3">
        <v>251.53</v>
      </c>
      <c r="M2392" s="4">
        <v>9.5100000000000004E-2</v>
      </c>
      <c r="N2392" s="3">
        <f t="shared" si="185"/>
        <v>2499.9</v>
      </c>
      <c r="O2392" s="3">
        <f t="shared" si="186"/>
        <v>2262.16</v>
      </c>
      <c r="P2392" s="3">
        <f t="shared" si="187"/>
        <v>1257.6500000000001</v>
      </c>
      <c r="Q2392" s="3">
        <f t="shared" si="188"/>
        <v>1004.51</v>
      </c>
      <c r="R2392" s="4">
        <f t="shared" si="189"/>
        <v>0.44400000000000001</v>
      </c>
      <c r="S2392" s="2">
        <v>8</v>
      </c>
      <c r="T2392" t="s">
        <v>46</v>
      </c>
      <c r="U2392">
        <v>2</v>
      </c>
    </row>
    <row r="2393" spans="1:21" x14ac:dyDescent="0.25">
      <c r="A2393" s="1">
        <v>46070</v>
      </c>
      <c r="B2393" t="s">
        <v>2582</v>
      </c>
      <c r="C2393" t="s">
        <v>240</v>
      </c>
      <c r="D2393" t="s">
        <v>113</v>
      </c>
      <c r="E2393" t="s">
        <v>50</v>
      </c>
      <c r="F2393" t="s">
        <v>26</v>
      </c>
      <c r="G2393" t="s">
        <v>51</v>
      </c>
      <c r="H2393" t="s">
        <v>116</v>
      </c>
      <c r="I2393" t="s">
        <v>29</v>
      </c>
      <c r="J2393" s="2">
        <v>7</v>
      </c>
      <c r="K2393" s="3">
        <v>2777.77</v>
      </c>
      <c r="L2393" s="3">
        <v>1884.27</v>
      </c>
      <c r="M2393" s="4">
        <v>0</v>
      </c>
      <c r="N2393" s="3">
        <f t="shared" si="185"/>
        <v>19444.39</v>
      </c>
      <c r="O2393" s="3">
        <f t="shared" si="186"/>
        <v>19444.39</v>
      </c>
      <c r="P2393" s="3">
        <f t="shared" si="187"/>
        <v>13189.89</v>
      </c>
      <c r="Q2393" s="3">
        <f t="shared" si="188"/>
        <v>6254.5</v>
      </c>
      <c r="R2393" s="4">
        <f t="shared" si="189"/>
        <v>0.32169999999999999</v>
      </c>
      <c r="S2393" s="2">
        <v>13</v>
      </c>
      <c r="T2393" t="s">
        <v>30</v>
      </c>
      <c r="U2393">
        <v>2</v>
      </c>
    </row>
    <row r="2394" spans="1:21" x14ac:dyDescent="0.25">
      <c r="A2394" s="1">
        <v>46090</v>
      </c>
      <c r="B2394" t="s">
        <v>2583</v>
      </c>
      <c r="C2394" t="s">
        <v>42</v>
      </c>
      <c r="D2394" t="s">
        <v>43</v>
      </c>
      <c r="E2394" t="s">
        <v>25</v>
      </c>
      <c r="F2394" t="s">
        <v>36</v>
      </c>
      <c r="G2394" t="s">
        <v>37</v>
      </c>
      <c r="H2394" t="s">
        <v>178</v>
      </c>
      <c r="I2394" t="s">
        <v>87</v>
      </c>
      <c r="J2394" s="2">
        <v>6</v>
      </c>
      <c r="K2394" s="3">
        <v>489.53</v>
      </c>
      <c r="L2394" s="3">
        <v>253.66</v>
      </c>
      <c r="M2394" s="4">
        <v>1.15E-2</v>
      </c>
      <c r="N2394" s="3">
        <f t="shared" si="185"/>
        <v>2937.18</v>
      </c>
      <c r="O2394" s="3">
        <f t="shared" si="186"/>
        <v>2903.4</v>
      </c>
      <c r="P2394" s="3">
        <f t="shared" si="187"/>
        <v>1521.96</v>
      </c>
      <c r="Q2394" s="3">
        <f t="shared" si="188"/>
        <v>1381.44</v>
      </c>
      <c r="R2394" s="4">
        <f t="shared" si="189"/>
        <v>0.4758</v>
      </c>
      <c r="S2394" s="2">
        <v>2</v>
      </c>
      <c r="T2394" t="s">
        <v>46</v>
      </c>
      <c r="U2394">
        <v>3</v>
      </c>
    </row>
    <row r="2395" spans="1:21" x14ac:dyDescent="0.25">
      <c r="A2395" s="1">
        <v>46072</v>
      </c>
      <c r="B2395" t="s">
        <v>2584</v>
      </c>
      <c r="C2395" t="s">
        <v>182</v>
      </c>
      <c r="D2395" t="s">
        <v>207</v>
      </c>
      <c r="E2395" t="s">
        <v>35</v>
      </c>
      <c r="F2395" t="s">
        <v>36</v>
      </c>
      <c r="G2395" t="s">
        <v>37</v>
      </c>
      <c r="H2395" t="s">
        <v>104</v>
      </c>
      <c r="I2395" t="s">
        <v>29</v>
      </c>
      <c r="J2395" s="2">
        <v>3</v>
      </c>
      <c r="K2395" s="3">
        <v>315.38</v>
      </c>
      <c r="L2395" s="3">
        <v>132.25</v>
      </c>
      <c r="M2395" s="4">
        <v>5.6500000000000002E-2</v>
      </c>
      <c r="N2395" s="3">
        <f t="shared" si="185"/>
        <v>946.14</v>
      </c>
      <c r="O2395" s="3">
        <f t="shared" si="186"/>
        <v>892.68</v>
      </c>
      <c r="P2395" s="3">
        <f t="shared" si="187"/>
        <v>396.75</v>
      </c>
      <c r="Q2395" s="3">
        <f t="shared" si="188"/>
        <v>495.93</v>
      </c>
      <c r="R2395" s="4">
        <f t="shared" si="189"/>
        <v>0.55559999999999998</v>
      </c>
      <c r="S2395" s="2">
        <v>3</v>
      </c>
      <c r="T2395" t="s">
        <v>46</v>
      </c>
      <c r="U2395">
        <v>2</v>
      </c>
    </row>
    <row r="2396" spans="1:21" x14ac:dyDescent="0.25">
      <c r="A2396" s="1">
        <v>46054</v>
      </c>
      <c r="B2396" t="s">
        <v>2585</v>
      </c>
      <c r="C2396" t="s">
        <v>89</v>
      </c>
      <c r="D2396" t="s">
        <v>85</v>
      </c>
      <c r="E2396" t="s">
        <v>50</v>
      </c>
      <c r="F2396" t="s">
        <v>26</v>
      </c>
      <c r="G2396" t="s">
        <v>44</v>
      </c>
      <c r="H2396" t="s">
        <v>124</v>
      </c>
      <c r="I2396" t="s">
        <v>92</v>
      </c>
      <c r="J2396" s="2">
        <v>3</v>
      </c>
      <c r="K2396" s="3">
        <v>5689.1</v>
      </c>
      <c r="L2396" s="3">
        <v>4275.22</v>
      </c>
      <c r="M2396" s="4">
        <v>0.11849999999999999</v>
      </c>
      <c r="N2396" s="3">
        <f t="shared" si="185"/>
        <v>17067.3</v>
      </c>
      <c r="O2396" s="3">
        <f t="shared" si="186"/>
        <v>15044.82</v>
      </c>
      <c r="P2396" s="3">
        <f t="shared" si="187"/>
        <v>12825.66</v>
      </c>
      <c r="Q2396" s="3">
        <f t="shared" si="188"/>
        <v>2219.16</v>
      </c>
      <c r="R2396" s="4">
        <f t="shared" si="189"/>
        <v>0.14749999999999999</v>
      </c>
      <c r="S2396" s="2">
        <v>13</v>
      </c>
      <c r="T2396" t="s">
        <v>30</v>
      </c>
      <c r="U2396">
        <v>4</v>
      </c>
    </row>
    <row r="2397" spans="1:21" x14ac:dyDescent="0.25">
      <c r="A2397" s="1">
        <v>46066</v>
      </c>
      <c r="B2397" t="s">
        <v>2586</v>
      </c>
      <c r="C2397" t="s">
        <v>159</v>
      </c>
      <c r="D2397" t="s">
        <v>43</v>
      </c>
      <c r="E2397" t="s">
        <v>25</v>
      </c>
      <c r="F2397" t="s">
        <v>26</v>
      </c>
      <c r="G2397" t="s">
        <v>37</v>
      </c>
      <c r="H2397" t="s">
        <v>104</v>
      </c>
      <c r="I2397" t="s">
        <v>29</v>
      </c>
      <c r="J2397" s="2">
        <v>4</v>
      </c>
      <c r="K2397" s="3">
        <v>319.12</v>
      </c>
      <c r="L2397" s="3">
        <v>136.24</v>
      </c>
      <c r="M2397" s="4">
        <v>4.7000000000000002E-3</v>
      </c>
      <c r="N2397" s="3">
        <f t="shared" si="185"/>
        <v>1276.48</v>
      </c>
      <c r="O2397" s="3">
        <f t="shared" si="186"/>
        <v>1270.48</v>
      </c>
      <c r="P2397" s="3">
        <f t="shared" si="187"/>
        <v>544.96</v>
      </c>
      <c r="Q2397" s="3">
        <f t="shared" si="188"/>
        <v>725.52</v>
      </c>
      <c r="R2397" s="4">
        <f t="shared" si="189"/>
        <v>0.57110000000000005</v>
      </c>
      <c r="S2397" s="2">
        <v>8</v>
      </c>
      <c r="T2397" t="s">
        <v>46</v>
      </c>
      <c r="U2397">
        <v>3</v>
      </c>
    </row>
    <row r="2398" spans="1:21" x14ac:dyDescent="0.25">
      <c r="A2398" s="1">
        <v>46057</v>
      </c>
      <c r="B2398" t="s">
        <v>2587</v>
      </c>
      <c r="C2398" t="s">
        <v>123</v>
      </c>
      <c r="D2398" t="s">
        <v>71</v>
      </c>
      <c r="E2398" t="s">
        <v>72</v>
      </c>
      <c r="F2398" t="s">
        <v>36</v>
      </c>
      <c r="G2398" t="s">
        <v>51</v>
      </c>
      <c r="H2398" t="s">
        <v>59</v>
      </c>
      <c r="I2398" t="s">
        <v>94</v>
      </c>
      <c r="J2398" s="2">
        <v>1</v>
      </c>
      <c r="K2398" s="3">
        <v>2288.59</v>
      </c>
      <c r="L2398" s="3">
        <v>1480.04</v>
      </c>
      <c r="M2398" s="4">
        <v>7.1099999999999997E-2</v>
      </c>
      <c r="N2398" s="3">
        <f t="shared" si="185"/>
        <v>2288.59</v>
      </c>
      <c r="O2398" s="3">
        <f t="shared" si="186"/>
        <v>2125.87</v>
      </c>
      <c r="P2398" s="3">
        <f t="shared" si="187"/>
        <v>1480.04</v>
      </c>
      <c r="Q2398" s="3">
        <f t="shared" si="188"/>
        <v>645.83000000000004</v>
      </c>
      <c r="R2398" s="4">
        <f t="shared" si="189"/>
        <v>0.30380000000000001</v>
      </c>
      <c r="S2398" s="2">
        <v>6</v>
      </c>
      <c r="T2398" t="s">
        <v>46</v>
      </c>
      <c r="U2398">
        <v>5</v>
      </c>
    </row>
    <row r="2399" spans="1:21" x14ac:dyDescent="0.25">
      <c r="A2399" s="1">
        <v>46156</v>
      </c>
      <c r="B2399" t="s">
        <v>2588</v>
      </c>
      <c r="C2399" t="s">
        <v>23</v>
      </c>
      <c r="D2399" t="s">
        <v>121</v>
      </c>
      <c r="E2399" t="s">
        <v>72</v>
      </c>
      <c r="F2399" t="s">
        <v>26</v>
      </c>
      <c r="G2399" t="s">
        <v>27</v>
      </c>
      <c r="H2399" t="s">
        <v>68</v>
      </c>
      <c r="I2399" t="s">
        <v>94</v>
      </c>
      <c r="J2399" s="2">
        <v>4</v>
      </c>
      <c r="K2399" s="3">
        <v>1239.31</v>
      </c>
      <c r="L2399" s="3">
        <v>766.74</v>
      </c>
      <c r="M2399" s="4">
        <v>7.5800000000000006E-2</v>
      </c>
      <c r="N2399" s="3">
        <f t="shared" si="185"/>
        <v>4957.24</v>
      </c>
      <c r="O2399" s="3">
        <f t="shared" si="186"/>
        <v>4581.4799999999996</v>
      </c>
      <c r="P2399" s="3">
        <f t="shared" si="187"/>
        <v>3066.96</v>
      </c>
      <c r="Q2399" s="3">
        <f t="shared" si="188"/>
        <v>1514.52</v>
      </c>
      <c r="R2399" s="4">
        <f t="shared" si="189"/>
        <v>0.3306</v>
      </c>
      <c r="S2399" s="2">
        <v>11</v>
      </c>
      <c r="T2399" t="s">
        <v>30</v>
      </c>
      <c r="U2399">
        <v>2</v>
      </c>
    </row>
    <row r="2400" spans="1:21" x14ac:dyDescent="0.25">
      <c r="A2400" s="1">
        <v>46085</v>
      </c>
      <c r="B2400" t="s">
        <v>2589</v>
      </c>
      <c r="C2400" t="s">
        <v>198</v>
      </c>
      <c r="D2400" t="s">
        <v>130</v>
      </c>
      <c r="E2400" t="s">
        <v>72</v>
      </c>
      <c r="F2400" t="s">
        <v>64</v>
      </c>
      <c r="G2400" t="s">
        <v>44</v>
      </c>
      <c r="H2400" t="s">
        <v>73</v>
      </c>
      <c r="I2400" t="s">
        <v>39</v>
      </c>
      <c r="J2400" s="2">
        <v>1</v>
      </c>
      <c r="K2400" s="3">
        <v>1766.63</v>
      </c>
      <c r="L2400" s="3">
        <v>1101.1300000000001</v>
      </c>
      <c r="M2400" s="4">
        <v>0.1109</v>
      </c>
      <c r="N2400" s="3">
        <f t="shared" si="185"/>
        <v>1766.63</v>
      </c>
      <c r="O2400" s="3">
        <f t="shared" si="186"/>
        <v>1570.71</v>
      </c>
      <c r="P2400" s="3">
        <f t="shared" si="187"/>
        <v>1101.1300000000001</v>
      </c>
      <c r="Q2400" s="3">
        <f t="shared" si="188"/>
        <v>469.58</v>
      </c>
      <c r="R2400" s="4">
        <f t="shared" si="189"/>
        <v>0.29899999999999999</v>
      </c>
      <c r="S2400" s="2">
        <v>11</v>
      </c>
      <c r="T2400" t="s">
        <v>30</v>
      </c>
      <c r="U2400">
        <v>2</v>
      </c>
    </row>
    <row r="2401" spans="1:22" x14ac:dyDescent="0.25">
      <c r="A2401" s="1">
        <v>46035</v>
      </c>
      <c r="B2401" t="s">
        <v>2590</v>
      </c>
      <c r="C2401" t="s">
        <v>331</v>
      </c>
      <c r="D2401" t="s">
        <v>49</v>
      </c>
      <c r="E2401" t="s">
        <v>50</v>
      </c>
      <c r="F2401" t="s">
        <v>64</v>
      </c>
      <c r="G2401" t="s">
        <v>27</v>
      </c>
      <c r="H2401" t="s">
        <v>86</v>
      </c>
      <c r="I2401" t="s">
        <v>77</v>
      </c>
      <c r="J2401" s="2">
        <v>3</v>
      </c>
      <c r="K2401" s="3">
        <v>1912.45</v>
      </c>
      <c r="L2401" s="3">
        <v>1189.6099999999999</v>
      </c>
      <c r="M2401" s="4">
        <v>0</v>
      </c>
      <c r="N2401" s="3">
        <f t="shared" si="185"/>
        <v>5737.35</v>
      </c>
      <c r="O2401" s="3">
        <f t="shared" si="186"/>
        <v>5737.35</v>
      </c>
      <c r="P2401" s="3">
        <f t="shared" si="187"/>
        <v>3568.83</v>
      </c>
      <c r="Q2401" s="3">
        <f t="shared" si="188"/>
        <v>2168.52</v>
      </c>
      <c r="R2401" s="4">
        <f t="shared" si="189"/>
        <v>0.378</v>
      </c>
      <c r="S2401" s="2">
        <v>10</v>
      </c>
      <c r="T2401" t="s">
        <v>46</v>
      </c>
      <c r="U2401">
        <v>3</v>
      </c>
    </row>
    <row r="2402" spans="1:22" x14ac:dyDescent="0.25">
      <c r="A2402" s="1">
        <v>46059</v>
      </c>
      <c r="B2402" t="s">
        <v>2591</v>
      </c>
      <c r="C2402" t="s">
        <v>138</v>
      </c>
      <c r="D2402" t="s">
        <v>207</v>
      </c>
      <c r="E2402" t="s">
        <v>35</v>
      </c>
      <c r="F2402" t="s">
        <v>64</v>
      </c>
      <c r="G2402" t="s">
        <v>44</v>
      </c>
      <c r="H2402" t="s">
        <v>73</v>
      </c>
      <c r="I2402" t="s">
        <v>60</v>
      </c>
      <c r="J2402" s="2">
        <v>8</v>
      </c>
      <c r="K2402" s="3">
        <v>1602.65</v>
      </c>
      <c r="L2402" s="3">
        <v>1119.1099999999999</v>
      </c>
      <c r="M2402" s="4">
        <v>7.6300000000000007E-2</v>
      </c>
      <c r="N2402" s="3">
        <f t="shared" si="185"/>
        <v>12821.2</v>
      </c>
      <c r="O2402" s="3">
        <f t="shared" si="186"/>
        <v>11842.94</v>
      </c>
      <c r="P2402" s="3">
        <f t="shared" si="187"/>
        <v>8952.8799999999992</v>
      </c>
      <c r="Q2402" s="3">
        <f t="shared" si="188"/>
        <v>2890.06</v>
      </c>
      <c r="R2402" s="4">
        <f t="shared" si="189"/>
        <v>0.24399999999999999</v>
      </c>
      <c r="S2402" s="2">
        <v>2</v>
      </c>
      <c r="T2402" t="s">
        <v>46</v>
      </c>
      <c r="U2402">
        <v>2</v>
      </c>
    </row>
    <row r="2403" spans="1:22" x14ac:dyDescent="0.25">
      <c r="A2403" s="1">
        <v>46031</v>
      </c>
      <c r="B2403" t="s">
        <v>2592</v>
      </c>
      <c r="C2403" t="s">
        <v>129</v>
      </c>
      <c r="D2403" t="s">
        <v>24</v>
      </c>
      <c r="E2403" t="s">
        <v>25</v>
      </c>
      <c r="F2403" t="s">
        <v>26</v>
      </c>
      <c r="G2403" t="s">
        <v>44</v>
      </c>
      <c r="H2403" t="s">
        <v>73</v>
      </c>
      <c r="I2403" t="s">
        <v>29</v>
      </c>
      <c r="J2403" s="2">
        <v>5</v>
      </c>
      <c r="K2403" s="3">
        <v>1669.71</v>
      </c>
      <c r="L2403" s="3">
        <v>1106.2</v>
      </c>
      <c r="M2403" s="4">
        <v>0</v>
      </c>
      <c r="N2403" s="3">
        <f t="shared" si="185"/>
        <v>8348.5499999999993</v>
      </c>
      <c r="O2403" s="3">
        <f t="shared" si="186"/>
        <v>8348.5499999999993</v>
      </c>
      <c r="P2403" s="3">
        <f t="shared" si="187"/>
        <v>5531</v>
      </c>
      <c r="Q2403" s="3">
        <f t="shared" si="188"/>
        <v>2817.55</v>
      </c>
      <c r="R2403" s="4">
        <f t="shared" si="189"/>
        <v>0.33750000000000002</v>
      </c>
      <c r="S2403" s="2">
        <v>3</v>
      </c>
      <c r="T2403" t="s">
        <v>46</v>
      </c>
      <c r="U2403">
        <v>4</v>
      </c>
    </row>
    <row r="2404" spans="1:22" x14ac:dyDescent="0.25">
      <c r="A2404" s="1">
        <v>46192</v>
      </c>
      <c r="B2404" t="s">
        <v>2593</v>
      </c>
      <c r="C2404" t="s">
        <v>146</v>
      </c>
      <c r="D2404" t="s">
        <v>49</v>
      </c>
      <c r="E2404" t="s">
        <v>50</v>
      </c>
      <c r="F2404" t="s">
        <v>26</v>
      </c>
      <c r="G2404" t="s">
        <v>44</v>
      </c>
      <c r="H2404" t="s">
        <v>73</v>
      </c>
      <c r="I2404" t="s">
        <v>39</v>
      </c>
      <c r="J2404" s="2">
        <v>7</v>
      </c>
      <c r="K2404" s="3">
        <v>1757.51</v>
      </c>
      <c r="L2404" s="3">
        <v>1045.32</v>
      </c>
      <c r="M2404" s="4">
        <v>9.6000000000000002E-2</v>
      </c>
      <c r="N2404" s="3">
        <f t="shared" si="185"/>
        <v>12302.57</v>
      </c>
      <c r="O2404" s="3">
        <f t="shared" si="186"/>
        <v>11121.52</v>
      </c>
      <c r="P2404" s="3">
        <f t="shared" si="187"/>
        <v>7317.24</v>
      </c>
      <c r="Q2404" s="3">
        <f t="shared" si="188"/>
        <v>3804.28</v>
      </c>
      <c r="R2404" s="4">
        <f t="shared" si="189"/>
        <v>0.34210000000000002</v>
      </c>
      <c r="S2404" s="2">
        <v>14</v>
      </c>
      <c r="T2404" t="s">
        <v>30</v>
      </c>
      <c r="U2404">
        <v>5</v>
      </c>
    </row>
    <row r="2405" spans="1:22" x14ac:dyDescent="0.25">
      <c r="A2405" s="1">
        <v>46185</v>
      </c>
      <c r="B2405" t="s">
        <v>2594</v>
      </c>
      <c r="C2405" t="s">
        <v>392</v>
      </c>
      <c r="D2405" t="s">
        <v>113</v>
      </c>
      <c r="E2405" t="s">
        <v>50</v>
      </c>
      <c r="F2405" t="s">
        <v>58</v>
      </c>
      <c r="G2405" t="s">
        <v>51</v>
      </c>
      <c r="H2405" t="s">
        <v>52</v>
      </c>
      <c r="I2405" t="s">
        <v>77</v>
      </c>
      <c r="J2405" s="2">
        <v>7</v>
      </c>
      <c r="K2405" s="3">
        <v>251.85</v>
      </c>
      <c r="L2405" s="3">
        <v>123.88</v>
      </c>
      <c r="M2405" s="4">
        <v>3.5000000000000003E-2</v>
      </c>
      <c r="N2405" s="3">
        <f t="shared" si="185"/>
        <v>1762.95</v>
      </c>
      <c r="O2405" s="3">
        <f t="shared" si="186"/>
        <v>1701.25</v>
      </c>
      <c r="P2405" s="3">
        <f t="shared" si="187"/>
        <v>867.16</v>
      </c>
      <c r="Q2405" s="3">
        <f t="shared" si="188"/>
        <v>834.09</v>
      </c>
      <c r="R2405" s="4">
        <f t="shared" si="189"/>
        <v>0.49030000000000001</v>
      </c>
      <c r="S2405" s="2">
        <v>5</v>
      </c>
      <c r="T2405" t="s">
        <v>46</v>
      </c>
      <c r="U2405">
        <v>2</v>
      </c>
    </row>
    <row r="2406" spans="1:22" x14ac:dyDescent="0.25">
      <c r="A2406" s="1">
        <v>46064</v>
      </c>
      <c r="B2406" t="s">
        <v>2595</v>
      </c>
      <c r="C2406" t="s">
        <v>381</v>
      </c>
      <c r="D2406" t="s">
        <v>24</v>
      </c>
      <c r="E2406" t="s">
        <v>25</v>
      </c>
      <c r="F2406" t="s">
        <v>36</v>
      </c>
      <c r="G2406" t="s">
        <v>44</v>
      </c>
      <c r="H2406" t="s">
        <v>124</v>
      </c>
      <c r="I2406" t="s">
        <v>60</v>
      </c>
      <c r="J2406" s="2">
        <v>2</v>
      </c>
      <c r="K2406" s="3">
        <v>6051.77</v>
      </c>
      <c r="L2406" s="3">
        <v>4556.8500000000004</v>
      </c>
      <c r="M2406" s="4">
        <v>6.9099999999999995E-2</v>
      </c>
      <c r="N2406" s="3">
        <f t="shared" si="185"/>
        <v>12103.54</v>
      </c>
      <c r="O2406" s="3">
        <f t="shared" si="186"/>
        <v>11267.19</v>
      </c>
      <c r="P2406" s="3">
        <f t="shared" si="187"/>
        <v>9113.7000000000007</v>
      </c>
      <c r="Q2406" s="3">
        <f t="shared" si="188"/>
        <v>2153.4899999999998</v>
      </c>
      <c r="R2406" s="4">
        <f t="shared" si="189"/>
        <v>0.19109999999999999</v>
      </c>
      <c r="S2406" s="2">
        <v>13</v>
      </c>
      <c r="T2406" t="s">
        <v>30</v>
      </c>
      <c r="U2406">
        <v>4</v>
      </c>
    </row>
    <row r="2407" spans="1:22" x14ac:dyDescent="0.25">
      <c r="A2407" s="1">
        <v>46196</v>
      </c>
      <c r="B2407" t="s">
        <v>2596</v>
      </c>
      <c r="C2407" t="s">
        <v>62</v>
      </c>
      <c r="D2407" t="s">
        <v>139</v>
      </c>
      <c r="E2407" t="s">
        <v>72</v>
      </c>
      <c r="F2407" t="s">
        <v>64</v>
      </c>
      <c r="G2407" t="s">
        <v>51</v>
      </c>
      <c r="H2407" t="s">
        <v>52</v>
      </c>
      <c r="I2407" t="s">
        <v>94</v>
      </c>
      <c r="J2407" s="2">
        <v>1</v>
      </c>
      <c r="K2407" s="3">
        <v>252.87</v>
      </c>
      <c r="L2407" s="3">
        <v>117.89</v>
      </c>
      <c r="M2407" s="4">
        <v>6.6199999999999995E-2</v>
      </c>
      <c r="N2407" s="3">
        <f t="shared" si="185"/>
        <v>252.87</v>
      </c>
      <c r="O2407" s="3">
        <f t="shared" si="186"/>
        <v>236.13</v>
      </c>
      <c r="P2407" s="3">
        <f t="shared" si="187"/>
        <v>117.89</v>
      </c>
      <c r="Q2407" s="3">
        <f t="shared" si="188"/>
        <v>118.24</v>
      </c>
      <c r="R2407" s="4">
        <f t="shared" si="189"/>
        <v>0.50070000000000003</v>
      </c>
      <c r="S2407" s="2">
        <v>2</v>
      </c>
      <c r="T2407" t="s">
        <v>46</v>
      </c>
      <c r="U2407">
        <v>5</v>
      </c>
    </row>
    <row r="2408" spans="1:22" x14ac:dyDescent="0.25">
      <c r="A2408" s="1">
        <v>46109</v>
      </c>
      <c r="B2408" t="s">
        <v>2597</v>
      </c>
      <c r="C2408" t="s">
        <v>464</v>
      </c>
      <c r="D2408" t="s">
        <v>121</v>
      </c>
      <c r="E2408" t="s">
        <v>72</v>
      </c>
      <c r="F2408" t="s">
        <v>58</v>
      </c>
      <c r="G2408" t="s">
        <v>37</v>
      </c>
      <c r="H2408" t="s">
        <v>38</v>
      </c>
      <c r="I2408" t="s">
        <v>77</v>
      </c>
      <c r="J2408" s="2">
        <v>8</v>
      </c>
      <c r="K2408" s="3">
        <v>404.51</v>
      </c>
      <c r="L2408" s="3">
        <v>202.5</v>
      </c>
      <c r="M2408" s="4">
        <v>8.8900000000000007E-2</v>
      </c>
      <c r="N2408" s="3">
        <f t="shared" si="185"/>
        <v>3236.08</v>
      </c>
      <c r="O2408" s="3">
        <f t="shared" si="186"/>
        <v>2948.39</v>
      </c>
      <c r="P2408" s="3">
        <f t="shared" si="187"/>
        <v>1620</v>
      </c>
      <c r="Q2408" s="3">
        <f t="shared" si="188"/>
        <v>1328.39</v>
      </c>
      <c r="R2408" s="4">
        <f t="shared" si="189"/>
        <v>0.45050000000000001</v>
      </c>
      <c r="S2408" s="2">
        <v>8</v>
      </c>
      <c r="T2408" t="s">
        <v>46</v>
      </c>
      <c r="U2408">
        <v>5</v>
      </c>
    </row>
    <row r="2409" spans="1:22" x14ac:dyDescent="0.25">
      <c r="A2409" s="1">
        <v>46049</v>
      </c>
      <c r="B2409" t="s">
        <v>2598</v>
      </c>
      <c r="C2409" t="s">
        <v>155</v>
      </c>
      <c r="D2409" t="s">
        <v>121</v>
      </c>
      <c r="E2409" t="s">
        <v>72</v>
      </c>
      <c r="F2409" t="s">
        <v>58</v>
      </c>
      <c r="G2409" t="s">
        <v>44</v>
      </c>
      <c r="H2409" t="s">
        <v>73</v>
      </c>
      <c r="I2409" t="s">
        <v>87</v>
      </c>
      <c r="J2409" s="2">
        <v>1</v>
      </c>
      <c r="K2409" s="3">
        <v>1781.23</v>
      </c>
      <c r="L2409" s="3">
        <v>1167.6199999999999</v>
      </c>
      <c r="M2409" s="4">
        <v>4.19E-2</v>
      </c>
      <c r="N2409" s="3">
        <f t="shared" si="185"/>
        <v>1781.23</v>
      </c>
      <c r="O2409" s="3">
        <f t="shared" si="186"/>
        <v>1706.6</v>
      </c>
      <c r="P2409" s="3">
        <f t="shared" si="187"/>
        <v>1167.6199999999999</v>
      </c>
      <c r="Q2409" s="3">
        <f t="shared" si="188"/>
        <v>538.98</v>
      </c>
      <c r="R2409" s="4">
        <f t="shared" si="189"/>
        <v>0.31580000000000003</v>
      </c>
      <c r="S2409" s="2">
        <v>11</v>
      </c>
      <c r="T2409" t="s">
        <v>30</v>
      </c>
      <c r="U2409">
        <v>2</v>
      </c>
    </row>
    <row r="2410" spans="1:22" x14ac:dyDescent="0.25">
      <c r="A2410" s="1">
        <v>46072</v>
      </c>
      <c r="B2410" t="s">
        <v>2599</v>
      </c>
      <c r="C2410" t="s">
        <v>106</v>
      </c>
      <c r="D2410" t="s">
        <v>139</v>
      </c>
      <c r="E2410" t="s">
        <v>72</v>
      </c>
      <c r="F2410" t="s">
        <v>58</v>
      </c>
      <c r="G2410" t="s">
        <v>51</v>
      </c>
      <c r="H2410" t="s">
        <v>59</v>
      </c>
      <c r="I2410" t="s">
        <v>77</v>
      </c>
      <c r="J2410" s="2">
        <v>6</v>
      </c>
      <c r="K2410" s="3">
        <v>2245.23</v>
      </c>
      <c r="L2410" s="3">
        <v>1457.79</v>
      </c>
      <c r="M2410" s="4">
        <v>3.5000000000000003E-2</v>
      </c>
      <c r="N2410" s="3">
        <f t="shared" si="185"/>
        <v>13471.38</v>
      </c>
      <c r="O2410" s="3">
        <f t="shared" si="186"/>
        <v>12999.88</v>
      </c>
      <c r="P2410" s="3">
        <f t="shared" si="187"/>
        <v>8746.74</v>
      </c>
      <c r="Q2410" s="3">
        <f t="shared" si="188"/>
        <v>4253.1400000000003</v>
      </c>
      <c r="R2410" s="4">
        <f t="shared" si="189"/>
        <v>0.32719999999999999</v>
      </c>
      <c r="S2410" s="2">
        <v>4</v>
      </c>
      <c r="T2410" t="s">
        <v>46</v>
      </c>
      <c r="U2410">
        <v>4</v>
      </c>
    </row>
    <row r="2411" spans="1:22" x14ac:dyDescent="0.25">
      <c r="A2411" s="1">
        <v>46059</v>
      </c>
      <c r="B2411" t="s">
        <v>2600</v>
      </c>
      <c r="C2411" t="s">
        <v>384</v>
      </c>
      <c r="D2411" t="s">
        <v>63</v>
      </c>
      <c r="E2411" t="s">
        <v>35</v>
      </c>
      <c r="F2411" t="s">
        <v>58</v>
      </c>
      <c r="G2411" t="s">
        <v>44</v>
      </c>
      <c r="H2411" t="s">
        <v>73</v>
      </c>
      <c r="I2411" t="s">
        <v>60</v>
      </c>
      <c r="J2411" s="2">
        <v>2</v>
      </c>
      <c r="K2411" s="3">
        <v>1648.38</v>
      </c>
      <c r="L2411" s="3">
        <v>1123.25</v>
      </c>
      <c r="M2411" s="4">
        <v>0.11409999999999999</v>
      </c>
      <c r="N2411" s="3">
        <f t="shared" si="185"/>
        <v>3296.76</v>
      </c>
      <c r="O2411" s="3">
        <f t="shared" si="186"/>
        <v>2920.6</v>
      </c>
      <c r="P2411" s="3">
        <f t="shared" si="187"/>
        <v>2246.5</v>
      </c>
      <c r="Q2411" s="3">
        <f t="shared" si="188"/>
        <v>674.1</v>
      </c>
      <c r="R2411" s="4">
        <f t="shared" si="189"/>
        <v>0.23080000000000001</v>
      </c>
      <c r="S2411" s="2">
        <v>27</v>
      </c>
      <c r="T2411" t="s">
        <v>30</v>
      </c>
      <c r="U2411">
        <v>1</v>
      </c>
      <c r="V2411" t="s">
        <v>208</v>
      </c>
    </row>
    <row r="2412" spans="1:22" x14ac:dyDescent="0.25">
      <c r="A2412" s="1">
        <v>46073</v>
      </c>
      <c r="B2412" t="s">
        <v>2601</v>
      </c>
      <c r="C2412" t="s">
        <v>144</v>
      </c>
      <c r="D2412" t="s">
        <v>71</v>
      </c>
      <c r="E2412" t="s">
        <v>72</v>
      </c>
      <c r="F2412" t="s">
        <v>26</v>
      </c>
      <c r="G2412" t="s">
        <v>51</v>
      </c>
      <c r="H2412" t="s">
        <v>52</v>
      </c>
      <c r="I2412" t="s">
        <v>65</v>
      </c>
      <c r="J2412" s="2">
        <v>2</v>
      </c>
      <c r="K2412" s="3">
        <v>269.41000000000003</v>
      </c>
      <c r="L2412" s="3">
        <v>120.06</v>
      </c>
      <c r="M2412" s="4">
        <v>0</v>
      </c>
      <c r="N2412" s="3">
        <f t="shared" si="185"/>
        <v>538.82000000000005</v>
      </c>
      <c r="O2412" s="3">
        <f t="shared" si="186"/>
        <v>538.82000000000005</v>
      </c>
      <c r="P2412" s="3">
        <f t="shared" si="187"/>
        <v>240.12</v>
      </c>
      <c r="Q2412" s="3">
        <f t="shared" si="188"/>
        <v>298.7</v>
      </c>
      <c r="R2412" s="4">
        <f t="shared" si="189"/>
        <v>0.5544</v>
      </c>
      <c r="S2412" s="2">
        <v>10</v>
      </c>
      <c r="T2412" t="s">
        <v>46</v>
      </c>
      <c r="U2412">
        <v>4</v>
      </c>
    </row>
    <row r="2413" spans="1:22" x14ac:dyDescent="0.25">
      <c r="A2413" s="1">
        <v>46145</v>
      </c>
      <c r="B2413" t="s">
        <v>2602</v>
      </c>
      <c r="C2413" t="s">
        <v>142</v>
      </c>
      <c r="D2413" t="s">
        <v>139</v>
      </c>
      <c r="E2413" t="s">
        <v>72</v>
      </c>
      <c r="F2413" t="s">
        <v>26</v>
      </c>
      <c r="G2413" t="s">
        <v>51</v>
      </c>
      <c r="H2413" t="s">
        <v>116</v>
      </c>
      <c r="I2413" t="s">
        <v>65</v>
      </c>
      <c r="J2413" s="2">
        <v>2</v>
      </c>
      <c r="K2413" s="3">
        <v>2804.44</v>
      </c>
      <c r="L2413" s="3">
        <v>1806.25</v>
      </c>
      <c r="M2413" s="4">
        <v>0</v>
      </c>
      <c r="N2413" s="3">
        <f t="shared" si="185"/>
        <v>5608.88</v>
      </c>
      <c r="O2413" s="3">
        <f t="shared" si="186"/>
        <v>5608.88</v>
      </c>
      <c r="P2413" s="3">
        <f t="shared" si="187"/>
        <v>3612.5</v>
      </c>
      <c r="Q2413" s="3">
        <f t="shared" si="188"/>
        <v>1996.38</v>
      </c>
      <c r="R2413" s="4">
        <f t="shared" si="189"/>
        <v>0.35589999999999999</v>
      </c>
      <c r="S2413" s="2">
        <v>6</v>
      </c>
      <c r="T2413" t="s">
        <v>46</v>
      </c>
      <c r="U2413">
        <v>2</v>
      </c>
    </row>
    <row r="2414" spans="1:22" x14ac:dyDescent="0.25">
      <c r="A2414" s="1">
        <v>46209</v>
      </c>
      <c r="B2414" t="s">
        <v>2603</v>
      </c>
      <c r="C2414" t="s">
        <v>520</v>
      </c>
      <c r="D2414" t="s">
        <v>130</v>
      </c>
      <c r="E2414" t="s">
        <v>72</v>
      </c>
      <c r="F2414" t="s">
        <v>26</v>
      </c>
      <c r="G2414" t="s">
        <v>27</v>
      </c>
      <c r="H2414" t="s">
        <v>28</v>
      </c>
      <c r="I2414" t="s">
        <v>94</v>
      </c>
      <c r="J2414" s="2">
        <v>7</v>
      </c>
      <c r="K2414" s="3">
        <v>766.86</v>
      </c>
      <c r="L2414" s="3">
        <v>458.36</v>
      </c>
      <c r="M2414" s="4">
        <v>0</v>
      </c>
      <c r="N2414" s="3">
        <f t="shared" si="185"/>
        <v>5368.02</v>
      </c>
      <c r="O2414" s="3">
        <f t="shared" si="186"/>
        <v>5368.02</v>
      </c>
      <c r="P2414" s="3">
        <f t="shared" si="187"/>
        <v>3208.52</v>
      </c>
      <c r="Q2414" s="3">
        <f t="shared" si="188"/>
        <v>2159.5</v>
      </c>
      <c r="R2414" s="4">
        <f t="shared" si="189"/>
        <v>0.40229999999999999</v>
      </c>
      <c r="S2414" s="2">
        <v>4</v>
      </c>
      <c r="T2414" t="s">
        <v>46</v>
      </c>
      <c r="U2414">
        <v>5</v>
      </c>
    </row>
    <row r="2415" spans="1:22" x14ac:dyDescent="0.25">
      <c r="A2415" s="1">
        <v>46187</v>
      </c>
      <c r="B2415" t="s">
        <v>2604</v>
      </c>
      <c r="C2415" t="s">
        <v>590</v>
      </c>
      <c r="D2415" t="s">
        <v>126</v>
      </c>
      <c r="E2415" t="s">
        <v>57</v>
      </c>
      <c r="F2415" t="s">
        <v>36</v>
      </c>
      <c r="G2415" t="s">
        <v>44</v>
      </c>
      <c r="H2415" t="s">
        <v>124</v>
      </c>
      <c r="I2415" t="s">
        <v>39</v>
      </c>
      <c r="J2415" s="2">
        <v>2</v>
      </c>
      <c r="K2415" s="3">
        <v>5866.34</v>
      </c>
      <c r="L2415" s="3">
        <v>4368.49</v>
      </c>
      <c r="M2415" s="4">
        <v>0</v>
      </c>
      <c r="N2415" s="3">
        <f t="shared" si="185"/>
        <v>11732.68</v>
      </c>
      <c r="O2415" s="3">
        <f t="shared" si="186"/>
        <v>11732.68</v>
      </c>
      <c r="P2415" s="3">
        <f t="shared" si="187"/>
        <v>8736.98</v>
      </c>
      <c r="Q2415" s="3">
        <f t="shared" si="188"/>
        <v>2995.7</v>
      </c>
      <c r="R2415" s="4">
        <f t="shared" si="189"/>
        <v>0.25530000000000003</v>
      </c>
      <c r="S2415" s="2">
        <v>7</v>
      </c>
      <c r="T2415" t="s">
        <v>46</v>
      </c>
      <c r="U2415">
        <v>4</v>
      </c>
    </row>
    <row r="2416" spans="1:22" x14ac:dyDescent="0.25">
      <c r="A2416" s="1">
        <v>46170</v>
      </c>
      <c r="B2416" t="s">
        <v>2605</v>
      </c>
      <c r="C2416" t="s">
        <v>166</v>
      </c>
      <c r="D2416" t="s">
        <v>139</v>
      </c>
      <c r="E2416" t="s">
        <v>72</v>
      </c>
      <c r="F2416" t="s">
        <v>64</v>
      </c>
      <c r="G2416" t="s">
        <v>37</v>
      </c>
      <c r="H2416" t="s">
        <v>178</v>
      </c>
      <c r="I2416" t="s">
        <v>29</v>
      </c>
      <c r="J2416" s="2">
        <v>7</v>
      </c>
      <c r="K2416" s="3">
        <v>491.46</v>
      </c>
      <c r="L2416" s="3">
        <v>250.45</v>
      </c>
      <c r="M2416" s="4">
        <v>0</v>
      </c>
      <c r="N2416" s="3">
        <f t="shared" si="185"/>
        <v>3440.22</v>
      </c>
      <c r="O2416" s="3">
        <f t="shared" si="186"/>
        <v>3440.22</v>
      </c>
      <c r="P2416" s="3">
        <f t="shared" si="187"/>
        <v>1753.15</v>
      </c>
      <c r="Q2416" s="3">
        <f t="shared" si="188"/>
        <v>1687.07</v>
      </c>
      <c r="R2416" s="4">
        <f t="shared" si="189"/>
        <v>0.4904</v>
      </c>
      <c r="S2416" s="2">
        <v>13</v>
      </c>
      <c r="T2416" t="s">
        <v>30</v>
      </c>
      <c r="U2416">
        <v>3</v>
      </c>
    </row>
    <row r="2417" spans="1:21" x14ac:dyDescent="0.25">
      <c r="A2417" s="1">
        <v>46177</v>
      </c>
      <c r="B2417" t="s">
        <v>2606</v>
      </c>
      <c r="C2417" t="s">
        <v>216</v>
      </c>
      <c r="D2417" t="s">
        <v>49</v>
      </c>
      <c r="E2417" t="s">
        <v>50</v>
      </c>
      <c r="F2417" t="s">
        <v>58</v>
      </c>
      <c r="G2417" t="s">
        <v>27</v>
      </c>
      <c r="H2417" t="s">
        <v>86</v>
      </c>
      <c r="I2417" t="s">
        <v>60</v>
      </c>
      <c r="J2417" s="2">
        <v>6</v>
      </c>
      <c r="K2417" s="3">
        <v>1934.91</v>
      </c>
      <c r="L2417" s="3">
        <v>1207.24</v>
      </c>
      <c r="M2417" s="4">
        <v>3.5000000000000003E-2</v>
      </c>
      <c r="N2417" s="3">
        <f t="shared" si="185"/>
        <v>11609.46</v>
      </c>
      <c r="O2417" s="3">
        <f t="shared" si="186"/>
        <v>11203.13</v>
      </c>
      <c r="P2417" s="3">
        <f t="shared" si="187"/>
        <v>7243.44</v>
      </c>
      <c r="Q2417" s="3">
        <f t="shared" si="188"/>
        <v>3959.69</v>
      </c>
      <c r="R2417" s="4">
        <f t="shared" si="189"/>
        <v>0.35339999999999999</v>
      </c>
      <c r="S2417" s="2">
        <v>6</v>
      </c>
      <c r="T2417" t="s">
        <v>46</v>
      </c>
      <c r="U2417">
        <v>4</v>
      </c>
    </row>
    <row r="2418" spans="1:21" x14ac:dyDescent="0.25">
      <c r="A2418" s="1">
        <v>46107</v>
      </c>
      <c r="B2418" t="s">
        <v>2607</v>
      </c>
      <c r="C2418" t="s">
        <v>48</v>
      </c>
      <c r="D2418" t="s">
        <v>43</v>
      </c>
      <c r="E2418" t="s">
        <v>25</v>
      </c>
      <c r="F2418" t="s">
        <v>58</v>
      </c>
      <c r="G2418" t="s">
        <v>51</v>
      </c>
      <c r="H2418" t="s">
        <v>116</v>
      </c>
      <c r="I2418" t="s">
        <v>74</v>
      </c>
      <c r="J2418" s="2">
        <v>2</v>
      </c>
      <c r="K2418" s="3">
        <v>2808.35</v>
      </c>
      <c r="L2418" s="3">
        <v>1801.49</v>
      </c>
      <c r="M2418" s="4">
        <v>3.5000000000000003E-2</v>
      </c>
      <c r="N2418" s="3">
        <f t="shared" si="185"/>
        <v>5616.7</v>
      </c>
      <c r="O2418" s="3">
        <f t="shared" si="186"/>
        <v>5420.12</v>
      </c>
      <c r="P2418" s="3">
        <f t="shared" si="187"/>
        <v>3602.98</v>
      </c>
      <c r="Q2418" s="3">
        <f t="shared" si="188"/>
        <v>1817.14</v>
      </c>
      <c r="R2418" s="4">
        <f t="shared" si="189"/>
        <v>0.33529999999999999</v>
      </c>
      <c r="S2418" s="2">
        <v>7</v>
      </c>
      <c r="T2418" t="s">
        <v>46</v>
      </c>
      <c r="U2418">
        <v>5</v>
      </c>
    </row>
    <row r="2419" spans="1:21" x14ac:dyDescent="0.25">
      <c r="A2419" s="1">
        <v>46118</v>
      </c>
      <c r="B2419" t="s">
        <v>2608</v>
      </c>
      <c r="C2419" t="s">
        <v>132</v>
      </c>
      <c r="D2419" t="s">
        <v>34</v>
      </c>
      <c r="E2419" t="s">
        <v>35</v>
      </c>
      <c r="F2419" t="s">
        <v>58</v>
      </c>
      <c r="G2419" t="s">
        <v>44</v>
      </c>
      <c r="H2419" t="s">
        <v>73</v>
      </c>
      <c r="I2419" t="s">
        <v>39</v>
      </c>
      <c r="J2419" s="2">
        <v>6</v>
      </c>
      <c r="K2419" s="3">
        <v>1780.57</v>
      </c>
      <c r="L2419" s="3">
        <v>1041.8399999999999</v>
      </c>
      <c r="M2419" s="4">
        <v>0.1075</v>
      </c>
      <c r="N2419" s="3">
        <f t="shared" si="185"/>
        <v>10683.42</v>
      </c>
      <c r="O2419" s="3">
        <f t="shared" si="186"/>
        <v>9534.9500000000007</v>
      </c>
      <c r="P2419" s="3">
        <f t="shared" si="187"/>
        <v>6251.04</v>
      </c>
      <c r="Q2419" s="3">
        <f t="shared" si="188"/>
        <v>3283.91</v>
      </c>
      <c r="R2419" s="4">
        <f t="shared" si="189"/>
        <v>0.34439999999999998</v>
      </c>
      <c r="S2419" s="2">
        <v>8</v>
      </c>
      <c r="T2419" t="s">
        <v>46</v>
      </c>
      <c r="U2419">
        <v>2</v>
      </c>
    </row>
    <row r="2420" spans="1:21" x14ac:dyDescent="0.25">
      <c r="A2420" s="1">
        <v>46131</v>
      </c>
      <c r="B2420" t="s">
        <v>2609</v>
      </c>
      <c r="C2420" t="s">
        <v>297</v>
      </c>
      <c r="D2420" t="s">
        <v>130</v>
      </c>
      <c r="E2420" t="s">
        <v>72</v>
      </c>
      <c r="F2420" t="s">
        <v>58</v>
      </c>
      <c r="G2420" t="s">
        <v>51</v>
      </c>
      <c r="H2420" t="s">
        <v>59</v>
      </c>
      <c r="I2420" t="s">
        <v>29</v>
      </c>
      <c r="J2420" s="2">
        <v>6</v>
      </c>
      <c r="K2420" s="3">
        <v>2264.44</v>
      </c>
      <c r="L2420" s="3">
        <v>1512.97</v>
      </c>
      <c r="M2420" s="4">
        <v>3.5000000000000003E-2</v>
      </c>
      <c r="N2420" s="3">
        <f t="shared" si="185"/>
        <v>13586.64</v>
      </c>
      <c r="O2420" s="3">
        <f t="shared" si="186"/>
        <v>13111.11</v>
      </c>
      <c r="P2420" s="3">
        <f t="shared" si="187"/>
        <v>9077.82</v>
      </c>
      <c r="Q2420" s="3">
        <f t="shared" si="188"/>
        <v>4033.29</v>
      </c>
      <c r="R2420" s="4">
        <f t="shared" si="189"/>
        <v>0.30759999999999998</v>
      </c>
      <c r="S2420" s="2">
        <v>11</v>
      </c>
      <c r="T2420" t="s">
        <v>30</v>
      </c>
      <c r="U2420">
        <v>4</v>
      </c>
    </row>
    <row r="2421" spans="1:21" x14ac:dyDescent="0.25">
      <c r="A2421" s="1">
        <v>46196</v>
      </c>
      <c r="B2421" t="s">
        <v>2610</v>
      </c>
      <c r="C2421" t="s">
        <v>120</v>
      </c>
      <c r="D2421" t="s">
        <v>130</v>
      </c>
      <c r="E2421" t="s">
        <v>72</v>
      </c>
      <c r="F2421" t="s">
        <v>26</v>
      </c>
      <c r="G2421" t="s">
        <v>37</v>
      </c>
      <c r="H2421" t="s">
        <v>104</v>
      </c>
      <c r="I2421" t="s">
        <v>65</v>
      </c>
      <c r="J2421" s="2">
        <v>2</v>
      </c>
      <c r="K2421" s="3">
        <v>321.41000000000003</v>
      </c>
      <c r="L2421" s="3">
        <v>136.52000000000001</v>
      </c>
      <c r="M2421" s="4">
        <v>0</v>
      </c>
      <c r="N2421" s="3">
        <f t="shared" si="185"/>
        <v>642.82000000000005</v>
      </c>
      <c r="O2421" s="3">
        <f t="shared" si="186"/>
        <v>642.82000000000005</v>
      </c>
      <c r="P2421" s="3">
        <f t="shared" si="187"/>
        <v>273.04000000000002</v>
      </c>
      <c r="Q2421" s="3">
        <f t="shared" si="188"/>
        <v>369.78</v>
      </c>
      <c r="R2421" s="4">
        <f t="shared" si="189"/>
        <v>0.57520000000000004</v>
      </c>
      <c r="S2421" s="2">
        <v>9</v>
      </c>
      <c r="T2421" t="s">
        <v>46</v>
      </c>
      <c r="U2421">
        <v>3</v>
      </c>
    </row>
    <row r="2422" spans="1:21" x14ac:dyDescent="0.25">
      <c r="A2422" s="1">
        <v>46131</v>
      </c>
      <c r="B2422" t="s">
        <v>2611</v>
      </c>
      <c r="C2422" t="s">
        <v>67</v>
      </c>
      <c r="D2422" t="s">
        <v>85</v>
      </c>
      <c r="E2422" t="s">
        <v>50</v>
      </c>
      <c r="F2422" t="s">
        <v>36</v>
      </c>
      <c r="G2422" t="s">
        <v>44</v>
      </c>
      <c r="H2422" t="s">
        <v>73</v>
      </c>
      <c r="I2422" t="s">
        <v>77</v>
      </c>
      <c r="J2422" s="2">
        <v>1</v>
      </c>
      <c r="K2422" s="3">
        <v>1687.94</v>
      </c>
      <c r="L2422" s="3">
        <v>1112.9100000000001</v>
      </c>
      <c r="M2422" s="4">
        <v>6.0100000000000001E-2</v>
      </c>
      <c r="N2422" s="3">
        <f t="shared" si="185"/>
        <v>1687.94</v>
      </c>
      <c r="O2422" s="3">
        <f t="shared" si="186"/>
        <v>1586.49</v>
      </c>
      <c r="P2422" s="3">
        <f t="shared" si="187"/>
        <v>1112.9100000000001</v>
      </c>
      <c r="Q2422" s="3">
        <f t="shared" si="188"/>
        <v>473.58</v>
      </c>
      <c r="R2422" s="4">
        <f t="shared" si="189"/>
        <v>0.29849999999999999</v>
      </c>
      <c r="S2422" s="2">
        <v>10</v>
      </c>
      <c r="T2422" t="s">
        <v>46</v>
      </c>
      <c r="U2422">
        <v>2</v>
      </c>
    </row>
    <row r="2423" spans="1:21" x14ac:dyDescent="0.25">
      <c r="A2423" s="1">
        <v>46222</v>
      </c>
      <c r="B2423" t="s">
        <v>2612</v>
      </c>
      <c r="C2423" t="s">
        <v>476</v>
      </c>
      <c r="D2423" t="s">
        <v>139</v>
      </c>
      <c r="E2423" t="s">
        <v>72</v>
      </c>
      <c r="F2423" t="s">
        <v>64</v>
      </c>
      <c r="G2423" t="s">
        <v>37</v>
      </c>
      <c r="H2423" t="s">
        <v>38</v>
      </c>
      <c r="I2423" t="s">
        <v>77</v>
      </c>
      <c r="J2423" s="2">
        <v>4</v>
      </c>
      <c r="K2423" s="3">
        <v>448.76</v>
      </c>
      <c r="L2423" s="3">
        <v>194.69</v>
      </c>
      <c r="M2423" s="4">
        <v>5.3400000000000003E-2</v>
      </c>
      <c r="N2423" s="3">
        <f t="shared" si="185"/>
        <v>1795.04</v>
      </c>
      <c r="O2423" s="3">
        <f t="shared" si="186"/>
        <v>1699.18</v>
      </c>
      <c r="P2423" s="3">
        <f t="shared" si="187"/>
        <v>778.76</v>
      </c>
      <c r="Q2423" s="3">
        <f t="shared" si="188"/>
        <v>920.42</v>
      </c>
      <c r="R2423" s="4">
        <f t="shared" si="189"/>
        <v>0.54169999999999996</v>
      </c>
      <c r="S2423" s="2">
        <v>13</v>
      </c>
      <c r="T2423" t="s">
        <v>30</v>
      </c>
      <c r="U2423">
        <v>5</v>
      </c>
    </row>
    <row r="2424" spans="1:21" x14ac:dyDescent="0.25">
      <c r="A2424" s="1">
        <v>46093</v>
      </c>
      <c r="B2424" t="s">
        <v>2613</v>
      </c>
      <c r="C2424" t="s">
        <v>329</v>
      </c>
      <c r="D2424" t="s">
        <v>34</v>
      </c>
      <c r="E2424" t="s">
        <v>35</v>
      </c>
      <c r="F2424" t="s">
        <v>58</v>
      </c>
      <c r="G2424" t="s">
        <v>51</v>
      </c>
      <c r="H2424" t="s">
        <v>59</v>
      </c>
      <c r="I2424" t="s">
        <v>87</v>
      </c>
      <c r="J2424" s="2">
        <v>4</v>
      </c>
      <c r="K2424" s="3">
        <v>2312.89</v>
      </c>
      <c r="L2424" s="3">
        <v>1420.11</v>
      </c>
      <c r="M2424" s="4">
        <v>0.15540000000000001</v>
      </c>
      <c r="N2424" s="3">
        <f t="shared" si="185"/>
        <v>9251.56</v>
      </c>
      <c r="O2424" s="3">
        <f t="shared" si="186"/>
        <v>7813.87</v>
      </c>
      <c r="P2424" s="3">
        <f t="shared" si="187"/>
        <v>5680.44</v>
      </c>
      <c r="Q2424" s="3">
        <f t="shared" si="188"/>
        <v>2133.4299999999998</v>
      </c>
      <c r="R2424" s="4">
        <f t="shared" si="189"/>
        <v>0.27300000000000002</v>
      </c>
      <c r="S2424" s="2">
        <v>2</v>
      </c>
      <c r="T2424" t="s">
        <v>46</v>
      </c>
      <c r="U2424">
        <v>5</v>
      </c>
    </row>
    <row r="2425" spans="1:21" x14ac:dyDescent="0.25">
      <c r="A2425" s="1">
        <v>46049</v>
      </c>
      <c r="B2425" t="s">
        <v>2614</v>
      </c>
      <c r="C2425" t="s">
        <v>378</v>
      </c>
      <c r="D2425" t="s">
        <v>207</v>
      </c>
      <c r="E2425" t="s">
        <v>35</v>
      </c>
      <c r="F2425" t="s">
        <v>64</v>
      </c>
      <c r="G2425" t="s">
        <v>51</v>
      </c>
      <c r="H2425" t="s">
        <v>116</v>
      </c>
      <c r="I2425" t="s">
        <v>65</v>
      </c>
      <c r="J2425" s="2">
        <v>2</v>
      </c>
      <c r="K2425" s="3">
        <v>2758.31</v>
      </c>
      <c r="L2425" s="3">
        <v>1797.79</v>
      </c>
      <c r="M2425" s="4">
        <v>4.3499999999999997E-2</v>
      </c>
      <c r="N2425" s="3">
        <f t="shared" si="185"/>
        <v>5516.62</v>
      </c>
      <c r="O2425" s="3">
        <f t="shared" si="186"/>
        <v>5276.65</v>
      </c>
      <c r="P2425" s="3">
        <f t="shared" si="187"/>
        <v>3595.58</v>
      </c>
      <c r="Q2425" s="3">
        <f t="shared" si="188"/>
        <v>1681.07</v>
      </c>
      <c r="R2425" s="4">
        <f t="shared" si="189"/>
        <v>0.31859999999999999</v>
      </c>
      <c r="S2425" s="2">
        <v>3</v>
      </c>
      <c r="T2425" t="s">
        <v>46</v>
      </c>
      <c r="U2425">
        <v>4</v>
      </c>
    </row>
    <row r="2426" spans="1:21" x14ac:dyDescent="0.25">
      <c r="A2426" s="1">
        <v>46194</v>
      </c>
      <c r="B2426" t="s">
        <v>2615</v>
      </c>
      <c r="C2426" t="s">
        <v>386</v>
      </c>
      <c r="D2426" t="s">
        <v>130</v>
      </c>
      <c r="E2426" t="s">
        <v>72</v>
      </c>
      <c r="F2426" t="s">
        <v>36</v>
      </c>
      <c r="G2426" t="s">
        <v>51</v>
      </c>
      <c r="H2426" t="s">
        <v>116</v>
      </c>
      <c r="I2426" t="s">
        <v>60</v>
      </c>
      <c r="J2426" s="2">
        <v>4</v>
      </c>
      <c r="K2426" s="3">
        <v>2733.17</v>
      </c>
      <c r="L2426" s="3">
        <v>1957.32</v>
      </c>
      <c r="M2426" s="4">
        <v>1.4999999999999999E-2</v>
      </c>
      <c r="N2426" s="3">
        <f t="shared" si="185"/>
        <v>10932.68</v>
      </c>
      <c r="O2426" s="3">
        <f t="shared" si="186"/>
        <v>10768.69</v>
      </c>
      <c r="P2426" s="3">
        <f t="shared" si="187"/>
        <v>7829.28</v>
      </c>
      <c r="Q2426" s="3">
        <f t="shared" si="188"/>
        <v>2939.41</v>
      </c>
      <c r="R2426" s="4">
        <f t="shared" si="189"/>
        <v>0.27300000000000002</v>
      </c>
      <c r="S2426" s="2">
        <v>14</v>
      </c>
      <c r="T2426" t="s">
        <v>30</v>
      </c>
      <c r="U2426">
        <v>3</v>
      </c>
    </row>
    <row r="2427" spans="1:21" x14ac:dyDescent="0.25">
      <c r="A2427" s="1">
        <v>46113</v>
      </c>
      <c r="B2427" t="s">
        <v>2616</v>
      </c>
      <c r="C2427" t="s">
        <v>381</v>
      </c>
      <c r="D2427" t="s">
        <v>121</v>
      </c>
      <c r="E2427" t="s">
        <v>72</v>
      </c>
      <c r="F2427" t="s">
        <v>26</v>
      </c>
      <c r="G2427" t="s">
        <v>44</v>
      </c>
      <c r="H2427" t="s">
        <v>45</v>
      </c>
      <c r="I2427" t="s">
        <v>94</v>
      </c>
      <c r="J2427" s="2">
        <v>4</v>
      </c>
      <c r="K2427" s="3">
        <v>379.67</v>
      </c>
      <c r="L2427" s="3">
        <v>209.32</v>
      </c>
      <c r="M2427" s="4">
        <v>4.6300000000000001E-2</v>
      </c>
      <c r="N2427" s="3">
        <f t="shared" si="185"/>
        <v>1518.68</v>
      </c>
      <c r="O2427" s="3">
        <f t="shared" si="186"/>
        <v>1448.37</v>
      </c>
      <c r="P2427" s="3">
        <f t="shared" si="187"/>
        <v>837.28</v>
      </c>
      <c r="Q2427" s="3">
        <f t="shared" si="188"/>
        <v>611.09</v>
      </c>
      <c r="R2427" s="4">
        <f t="shared" si="189"/>
        <v>0.4219</v>
      </c>
      <c r="S2427" s="2">
        <v>5</v>
      </c>
      <c r="T2427" t="s">
        <v>46</v>
      </c>
      <c r="U2427">
        <v>4</v>
      </c>
    </row>
    <row r="2428" spans="1:21" x14ac:dyDescent="0.25">
      <c r="A2428" s="1">
        <v>46116</v>
      </c>
      <c r="B2428" t="s">
        <v>2617</v>
      </c>
      <c r="C2428" t="s">
        <v>166</v>
      </c>
      <c r="D2428" t="s">
        <v>121</v>
      </c>
      <c r="E2428" t="s">
        <v>72</v>
      </c>
      <c r="F2428" t="s">
        <v>58</v>
      </c>
      <c r="G2428" t="s">
        <v>27</v>
      </c>
      <c r="H2428" t="s">
        <v>86</v>
      </c>
      <c r="I2428" t="s">
        <v>29</v>
      </c>
      <c r="J2428" s="2">
        <v>6</v>
      </c>
      <c r="K2428" s="3">
        <v>1844.29</v>
      </c>
      <c r="L2428" s="3">
        <v>1245.51</v>
      </c>
      <c r="M2428" s="4">
        <v>7.5499999999999998E-2</v>
      </c>
      <c r="N2428" s="3">
        <f t="shared" si="185"/>
        <v>11065.74</v>
      </c>
      <c r="O2428" s="3">
        <f t="shared" si="186"/>
        <v>10230.280000000001</v>
      </c>
      <c r="P2428" s="3">
        <f t="shared" si="187"/>
        <v>7473.06</v>
      </c>
      <c r="Q2428" s="3">
        <f t="shared" si="188"/>
        <v>2757.22</v>
      </c>
      <c r="R2428" s="4">
        <f t="shared" si="189"/>
        <v>0.26950000000000002</v>
      </c>
      <c r="S2428" s="2">
        <v>13</v>
      </c>
      <c r="T2428" t="s">
        <v>30</v>
      </c>
      <c r="U2428">
        <v>4</v>
      </c>
    </row>
    <row r="2429" spans="1:21" x14ac:dyDescent="0.25">
      <c r="A2429" s="1">
        <v>46113</v>
      </c>
      <c r="B2429" t="s">
        <v>2618</v>
      </c>
      <c r="C2429" t="s">
        <v>89</v>
      </c>
      <c r="D2429" t="s">
        <v>101</v>
      </c>
      <c r="E2429" t="s">
        <v>35</v>
      </c>
      <c r="F2429" t="s">
        <v>36</v>
      </c>
      <c r="G2429" t="s">
        <v>44</v>
      </c>
      <c r="H2429" t="s">
        <v>124</v>
      </c>
      <c r="I2429" t="s">
        <v>29</v>
      </c>
      <c r="J2429" s="2">
        <v>1</v>
      </c>
      <c r="K2429" s="3">
        <v>5988.47</v>
      </c>
      <c r="L2429" s="3">
        <v>4207.84</v>
      </c>
      <c r="M2429" s="4">
        <v>1.15E-2</v>
      </c>
      <c r="N2429" s="3">
        <f t="shared" si="185"/>
        <v>5988.47</v>
      </c>
      <c r="O2429" s="3">
        <f t="shared" si="186"/>
        <v>5919.6</v>
      </c>
      <c r="P2429" s="3">
        <f t="shared" si="187"/>
        <v>4207.84</v>
      </c>
      <c r="Q2429" s="3">
        <f t="shared" si="188"/>
        <v>1711.76</v>
      </c>
      <c r="R2429" s="4">
        <f t="shared" si="189"/>
        <v>0.28920000000000001</v>
      </c>
      <c r="S2429" s="2">
        <v>3</v>
      </c>
      <c r="T2429" t="s">
        <v>46</v>
      </c>
      <c r="U2429">
        <v>2</v>
      </c>
    </row>
    <row r="2430" spans="1:21" x14ac:dyDescent="0.25">
      <c r="A2430" s="1">
        <v>46088</v>
      </c>
      <c r="B2430" t="s">
        <v>2619</v>
      </c>
      <c r="C2430" t="s">
        <v>33</v>
      </c>
      <c r="D2430" t="s">
        <v>130</v>
      </c>
      <c r="E2430" t="s">
        <v>72</v>
      </c>
      <c r="F2430" t="s">
        <v>64</v>
      </c>
      <c r="G2430" t="s">
        <v>44</v>
      </c>
      <c r="H2430" t="s">
        <v>73</v>
      </c>
      <c r="I2430" t="s">
        <v>77</v>
      </c>
      <c r="J2430" s="2">
        <v>6</v>
      </c>
      <c r="K2430" s="3">
        <v>1629.3</v>
      </c>
      <c r="L2430" s="3">
        <v>1078.45</v>
      </c>
      <c r="M2430" s="4">
        <v>3.7999999999999999E-2</v>
      </c>
      <c r="N2430" s="3">
        <f t="shared" si="185"/>
        <v>9775.7999999999993</v>
      </c>
      <c r="O2430" s="3">
        <f t="shared" si="186"/>
        <v>9404.32</v>
      </c>
      <c r="P2430" s="3">
        <f t="shared" si="187"/>
        <v>6470.7</v>
      </c>
      <c r="Q2430" s="3">
        <f t="shared" si="188"/>
        <v>2933.62</v>
      </c>
      <c r="R2430" s="4">
        <f t="shared" si="189"/>
        <v>0.31190000000000001</v>
      </c>
      <c r="S2430" s="2">
        <v>9</v>
      </c>
      <c r="T2430" t="s">
        <v>46</v>
      </c>
      <c r="U2430">
        <v>3</v>
      </c>
    </row>
    <row r="2431" spans="1:21" x14ac:dyDescent="0.25">
      <c r="A2431" s="1">
        <v>46115</v>
      </c>
      <c r="B2431" t="s">
        <v>2620</v>
      </c>
      <c r="C2431" t="s">
        <v>218</v>
      </c>
      <c r="D2431" t="s">
        <v>43</v>
      </c>
      <c r="E2431" t="s">
        <v>25</v>
      </c>
      <c r="F2431" t="s">
        <v>26</v>
      </c>
      <c r="G2431" t="s">
        <v>37</v>
      </c>
      <c r="H2431" t="s">
        <v>104</v>
      </c>
      <c r="I2431" t="s">
        <v>60</v>
      </c>
      <c r="J2431" s="2">
        <v>6</v>
      </c>
      <c r="K2431" s="3">
        <v>324.77999999999997</v>
      </c>
      <c r="L2431" s="3">
        <v>144.02000000000001</v>
      </c>
      <c r="M2431" s="4">
        <v>0</v>
      </c>
      <c r="N2431" s="3">
        <f t="shared" si="185"/>
        <v>1948.68</v>
      </c>
      <c r="O2431" s="3">
        <f t="shared" si="186"/>
        <v>1948.68</v>
      </c>
      <c r="P2431" s="3">
        <f t="shared" si="187"/>
        <v>864.12</v>
      </c>
      <c r="Q2431" s="3">
        <f t="shared" si="188"/>
        <v>1084.56</v>
      </c>
      <c r="R2431" s="4">
        <f t="shared" si="189"/>
        <v>0.55659999999999998</v>
      </c>
      <c r="S2431" s="2">
        <v>14</v>
      </c>
      <c r="T2431" t="s">
        <v>30</v>
      </c>
      <c r="U2431">
        <v>4</v>
      </c>
    </row>
    <row r="2432" spans="1:21" x14ac:dyDescent="0.25">
      <c r="A2432" s="1">
        <v>46111</v>
      </c>
      <c r="B2432" t="s">
        <v>2621</v>
      </c>
      <c r="C2432" t="s">
        <v>590</v>
      </c>
      <c r="D2432" t="s">
        <v>207</v>
      </c>
      <c r="E2432" t="s">
        <v>35</v>
      </c>
      <c r="F2432" t="s">
        <v>26</v>
      </c>
      <c r="G2432" t="s">
        <v>37</v>
      </c>
      <c r="H2432" t="s">
        <v>104</v>
      </c>
      <c r="I2432" t="s">
        <v>74</v>
      </c>
      <c r="J2432" s="2">
        <v>2</v>
      </c>
      <c r="K2432" s="3">
        <v>315.51</v>
      </c>
      <c r="L2432" s="3">
        <v>138.19</v>
      </c>
      <c r="M2432" s="4">
        <v>2.3699999999999999E-2</v>
      </c>
      <c r="N2432" s="3">
        <f t="shared" si="185"/>
        <v>631.02</v>
      </c>
      <c r="O2432" s="3">
        <f t="shared" si="186"/>
        <v>616.05999999999995</v>
      </c>
      <c r="P2432" s="3">
        <f t="shared" si="187"/>
        <v>276.38</v>
      </c>
      <c r="Q2432" s="3">
        <f t="shared" si="188"/>
        <v>339.68</v>
      </c>
      <c r="R2432" s="4">
        <f t="shared" si="189"/>
        <v>0.5514</v>
      </c>
      <c r="S2432" s="2">
        <v>3</v>
      </c>
      <c r="T2432" t="s">
        <v>46</v>
      </c>
      <c r="U2432">
        <v>4</v>
      </c>
    </row>
    <row r="2433" spans="1:21" x14ac:dyDescent="0.25">
      <c r="A2433" s="1">
        <v>46087</v>
      </c>
      <c r="B2433" t="s">
        <v>2622</v>
      </c>
      <c r="C2433" t="s">
        <v>520</v>
      </c>
      <c r="D2433" t="s">
        <v>207</v>
      </c>
      <c r="E2433" t="s">
        <v>35</v>
      </c>
      <c r="F2433" t="s">
        <v>26</v>
      </c>
      <c r="G2433" t="s">
        <v>44</v>
      </c>
      <c r="H2433" t="s">
        <v>45</v>
      </c>
      <c r="I2433" t="s">
        <v>94</v>
      </c>
      <c r="J2433" s="2">
        <v>3</v>
      </c>
      <c r="K2433" s="3">
        <v>372.93</v>
      </c>
      <c r="L2433" s="3">
        <v>205.05</v>
      </c>
      <c r="M2433" s="4">
        <v>0</v>
      </c>
      <c r="N2433" s="3">
        <f t="shared" si="185"/>
        <v>1118.79</v>
      </c>
      <c r="O2433" s="3">
        <f t="shared" si="186"/>
        <v>1118.79</v>
      </c>
      <c r="P2433" s="3">
        <f t="shared" si="187"/>
        <v>615.15</v>
      </c>
      <c r="Q2433" s="3">
        <f t="shared" si="188"/>
        <v>503.64</v>
      </c>
      <c r="R2433" s="4">
        <f t="shared" si="189"/>
        <v>0.45019999999999999</v>
      </c>
      <c r="S2433" s="2">
        <v>8</v>
      </c>
      <c r="T2433" t="s">
        <v>46</v>
      </c>
      <c r="U2433">
        <v>3</v>
      </c>
    </row>
    <row r="2434" spans="1:21" x14ac:dyDescent="0.25">
      <c r="A2434" s="1">
        <v>46122</v>
      </c>
      <c r="B2434" t="s">
        <v>2623</v>
      </c>
      <c r="C2434" t="s">
        <v>84</v>
      </c>
      <c r="D2434" t="s">
        <v>85</v>
      </c>
      <c r="E2434" t="s">
        <v>50</v>
      </c>
      <c r="F2434" t="s">
        <v>64</v>
      </c>
      <c r="G2434" t="s">
        <v>44</v>
      </c>
      <c r="H2434" t="s">
        <v>73</v>
      </c>
      <c r="I2434" t="s">
        <v>29</v>
      </c>
      <c r="J2434" s="2">
        <v>3</v>
      </c>
      <c r="K2434" s="3">
        <v>1765.77</v>
      </c>
      <c r="L2434" s="3">
        <v>1071.68</v>
      </c>
      <c r="M2434" s="4">
        <v>4.7600000000000003E-2</v>
      </c>
      <c r="N2434" s="3">
        <f t="shared" ref="N2434:N2497" si="190">ROUND(J2434*K2434,2)</f>
        <v>5297.31</v>
      </c>
      <c r="O2434" s="3">
        <f t="shared" ref="O2434:O2497" si="191">ROUND(N2434*(1-M2434),2)</f>
        <v>5045.16</v>
      </c>
      <c r="P2434" s="3">
        <f t="shared" ref="P2434:P2497" si="192">ROUND(J2434*L2434,2)</f>
        <v>3215.04</v>
      </c>
      <c r="Q2434" s="3">
        <f t="shared" ref="Q2434:Q2497" si="193">ROUND(O2434-P2434,2)</f>
        <v>1830.12</v>
      </c>
      <c r="R2434" s="4">
        <f t="shared" ref="R2434:R2497" si="194">IF(O2434=0,0,ROUND(Q2434/O2434,4))</f>
        <v>0.36270000000000002</v>
      </c>
      <c r="S2434" s="2">
        <v>10</v>
      </c>
      <c r="T2434" t="s">
        <v>46</v>
      </c>
      <c r="U2434">
        <v>4</v>
      </c>
    </row>
    <row r="2435" spans="1:21" x14ac:dyDescent="0.25">
      <c r="A2435" s="1">
        <v>46060</v>
      </c>
      <c r="B2435" t="s">
        <v>2624</v>
      </c>
      <c r="C2435" t="s">
        <v>226</v>
      </c>
      <c r="D2435" t="s">
        <v>71</v>
      </c>
      <c r="E2435" t="s">
        <v>72</v>
      </c>
      <c r="F2435" t="s">
        <v>64</v>
      </c>
      <c r="G2435" t="s">
        <v>44</v>
      </c>
      <c r="H2435" t="s">
        <v>45</v>
      </c>
      <c r="I2435" t="s">
        <v>39</v>
      </c>
      <c r="J2435" s="2">
        <v>6</v>
      </c>
      <c r="K2435" s="3">
        <v>405.54</v>
      </c>
      <c r="L2435" s="3">
        <v>216.65</v>
      </c>
      <c r="M2435" s="4">
        <v>4.7199999999999999E-2</v>
      </c>
      <c r="N2435" s="3">
        <f t="shared" si="190"/>
        <v>2433.2399999999998</v>
      </c>
      <c r="O2435" s="3">
        <f t="shared" si="191"/>
        <v>2318.39</v>
      </c>
      <c r="P2435" s="3">
        <f t="shared" si="192"/>
        <v>1299.9000000000001</v>
      </c>
      <c r="Q2435" s="3">
        <f t="shared" si="193"/>
        <v>1018.49</v>
      </c>
      <c r="R2435" s="4">
        <f t="shared" si="194"/>
        <v>0.43930000000000002</v>
      </c>
      <c r="S2435" s="2">
        <v>6</v>
      </c>
      <c r="T2435" t="s">
        <v>46</v>
      </c>
      <c r="U2435">
        <v>4</v>
      </c>
    </row>
    <row r="2436" spans="1:21" x14ac:dyDescent="0.25">
      <c r="A2436" s="1">
        <v>46097</v>
      </c>
      <c r="B2436" t="s">
        <v>2625</v>
      </c>
      <c r="C2436" t="s">
        <v>106</v>
      </c>
      <c r="D2436" t="s">
        <v>63</v>
      </c>
      <c r="E2436" t="s">
        <v>35</v>
      </c>
      <c r="F2436" t="s">
        <v>36</v>
      </c>
      <c r="G2436" t="s">
        <v>51</v>
      </c>
      <c r="H2436" t="s">
        <v>52</v>
      </c>
      <c r="I2436" t="s">
        <v>65</v>
      </c>
      <c r="J2436" s="2">
        <v>7</v>
      </c>
      <c r="K2436" s="3">
        <v>262.07</v>
      </c>
      <c r="L2436" s="3">
        <v>117.3</v>
      </c>
      <c r="M2436" s="4">
        <v>5.4899999999999997E-2</v>
      </c>
      <c r="N2436" s="3">
        <f t="shared" si="190"/>
        <v>1834.49</v>
      </c>
      <c r="O2436" s="3">
        <f t="shared" si="191"/>
        <v>1733.78</v>
      </c>
      <c r="P2436" s="3">
        <f t="shared" si="192"/>
        <v>821.1</v>
      </c>
      <c r="Q2436" s="3">
        <f t="shared" si="193"/>
        <v>912.68</v>
      </c>
      <c r="R2436" s="4">
        <f t="shared" si="194"/>
        <v>0.52639999999999998</v>
      </c>
      <c r="S2436" s="2">
        <v>2</v>
      </c>
      <c r="T2436" t="s">
        <v>46</v>
      </c>
      <c r="U2436">
        <v>2</v>
      </c>
    </row>
    <row r="2437" spans="1:21" x14ac:dyDescent="0.25">
      <c r="A2437" s="1">
        <v>46152</v>
      </c>
      <c r="B2437" t="s">
        <v>2626</v>
      </c>
      <c r="C2437" t="s">
        <v>155</v>
      </c>
      <c r="D2437" t="s">
        <v>126</v>
      </c>
      <c r="E2437" t="s">
        <v>57</v>
      </c>
      <c r="F2437" t="s">
        <v>36</v>
      </c>
      <c r="G2437" t="s">
        <v>37</v>
      </c>
      <c r="H2437" t="s">
        <v>38</v>
      </c>
      <c r="I2437" t="s">
        <v>65</v>
      </c>
      <c r="J2437" s="2">
        <v>7</v>
      </c>
      <c r="K2437" s="3">
        <v>435.06</v>
      </c>
      <c r="L2437" s="3">
        <v>193.4</v>
      </c>
      <c r="M2437" s="4">
        <v>0.10009999999999999</v>
      </c>
      <c r="N2437" s="3">
        <f t="shared" si="190"/>
        <v>3045.42</v>
      </c>
      <c r="O2437" s="3">
        <f t="shared" si="191"/>
        <v>2740.57</v>
      </c>
      <c r="P2437" s="3">
        <f t="shared" si="192"/>
        <v>1353.8</v>
      </c>
      <c r="Q2437" s="3">
        <f t="shared" si="193"/>
        <v>1386.77</v>
      </c>
      <c r="R2437" s="4">
        <f t="shared" si="194"/>
        <v>0.50600000000000001</v>
      </c>
      <c r="S2437" s="2">
        <v>7</v>
      </c>
      <c r="T2437" t="s">
        <v>46</v>
      </c>
      <c r="U2437">
        <v>4</v>
      </c>
    </row>
    <row r="2438" spans="1:21" x14ac:dyDescent="0.25">
      <c r="A2438" s="1">
        <v>46096</v>
      </c>
      <c r="B2438" t="s">
        <v>2627</v>
      </c>
      <c r="C2438" t="s">
        <v>590</v>
      </c>
      <c r="D2438" t="s">
        <v>56</v>
      </c>
      <c r="E2438" t="s">
        <v>57</v>
      </c>
      <c r="F2438" t="s">
        <v>58</v>
      </c>
      <c r="G2438" t="s">
        <v>27</v>
      </c>
      <c r="H2438" t="s">
        <v>86</v>
      </c>
      <c r="I2438" t="s">
        <v>92</v>
      </c>
      <c r="J2438" s="2">
        <v>8</v>
      </c>
      <c r="K2438" s="3">
        <v>1906.01</v>
      </c>
      <c r="L2438" s="3">
        <v>1212.07</v>
      </c>
      <c r="M2438" s="4">
        <v>0.1273</v>
      </c>
      <c r="N2438" s="3">
        <f t="shared" si="190"/>
        <v>15248.08</v>
      </c>
      <c r="O2438" s="3">
        <f t="shared" si="191"/>
        <v>13307</v>
      </c>
      <c r="P2438" s="3">
        <f t="shared" si="192"/>
        <v>9696.56</v>
      </c>
      <c r="Q2438" s="3">
        <f t="shared" si="193"/>
        <v>3610.44</v>
      </c>
      <c r="R2438" s="4">
        <f t="shared" si="194"/>
        <v>0.27129999999999999</v>
      </c>
      <c r="S2438" s="2">
        <v>6</v>
      </c>
      <c r="T2438" t="s">
        <v>46</v>
      </c>
      <c r="U2438">
        <v>2</v>
      </c>
    </row>
    <row r="2439" spans="1:21" x14ac:dyDescent="0.25">
      <c r="A2439" s="1">
        <v>46146</v>
      </c>
      <c r="B2439" t="s">
        <v>2628</v>
      </c>
      <c r="C2439" t="s">
        <v>428</v>
      </c>
      <c r="D2439" t="s">
        <v>56</v>
      </c>
      <c r="E2439" t="s">
        <v>57</v>
      </c>
      <c r="F2439" t="s">
        <v>58</v>
      </c>
      <c r="G2439" t="s">
        <v>27</v>
      </c>
      <c r="H2439" t="s">
        <v>86</v>
      </c>
      <c r="I2439" t="s">
        <v>77</v>
      </c>
      <c r="J2439" s="2">
        <v>2</v>
      </c>
      <c r="K2439" s="3">
        <v>1828.74</v>
      </c>
      <c r="L2439" s="3">
        <v>1237.78</v>
      </c>
      <c r="M2439" s="4">
        <v>0.14510000000000001</v>
      </c>
      <c r="N2439" s="3">
        <f t="shared" si="190"/>
        <v>3657.48</v>
      </c>
      <c r="O2439" s="3">
        <f t="shared" si="191"/>
        <v>3126.78</v>
      </c>
      <c r="P2439" s="3">
        <f t="shared" si="192"/>
        <v>2475.56</v>
      </c>
      <c r="Q2439" s="3">
        <f t="shared" si="193"/>
        <v>651.22</v>
      </c>
      <c r="R2439" s="4">
        <f t="shared" si="194"/>
        <v>0.20830000000000001</v>
      </c>
      <c r="S2439" s="2">
        <v>2</v>
      </c>
      <c r="T2439" t="s">
        <v>46</v>
      </c>
      <c r="U2439">
        <v>5</v>
      </c>
    </row>
    <row r="2440" spans="1:21" x14ac:dyDescent="0.25">
      <c r="A2440" s="1">
        <v>46183</v>
      </c>
      <c r="B2440" t="s">
        <v>2629</v>
      </c>
      <c r="C2440" t="s">
        <v>466</v>
      </c>
      <c r="D2440" t="s">
        <v>24</v>
      </c>
      <c r="E2440" t="s">
        <v>25</v>
      </c>
      <c r="F2440" t="s">
        <v>36</v>
      </c>
      <c r="G2440" t="s">
        <v>27</v>
      </c>
      <c r="H2440" t="s">
        <v>68</v>
      </c>
      <c r="I2440" t="s">
        <v>74</v>
      </c>
      <c r="J2440" s="2">
        <v>4</v>
      </c>
      <c r="K2440" s="3">
        <v>1273</v>
      </c>
      <c r="L2440" s="3">
        <v>828.22</v>
      </c>
      <c r="M2440" s="4">
        <v>0.1085</v>
      </c>
      <c r="N2440" s="3">
        <f t="shared" si="190"/>
        <v>5092</v>
      </c>
      <c r="O2440" s="3">
        <f t="shared" si="191"/>
        <v>4539.5200000000004</v>
      </c>
      <c r="P2440" s="3">
        <f t="shared" si="192"/>
        <v>3312.88</v>
      </c>
      <c r="Q2440" s="3">
        <f t="shared" si="193"/>
        <v>1226.6400000000001</v>
      </c>
      <c r="R2440" s="4">
        <f t="shared" si="194"/>
        <v>0.2702</v>
      </c>
      <c r="S2440" s="2">
        <v>14</v>
      </c>
      <c r="T2440" t="s">
        <v>30</v>
      </c>
      <c r="U2440">
        <v>3</v>
      </c>
    </row>
    <row r="2441" spans="1:21" x14ac:dyDescent="0.25">
      <c r="A2441" s="1">
        <v>46104</v>
      </c>
      <c r="B2441" t="s">
        <v>2630</v>
      </c>
      <c r="C2441" t="s">
        <v>76</v>
      </c>
      <c r="D2441" t="s">
        <v>97</v>
      </c>
      <c r="E2441" t="s">
        <v>57</v>
      </c>
      <c r="F2441" t="s">
        <v>36</v>
      </c>
      <c r="G2441" t="s">
        <v>27</v>
      </c>
      <c r="H2441" t="s">
        <v>28</v>
      </c>
      <c r="I2441" t="s">
        <v>87</v>
      </c>
      <c r="J2441" s="2">
        <v>6</v>
      </c>
      <c r="K2441" s="3">
        <v>743.33</v>
      </c>
      <c r="L2441" s="3">
        <v>476.11</v>
      </c>
      <c r="M2441" s="4">
        <v>0</v>
      </c>
      <c r="N2441" s="3">
        <f t="shared" si="190"/>
        <v>4459.9799999999996</v>
      </c>
      <c r="O2441" s="3">
        <f t="shared" si="191"/>
        <v>4459.9799999999996</v>
      </c>
      <c r="P2441" s="3">
        <f t="shared" si="192"/>
        <v>2856.66</v>
      </c>
      <c r="Q2441" s="3">
        <f t="shared" si="193"/>
        <v>1603.32</v>
      </c>
      <c r="R2441" s="4">
        <f t="shared" si="194"/>
        <v>0.35949999999999999</v>
      </c>
      <c r="S2441" s="2">
        <v>3</v>
      </c>
      <c r="T2441" t="s">
        <v>46</v>
      </c>
      <c r="U2441">
        <v>5</v>
      </c>
    </row>
    <row r="2442" spans="1:21" x14ac:dyDescent="0.25">
      <c r="A2442" s="1">
        <v>46178</v>
      </c>
      <c r="B2442" t="s">
        <v>2631</v>
      </c>
      <c r="C2442" t="s">
        <v>433</v>
      </c>
      <c r="D2442" t="s">
        <v>113</v>
      </c>
      <c r="E2442" t="s">
        <v>50</v>
      </c>
      <c r="F2442" t="s">
        <v>64</v>
      </c>
      <c r="G2442" t="s">
        <v>37</v>
      </c>
      <c r="H2442" t="s">
        <v>38</v>
      </c>
      <c r="I2442" t="s">
        <v>94</v>
      </c>
      <c r="J2442" s="2">
        <v>8</v>
      </c>
      <c r="K2442" s="3">
        <v>446.54</v>
      </c>
      <c r="L2442" s="3">
        <v>198.57</v>
      </c>
      <c r="M2442" s="4">
        <v>0</v>
      </c>
      <c r="N2442" s="3">
        <f t="shared" si="190"/>
        <v>3572.32</v>
      </c>
      <c r="O2442" s="3">
        <f t="shared" si="191"/>
        <v>3572.32</v>
      </c>
      <c r="P2442" s="3">
        <f t="shared" si="192"/>
        <v>1588.56</v>
      </c>
      <c r="Q2442" s="3">
        <f t="shared" si="193"/>
        <v>1983.76</v>
      </c>
      <c r="R2442" s="4">
        <f t="shared" si="194"/>
        <v>0.55530000000000002</v>
      </c>
      <c r="S2442" s="2">
        <v>7</v>
      </c>
      <c r="T2442" t="s">
        <v>46</v>
      </c>
      <c r="U2442">
        <v>2</v>
      </c>
    </row>
    <row r="2443" spans="1:21" x14ac:dyDescent="0.25">
      <c r="A2443" s="1">
        <v>46030</v>
      </c>
      <c r="B2443" t="s">
        <v>2632</v>
      </c>
      <c r="C2443" t="s">
        <v>62</v>
      </c>
      <c r="D2443" t="s">
        <v>121</v>
      </c>
      <c r="E2443" t="s">
        <v>72</v>
      </c>
      <c r="F2443" t="s">
        <v>58</v>
      </c>
      <c r="G2443" t="s">
        <v>51</v>
      </c>
      <c r="H2443" t="s">
        <v>52</v>
      </c>
      <c r="I2443" t="s">
        <v>29</v>
      </c>
      <c r="J2443" s="2">
        <v>4</v>
      </c>
      <c r="K2443" s="3">
        <v>257.20999999999998</v>
      </c>
      <c r="L2443" s="3">
        <v>124.44</v>
      </c>
      <c r="M2443" s="4">
        <v>3.5000000000000003E-2</v>
      </c>
      <c r="N2443" s="3">
        <f t="shared" si="190"/>
        <v>1028.8399999999999</v>
      </c>
      <c r="O2443" s="3">
        <f t="shared" si="191"/>
        <v>992.83</v>
      </c>
      <c r="P2443" s="3">
        <f t="shared" si="192"/>
        <v>497.76</v>
      </c>
      <c r="Q2443" s="3">
        <f t="shared" si="193"/>
        <v>495.07</v>
      </c>
      <c r="R2443" s="4">
        <f t="shared" si="194"/>
        <v>0.49859999999999999</v>
      </c>
      <c r="S2443" s="2">
        <v>4</v>
      </c>
      <c r="T2443" t="s">
        <v>46</v>
      </c>
      <c r="U2443">
        <v>3</v>
      </c>
    </row>
    <row r="2444" spans="1:21" x14ac:dyDescent="0.25">
      <c r="A2444" s="1">
        <v>46084</v>
      </c>
      <c r="B2444" t="s">
        <v>2633</v>
      </c>
      <c r="C2444" t="s">
        <v>96</v>
      </c>
      <c r="D2444" t="s">
        <v>24</v>
      </c>
      <c r="E2444" t="s">
        <v>25</v>
      </c>
      <c r="F2444" t="s">
        <v>26</v>
      </c>
      <c r="G2444" t="s">
        <v>27</v>
      </c>
      <c r="H2444" t="s">
        <v>28</v>
      </c>
      <c r="I2444" t="s">
        <v>53</v>
      </c>
      <c r="J2444" s="2">
        <v>1</v>
      </c>
      <c r="K2444" s="3">
        <v>793.23</v>
      </c>
      <c r="L2444" s="3">
        <v>459.48</v>
      </c>
      <c r="M2444" s="4">
        <v>3.44E-2</v>
      </c>
      <c r="N2444" s="3">
        <f t="shared" si="190"/>
        <v>793.23</v>
      </c>
      <c r="O2444" s="3">
        <f t="shared" si="191"/>
        <v>765.94</v>
      </c>
      <c r="P2444" s="3">
        <f t="shared" si="192"/>
        <v>459.48</v>
      </c>
      <c r="Q2444" s="3">
        <f t="shared" si="193"/>
        <v>306.45999999999998</v>
      </c>
      <c r="R2444" s="4">
        <f t="shared" si="194"/>
        <v>0.40010000000000001</v>
      </c>
      <c r="S2444" s="2">
        <v>14</v>
      </c>
      <c r="T2444" t="s">
        <v>30</v>
      </c>
      <c r="U2444">
        <v>2</v>
      </c>
    </row>
    <row r="2445" spans="1:21" x14ac:dyDescent="0.25">
      <c r="A2445" s="1">
        <v>46040</v>
      </c>
      <c r="B2445" t="s">
        <v>2634</v>
      </c>
      <c r="C2445" t="s">
        <v>142</v>
      </c>
      <c r="D2445" t="s">
        <v>101</v>
      </c>
      <c r="E2445" t="s">
        <v>35</v>
      </c>
      <c r="F2445" t="s">
        <v>58</v>
      </c>
      <c r="G2445" t="s">
        <v>44</v>
      </c>
      <c r="H2445" t="s">
        <v>73</v>
      </c>
      <c r="I2445" t="s">
        <v>87</v>
      </c>
      <c r="J2445" s="2">
        <v>4</v>
      </c>
      <c r="K2445" s="3">
        <v>1690.83</v>
      </c>
      <c r="L2445" s="3">
        <v>1113.5899999999999</v>
      </c>
      <c r="M2445" s="4">
        <v>3.5000000000000003E-2</v>
      </c>
      <c r="N2445" s="3">
        <f t="shared" si="190"/>
        <v>6763.32</v>
      </c>
      <c r="O2445" s="3">
        <f t="shared" si="191"/>
        <v>6526.6</v>
      </c>
      <c r="P2445" s="3">
        <f t="shared" si="192"/>
        <v>4454.3599999999997</v>
      </c>
      <c r="Q2445" s="3">
        <f t="shared" si="193"/>
        <v>2072.2399999999998</v>
      </c>
      <c r="R2445" s="4">
        <f t="shared" si="194"/>
        <v>0.3175</v>
      </c>
      <c r="S2445" s="2">
        <v>8</v>
      </c>
      <c r="T2445" t="s">
        <v>46</v>
      </c>
      <c r="U2445">
        <v>2</v>
      </c>
    </row>
    <row r="2446" spans="1:21" x14ac:dyDescent="0.25">
      <c r="A2446" s="1">
        <v>46089</v>
      </c>
      <c r="B2446" t="s">
        <v>2635</v>
      </c>
      <c r="C2446" t="s">
        <v>456</v>
      </c>
      <c r="D2446" t="s">
        <v>71</v>
      </c>
      <c r="E2446" t="s">
        <v>72</v>
      </c>
      <c r="F2446" t="s">
        <v>26</v>
      </c>
      <c r="G2446" t="s">
        <v>44</v>
      </c>
      <c r="H2446" t="s">
        <v>124</v>
      </c>
      <c r="I2446" t="s">
        <v>53</v>
      </c>
      <c r="J2446" s="2">
        <v>8</v>
      </c>
      <c r="K2446" s="3">
        <v>6160.63</v>
      </c>
      <c r="L2446" s="3">
        <v>4559.17</v>
      </c>
      <c r="M2446" s="4">
        <v>0.1174</v>
      </c>
      <c r="N2446" s="3">
        <f t="shared" si="190"/>
        <v>49285.04</v>
      </c>
      <c r="O2446" s="3">
        <f t="shared" si="191"/>
        <v>43498.98</v>
      </c>
      <c r="P2446" s="3">
        <f t="shared" si="192"/>
        <v>36473.360000000001</v>
      </c>
      <c r="Q2446" s="3">
        <f t="shared" si="193"/>
        <v>7025.62</v>
      </c>
      <c r="R2446" s="4">
        <f t="shared" si="194"/>
        <v>0.1615</v>
      </c>
      <c r="S2446" s="2">
        <v>8</v>
      </c>
      <c r="T2446" t="s">
        <v>46</v>
      </c>
      <c r="U2446">
        <v>4</v>
      </c>
    </row>
    <row r="2447" spans="1:21" x14ac:dyDescent="0.25">
      <c r="A2447" s="1">
        <v>46050</v>
      </c>
      <c r="B2447" t="s">
        <v>2636</v>
      </c>
      <c r="C2447" t="s">
        <v>206</v>
      </c>
      <c r="D2447" t="s">
        <v>126</v>
      </c>
      <c r="E2447" t="s">
        <v>57</v>
      </c>
      <c r="F2447" t="s">
        <v>58</v>
      </c>
      <c r="G2447" t="s">
        <v>37</v>
      </c>
      <c r="H2447" t="s">
        <v>38</v>
      </c>
      <c r="I2447" t="s">
        <v>53</v>
      </c>
      <c r="J2447" s="2">
        <v>2</v>
      </c>
      <c r="K2447" s="3">
        <v>417.08</v>
      </c>
      <c r="L2447" s="3">
        <v>185.2</v>
      </c>
      <c r="M2447" s="4">
        <v>3.5000000000000003E-2</v>
      </c>
      <c r="N2447" s="3">
        <f t="shared" si="190"/>
        <v>834.16</v>
      </c>
      <c r="O2447" s="3">
        <f t="shared" si="191"/>
        <v>804.96</v>
      </c>
      <c r="P2447" s="3">
        <f t="shared" si="192"/>
        <v>370.4</v>
      </c>
      <c r="Q2447" s="3">
        <f t="shared" si="193"/>
        <v>434.56</v>
      </c>
      <c r="R2447" s="4">
        <f t="shared" si="194"/>
        <v>0.53990000000000005</v>
      </c>
      <c r="S2447" s="2">
        <v>12</v>
      </c>
      <c r="T2447" t="s">
        <v>30</v>
      </c>
      <c r="U2447">
        <v>5</v>
      </c>
    </row>
    <row r="2448" spans="1:21" x14ac:dyDescent="0.25">
      <c r="A2448" s="1">
        <v>46028</v>
      </c>
      <c r="B2448" t="s">
        <v>2637</v>
      </c>
      <c r="C2448" t="s">
        <v>525</v>
      </c>
      <c r="D2448" t="s">
        <v>24</v>
      </c>
      <c r="E2448" t="s">
        <v>25</v>
      </c>
      <c r="F2448" t="s">
        <v>58</v>
      </c>
      <c r="G2448" t="s">
        <v>27</v>
      </c>
      <c r="H2448" t="s">
        <v>86</v>
      </c>
      <c r="I2448" t="s">
        <v>92</v>
      </c>
      <c r="J2448" s="2">
        <v>2</v>
      </c>
      <c r="K2448" s="3">
        <v>1953.75</v>
      </c>
      <c r="L2448" s="3">
        <v>1184.97</v>
      </c>
      <c r="M2448" s="4">
        <v>3.5000000000000003E-2</v>
      </c>
      <c r="N2448" s="3">
        <f t="shared" si="190"/>
        <v>3907.5</v>
      </c>
      <c r="O2448" s="3">
        <f t="shared" si="191"/>
        <v>3770.74</v>
      </c>
      <c r="P2448" s="3">
        <f t="shared" si="192"/>
        <v>2369.94</v>
      </c>
      <c r="Q2448" s="3">
        <f t="shared" si="193"/>
        <v>1400.8</v>
      </c>
      <c r="R2448" s="4">
        <f t="shared" si="194"/>
        <v>0.3715</v>
      </c>
      <c r="S2448" s="2">
        <v>12</v>
      </c>
      <c r="T2448" t="s">
        <v>30</v>
      </c>
      <c r="U2448">
        <v>2</v>
      </c>
    </row>
    <row r="2449" spans="1:21" x14ac:dyDescent="0.25">
      <c r="A2449" s="1">
        <v>46133</v>
      </c>
      <c r="B2449" t="s">
        <v>2638</v>
      </c>
      <c r="C2449" t="s">
        <v>336</v>
      </c>
      <c r="D2449" t="s">
        <v>130</v>
      </c>
      <c r="E2449" t="s">
        <v>72</v>
      </c>
      <c r="F2449" t="s">
        <v>58</v>
      </c>
      <c r="G2449" t="s">
        <v>44</v>
      </c>
      <c r="H2449" t="s">
        <v>73</v>
      </c>
      <c r="I2449" t="s">
        <v>53</v>
      </c>
      <c r="J2449" s="2">
        <v>8</v>
      </c>
      <c r="K2449" s="3">
        <v>1637.34</v>
      </c>
      <c r="L2449" s="3">
        <v>1154.24</v>
      </c>
      <c r="M2449" s="4">
        <v>3.5000000000000003E-2</v>
      </c>
      <c r="N2449" s="3">
        <f t="shared" si="190"/>
        <v>13098.72</v>
      </c>
      <c r="O2449" s="3">
        <f t="shared" si="191"/>
        <v>12640.26</v>
      </c>
      <c r="P2449" s="3">
        <f t="shared" si="192"/>
        <v>9233.92</v>
      </c>
      <c r="Q2449" s="3">
        <f t="shared" si="193"/>
        <v>3406.34</v>
      </c>
      <c r="R2449" s="4">
        <f t="shared" si="194"/>
        <v>0.26950000000000002</v>
      </c>
      <c r="S2449" s="2">
        <v>10</v>
      </c>
      <c r="T2449" t="s">
        <v>46</v>
      </c>
      <c r="U2449">
        <v>5</v>
      </c>
    </row>
    <row r="2450" spans="1:21" x14ac:dyDescent="0.25">
      <c r="A2450" s="1">
        <v>46045</v>
      </c>
      <c r="B2450" t="s">
        <v>2639</v>
      </c>
      <c r="C2450" t="s">
        <v>297</v>
      </c>
      <c r="D2450" t="s">
        <v>56</v>
      </c>
      <c r="E2450" t="s">
        <v>57</v>
      </c>
      <c r="F2450" t="s">
        <v>64</v>
      </c>
      <c r="G2450" t="s">
        <v>37</v>
      </c>
      <c r="H2450" t="s">
        <v>104</v>
      </c>
      <c r="I2450" t="s">
        <v>60</v>
      </c>
      <c r="J2450" s="2">
        <v>4</v>
      </c>
      <c r="K2450" s="3">
        <v>326.62</v>
      </c>
      <c r="L2450" s="3">
        <v>140.30000000000001</v>
      </c>
      <c r="M2450" s="4">
        <v>0</v>
      </c>
      <c r="N2450" s="3">
        <f t="shared" si="190"/>
        <v>1306.48</v>
      </c>
      <c r="O2450" s="3">
        <f t="shared" si="191"/>
        <v>1306.48</v>
      </c>
      <c r="P2450" s="3">
        <f t="shared" si="192"/>
        <v>561.20000000000005</v>
      </c>
      <c r="Q2450" s="3">
        <f t="shared" si="193"/>
        <v>745.28</v>
      </c>
      <c r="R2450" s="4">
        <f t="shared" si="194"/>
        <v>0.57040000000000002</v>
      </c>
      <c r="S2450" s="2">
        <v>5</v>
      </c>
      <c r="T2450" t="s">
        <v>46</v>
      </c>
      <c r="U2450">
        <v>5</v>
      </c>
    </row>
    <row r="2451" spans="1:21" x14ac:dyDescent="0.25">
      <c r="A2451" s="1">
        <v>46050</v>
      </c>
      <c r="B2451" t="s">
        <v>2640</v>
      </c>
      <c r="C2451" t="s">
        <v>146</v>
      </c>
      <c r="D2451" t="s">
        <v>71</v>
      </c>
      <c r="E2451" t="s">
        <v>72</v>
      </c>
      <c r="F2451" t="s">
        <v>26</v>
      </c>
      <c r="G2451" t="s">
        <v>44</v>
      </c>
      <c r="H2451" t="s">
        <v>124</v>
      </c>
      <c r="I2451" t="s">
        <v>65</v>
      </c>
      <c r="J2451" s="2">
        <v>3</v>
      </c>
      <c r="K2451" s="3">
        <v>5955.37</v>
      </c>
      <c r="L2451" s="3">
        <v>4623.92</v>
      </c>
      <c r="M2451" s="4">
        <v>1.95E-2</v>
      </c>
      <c r="N2451" s="3">
        <f t="shared" si="190"/>
        <v>17866.11</v>
      </c>
      <c r="O2451" s="3">
        <f t="shared" si="191"/>
        <v>17517.72</v>
      </c>
      <c r="P2451" s="3">
        <f t="shared" si="192"/>
        <v>13871.76</v>
      </c>
      <c r="Q2451" s="3">
        <f t="shared" si="193"/>
        <v>3645.96</v>
      </c>
      <c r="R2451" s="4">
        <f t="shared" si="194"/>
        <v>0.20810000000000001</v>
      </c>
      <c r="S2451" s="2">
        <v>13</v>
      </c>
      <c r="T2451" t="s">
        <v>30</v>
      </c>
      <c r="U2451">
        <v>5</v>
      </c>
    </row>
    <row r="2452" spans="1:21" x14ac:dyDescent="0.25">
      <c r="A2452" s="1">
        <v>46100</v>
      </c>
      <c r="B2452" t="s">
        <v>2641</v>
      </c>
      <c r="C2452" t="s">
        <v>271</v>
      </c>
      <c r="D2452" t="s">
        <v>63</v>
      </c>
      <c r="E2452" t="s">
        <v>35</v>
      </c>
      <c r="F2452" t="s">
        <v>58</v>
      </c>
      <c r="G2452" t="s">
        <v>37</v>
      </c>
      <c r="H2452" t="s">
        <v>38</v>
      </c>
      <c r="I2452" t="s">
        <v>77</v>
      </c>
      <c r="J2452" s="2">
        <v>2</v>
      </c>
      <c r="K2452" s="3">
        <v>414.5</v>
      </c>
      <c r="L2452" s="3">
        <v>193.99</v>
      </c>
      <c r="M2452" s="4">
        <v>3.5000000000000003E-2</v>
      </c>
      <c r="N2452" s="3">
        <f t="shared" si="190"/>
        <v>829</v>
      </c>
      <c r="O2452" s="3">
        <f t="shared" si="191"/>
        <v>799.99</v>
      </c>
      <c r="P2452" s="3">
        <f t="shared" si="192"/>
        <v>387.98</v>
      </c>
      <c r="Q2452" s="3">
        <f t="shared" si="193"/>
        <v>412.01</v>
      </c>
      <c r="R2452" s="4">
        <f t="shared" si="194"/>
        <v>0.51500000000000001</v>
      </c>
      <c r="S2452" s="2">
        <v>10</v>
      </c>
      <c r="T2452" t="s">
        <v>46</v>
      </c>
      <c r="U2452">
        <v>2</v>
      </c>
    </row>
    <row r="2453" spans="1:21" x14ac:dyDescent="0.25">
      <c r="A2453" s="1">
        <v>46060</v>
      </c>
      <c r="B2453" t="s">
        <v>2642</v>
      </c>
      <c r="C2453" t="s">
        <v>132</v>
      </c>
      <c r="D2453" t="s">
        <v>34</v>
      </c>
      <c r="E2453" t="s">
        <v>35</v>
      </c>
      <c r="F2453" t="s">
        <v>36</v>
      </c>
      <c r="G2453" t="s">
        <v>51</v>
      </c>
      <c r="H2453" t="s">
        <v>59</v>
      </c>
      <c r="I2453" t="s">
        <v>74</v>
      </c>
      <c r="J2453" s="2">
        <v>8</v>
      </c>
      <c r="K2453" s="3">
        <v>2193.4499999999998</v>
      </c>
      <c r="L2453" s="3">
        <v>1463.81</v>
      </c>
      <c r="M2453" s="4">
        <v>0</v>
      </c>
      <c r="N2453" s="3">
        <f t="shared" si="190"/>
        <v>17547.599999999999</v>
      </c>
      <c r="O2453" s="3">
        <f t="shared" si="191"/>
        <v>17547.599999999999</v>
      </c>
      <c r="P2453" s="3">
        <f t="shared" si="192"/>
        <v>11710.48</v>
      </c>
      <c r="Q2453" s="3">
        <f t="shared" si="193"/>
        <v>5837.12</v>
      </c>
      <c r="R2453" s="4">
        <f t="shared" si="194"/>
        <v>0.33260000000000001</v>
      </c>
      <c r="S2453" s="2">
        <v>7</v>
      </c>
      <c r="T2453" t="s">
        <v>46</v>
      </c>
      <c r="U2453">
        <v>2</v>
      </c>
    </row>
    <row r="2454" spans="1:21" x14ac:dyDescent="0.25">
      <c r="A2454" s="1">
        <v>46120</v>
      </c>
      <c r="B2454" t="s">
        <v>2643</v>
      </c>
      <c r="C2454" t="s">
        <v>216</v>
      </c>
      <c r="D2454" t="s">
        <v>139</v>
      </c>
      <c r="E2454" t="s">
        <v>72</v>
      </c>
      <c r="F2454" t="s">
        <v>64</v>
      </c>
      <c r="G2454" t="s">
        <v>27</v>
      </c>
      <c r="H2454" t="s">
        <v>28</v>
      </c>
      <c r="I2454" t="s">
        <v>92</v>
      </c>
      <c r="J2454" s="2">
        <v>7</v>
      </c>
      <c r="K2454" s="3">
        <v>764.13</v>
      </c>
      <c r="L2454" s="3">
        <v>471.32</v>
      </c>
      <c r="M2454" s="4">
        <v>4.8000000000000001E-2</v>
      </c>
      <c r="N2454" s="3">
        <f t="shared" si="190"/>
        <v>5348.91</v>
      </c>
      <c r="O2454" s="3">
        <f t="shared" si="191"/>
        <v>5092.16</v>
      </c>
      <c r="P2454" s="3">
        <f t="shared" si="192"/>
        <v>3299.24</v>
      </c>
      <c r="Q2454" s="3">
        <f t="shared" si="193"/>
        <v>1792.92</v>
      </c>
      <c r="R2454" s="4">
        <f t="shared" si="194"/>
        <v>0.35210000000000002</v>
      </c>
      <c r="S2454" s="2">
        <v>11</v>
      </c>
      <c r="T2454" t="s">
        <v>30</v>
      </c>
      <c r="U2454">
        <v>4</v>
      </c>
    </row>
    <row r="2455" spans="1:21" x14ac:dyDescent="0.25">
      <c r="A2455" s="1">
        <v>46155</v>
      </c>
      <c r="B2455" t="s">
        <v>2644</v>
      </c>
      <c r="C2455" t="s">
        <v>120</v>
      </c>
      <c r="D2455" t="s">
        <v>207</v>
      </c>
      <c r="E2455" t="s">
        <v>35</v>
      </c>
      <c r="F2455" t="s">
        <v>26</v>
      </c>
      <c r="G2455" t="s">
        <v>37</v>
      </c>
      <c r="H2455" t="s">
        <v>104</v>
      </c>
      <c r="I2455" t="s">
        <v>92</v>
      </c>
      <c r="J2455" s="2">
        <v>6</v>
      </c>
      <c r="K2455" s="3">
        <v>302.27</v>
      </c>
      <c r="L2455" s="3">
        <v>141.24</v>
      </c>
      <c r="M2455" s="4">
        <v>0</v>
      </c>
      <c r="N2455" s="3">
        <f t="shared" si="190"/>
        <v>1813.62</v>
      </c>
      <c r="O2455" s="3">
        <f t="shared" si="191"/>
        <v>1813.62</v>
      </c>
      <c r="P2455" s="3">
        <f t="shared" si="192"/>
        <v>847.44</v>
      </c>
      <c r="Q2455" s="3">
        <f t="shared" si="193"/>
        <v>966.18</v>
      </c>
      <c r="R2455" s="4">
        <f t="shared" si="194"/>
        <v>0.53269999999999995</v>
      </c>
      <c r="S2455" s="2">
        <v>11</v>
      </c>
      <c r="T2455" t="s">
        <v>30</v>
      </c>
      <c r="U2455">
        <v>2</v>
      </c>
    </row>
    <row r="2456" spans="1:21" x14ac:dyDescent="0.25">
      <c r="A2456" s="1">
        <v>46060</v>
      </c>
      <c r="B2456" t="s">
        <v>2645</v>
      </c>
      <c r="C2456" t="s">
        <v>331</v>
      </c>
      <c r="D2456" t="s">
        <v>56</v>
      </c>
      <c r="E2456" t="s">
        <v>57</v>
      </c>
      <c r="F2456" t="s">
        <v>64</v>
      </c>
      <c r="G2456" t="s">
        <v>51</v>
      </c>
      <c r="H2456" t="s">
        <v>59</v>
      </c>
      <c r="I2456" t="s">
        <v>74</v>
      </c>
      <c r="J2456" s="2">
        <v>2</v>
      </c>
      <c r="K2456" s="3">
        <v>2093.19</v>
      </c>
      <c r="L2456" s="3">
        <v>1479.62</v>
      </c>
      <c r="M2456" s="4">
        <v>2.2599999999999999E-2</v>
      </c>
      <c r="N2456" s="3">
        <f t="shared" si="190"/>
        <v>4186.38</v>
      </c>
      <c r="O2456" s="3">
        <f t="shared" si="191"/>
        <v>4091.77</v>
      </c>
      <c r="P2456" s="3">
        <f t="shared" si="192"/>
        <v>2959.24</v>
      </c>
      <c r="Q2456" s="3">
        <f t="shared" si="193"/>
        <v>1132.53</v>
      </c>
      <c r="R2456" s="4">
        <f t="shared" si="194"/>
        <v>0.27679999999999999</v>
      </c>
      <c r="S2456" s="2">
        <v>7</v>
      </c>
      <c r="T2456" t="s">
        <v>46</v>
      </c>
      <c r="U2456">
        <v>3</v>
      </c>
    </row>
    <row r="2457" spans="1:21" x14ac:dyDescent="0.25">
      <c r="A2457" s="1">
        <v>46227</v>
      </c>
      <c r="B2457" t="s">
        <v>2646</v>
      </c>
      <c r="C2457" t="s">
        <v>106</v>
      </c>
      <c r="D2457" t="s">
        <v>130</v>
      </c>
      <c r="E2457" t="s">
        <v>72</v>
      </c>
      <c r="F2457" t="s">
        <v>64</v>
      </c>
      <c r="G2457" t="s">
        <v>44</v>
      </c>
      <c r="H2457" t="s">
        <v>45</v>
      </c>
      <c r="I2457" t="s">
        <v>53</v>
      </c>
      <c r="J2457" s="2">
        <v>8</v>
      </c>
      <c r="K2457" s="3">
        <v>373.75</v>
      </c>
      <c r="L2457" s="3">
        <v>224.33</v>
      </c>
      <c r="M2457" s="4">
        <v>0</v>
      </c>
      <c r="N2457" s="3">
        <f t="shared" si="190"/>
        <v>2990</v>
      </c>
      <c r="O2457" s="3">
        <f t="shared" si="191"/>
        <v>2990</v>
      </c>
      <c r="P2457" s="3">
        <f t="shared" si="192"/>
        <v>1794.64</v>
      </c>
      <c r="Q2457" s="3">
        <f t="shared" si="193"/>
        <v>1195.3599999999999</v>
      </c>
      <c r="R2457" s="4">
        <f t="shared" si="194"/>
        <v>0.39979999999999999</v>
      </c>
      <c r="S2457" s="2">
        <v>7</v>
      </c>
      <c r="T2457" t="s">
        <v>46</v>
      </c>
      <c r="U2457">
        <v>2</v>
      </c>
    </row>
    <row r="2458" spans="1:21" x14ac:dyDescent="0.25">
      <c r="A2458" s="1">
        <v>46195</v>
      </c>
      <c r="B2458" t="s">
        <v>2647</v>
      </c>
      <c r="C2458" t="s">
        <v>148</v>
      </c>
      <c r="D2458" t="s">
        <v>139</v>
      </c>
      <c r="E2458" t="s">
        <v>72</v>
      </c>
      <c r="F2458" t="s">
        <v>64</v>
      </c>
      <c r="G2458" t="s">
        <v>27</v>
      </c>
      <c r="H2458" t="s">
        <v>28</v>
      </c>
      <c r="I2458" t="s">
        <v>39</v>
      </c>
      <c r="J2458" s="2">
        <v>2</v>
      </c>
      <c r="K2458" s="3">
        <v>771.63</v>
      </c>
      <c r="L2458" s="3">
        <v>465.4</v>
      </c>
      <c r="M2458" s="4">
        <v>0</v>
      </c>
      <c r="N2458" s="3">
        <f t="shared" si="190"/>
        <v>1543.26</v>
      </c>
      <c r="O2458" s="3">
        <f t="shared" si="191"/>
        <v>1543.26</v>
      </c>
      <c r="P2458" s="3">
        <f t="shared" si="192"/>
        <v>930.8</v>
      </c>
      <c r="Q2458" s="3">
        <f t="shared" si="193"/>
        <v>612.46</v>
      </c>
      <c r="R2458" s="4">
        <f t="shared" si="194"/>
        <v>0.39689999999999998</v>
      </c>
      <c r="S2458" s="2">
        <v>5</v>
      </c>
      <c r="T2458" t="s">
        <v>46</v>
      </c>
      <c r="U2458">
        <v>5</v>
      </c>
    </row>
    <row r="2459" spans="1:21" x14ac:dyDescent="0.25">
      <c r="A2459" s="1">
        <v>46044</v>
      </c>
      <c r="B2459" t="s">
        <v>2648</v>
      </c>
      <c r="C2459" t="s">
        <v>176</v>
      </c>
      <c r="D2459" t="s">
        <v>24</v>
      </c>
      <c r="E2459" t="s">
        <v>25</v>
      </c>
      <c r="F2459" t="s">
        <v>64</v>
      </c>
      <c r="G2459" t="s">
        <v>44</v>
      </c>
      <c r="H2459" t="s">
        <v>124</v>
      </c>
      <c r="I2459" t="s">
        <v>39</v>
      </c>
      <c r="J2459" s="2">
        <v>4</v>
      </c>
      <c r="K2459" s="3">
        <v>5562.82</v>
      </c>
      <c r="L2459" s="3">
        <v>4422.24</v>
      </c>
      <c r="M2459" s="4">
        <v>0</v>
      </c>
      <c r="N2459" s="3">
        <f t="shared" si="190"/>
        <v>22251.279999999999</v>
      </c>
      <c r="O2459" s="3">
        <f t="shared" si="191"/>
        <v>22251.279999999999</v>
      </c>
      <c r="P2459" s="3">
        <f t="shared" si="192"/>
        <v>17688.96</v>
      </c>
      <c r="Q2459" s="3">
        <f t="shared" si="193"/>
        <v>4562.32</v>
      </c>
      <c r="R2459" s="4">
        <f t="shared" si="194"/>
        <v>0.20499999999999999</v>
      </c>
      <c r="S2459" s="2">
        <v>6</v>
      </c>
      <c r="T2459" t="s">
        <v>46</v>
      </c>
      <c r="U2459">
        <v>5</v>
      </c>
    </row>
    <row r="2460" spans="1:21" x14ac:dyDescent="0.25">
      <c r="A2460" s="1">
        <v>46209</v>
      </c>
      <c r="B2460" t="s">
        <v>2649</v>
      </c>
      <c r="C2460" t="s">
        <v>214</v>
      </c>
      <c r="D2460" t="s">
        <v>97</v>
      </c>
      <c r="E2460" t="s">
        <v>57</v>
      </c>
      <c r="F2460" t="s">
        <v>64</v>
      </c>
      <c r="G2460" t="s">
        <v>44</v>
      </c>
      <c r="H2460" t="s">
        <v>45</v>
      </c>
      <c r="I2460" t="s">
        <v>65</v>
      </c>
      <c r="J2460" s="2">
        <v>4</v>
      </c>
      <c r="K2460" s="3">
        <v>410.98</v>
      </c>
      <c r="L2460" s="3">
        <v>216.23</v>
      </c>
      <c r="M2460" s="4">
        <v>9.4200000000000006E-2</v>
      </c>
      <c r="N2460" s="3">
        <f t="shared" si="190"/>
        <v>1643.92</v>
      </c>
      <c r="O2460" s="3">
        <f t="shared" si="191"/>
        <v>1489.06</v>
      </c>
      <c r="P2460" s="3">
        <f t="shared" si="192"/>
        <v>864.92</v>
      </c>
      <c r="Q2460" s="3">
        <f t="shared" si="193"/>
        <v>624.14</v>
      </c>
      <c r="R2460" s="4">
        <f t="shared" si="194"/>
        <v>0.41920000000000002</v>
      </c>
      <c r="S2460" s="2">
        <v>6</v>
      </c>
      <c r="T2460" t="s">
        <v>46</v>
      </c>
      <c r="U2460">
        <v>5</v>
      </c>
    </row>
    <row r="2461" spans="1:21" x14ac:dyDescent="0.25">
      <c r="A2461" s="1">
        <v>46202</v>
      </c>
      <c r="B2461" t="s">
        <v>2650</v>
      </c>
      <c r="C2461" t="s">
        <v>214</v>
      </c>
      <c r="D2461" t="s">
        <v>24</v>
      </c>
      <c r="E2461" t="s">
        <v>25</v>
      </c>
      <c r="F2461" t="s">
        <v>58</v>
      </c>
      <c r="G2461" t="s">
        <v>44</v>
      </c>
      <c r="H2461" t="s">
        <v>124</v>
      </c>
      <c r="I2461" t="s">
        <v>53</v>
      </c>
      <c r="J2461" s="2">
        <v>7</v>
      </c>
      <c r="K2461" s="3">
        <v>5600.96</v>
      </c>
      <c r="L2461" s="3">
        <v>4551.6499999999996</v>
      </c>
      <c r="M2461" s="4">
        <v>0.1201</v>
      </c>
      <c r="N2461" s="3">
        <f t="shared" si="190"/>
        <v>39206.720000000001</v>
      </c>
      <c r="O2461" s="3">
        <f t="shared" si="191"/>
        <v>34497.99</v>
      </c>
      <c r="P2461" s="3">
        <f t="shared" si="192"/>
        <v>31861.55</v>
      </c>
      <c r="Q2461" s="3">
        <f t="shared" si="193"/>
        <v>2636.44</v>
      </c>
      <c r="R2461" s="4">
        <f t="shared" si="194"/>
        <v>7.6399999999999996E-2</v>
      </c>
      <c r="S2461" s="2">
        <v>12</v>
      </c>
      <c r="T2461" t="s">
        <v>30</v>
      </c>
      <c r="U2461">
        <v>4</v>
      </c>
    </row>
    <row r="2462" spans="1:21" x14ac:dyDescent="0.25">
      <c r="A2462" s="1">
        <v>46130</v>
      </c>
      <c r="B2462" t="s">
        <v>2651</v>
      </c>
      <c r="C2462" t="s">
        <v>62</v>
      </c>
      <c r="D2462" t="s">
        <v>121</v>
      </c>
      <c r="E2462" t="s">
        <v>72</v>
      </c>
      <c r="F2462" t="s">
        <v>58</v>
      </c>
      <c r="G2462" t="s">
        <v>44</v>
      </c>
      <c r="H2462" t="s">
        <v>45</v>
      </c>
      <c r="I2462" t="s">
        <v>53</v>
      </c>
      <c r="J2462" s="2">
        <v>1</v>
      </c>
      <c r="K2462" s="3">
        <v>389.63</v>
      </c>
      <c r="L2462" s="3">
        <v>222.68</v>
      </c>
      <c r="M2462" s="4">
        <v>3.5000000000000003E-2</v>
      </c>
      <c r="N2462" s="3">
        <f t="shared" si="190"/>
        <v>389.63</v>
      </c>
      <c r="O2462" s="3">
        <f t="shared" si="191"/>
        <v>375.99</v>
      </c>
      <c r="P2462" s="3">
        <f t="shared" si="192"/>
        <v>222.68</v>
      </c>
      <c r="Q2462" s="3">
        <f t="shared" si="193"/>
        <v>153.31</v>
      </c>
      <c r="R2462" s="4">
        <f t="shared" si="194"/>
        <v>0.4078</v>
      </c>
      <c r="S2462" s="2">
        <v>3</v>
      </c>
      <c r="T2462" t="s">
        <v>46</v>
      </c>
      <c r="U2462">
        <v>2</v>
      </c>
    </row>
    <row r="2463" spans="1:21" x14ac:dyDescent="0.25">
      <c r="A2463" s="1">
        <v>46175</v>
      </c>
      <c r="B2463" t="s">
        <v>2652</v>
      </c>
      <c r="C2463" t="s">
        <v>108</v>
      </c>
      <c r="D2463" t="s">
        <v>113</v>
      </c>
      <c r="E2463" t="s">
        <v>50</v>
      </c>
      <c r="F2463" t="s">
        <v>58</v>
      </c>
      <c r="G2463" t="s">
        <v>27</v>
      </c>
      <c r="H2463" t="s">
        <v>86</v>
      </c>
      <c r="I2463" t="s">
        <v>29</v>
      </c>
      <c r="J2463" s="2">
        <v>7</v>
      </c>
      <c r="K2463" s="3">
        <v>1874.87</v>
      </c>
      <c r="L2463" s="3">
        <v>1214.22</v>
      </c>
      <c r="M2463" s="4">
        <v>0.12559999999999999</v>
      </c>
      <c r="N2463" s="3">
        <f t="shared" si="190"/>
        <v>13124.09</v>
      </c>
      <c r="O2463" s="3">
        <f t="shared" si="191"/>
        <v>11475.7</v>
      </c>
      <c r="P2463" s="3">
        <f t="shared" si="192"/>
        <v>8499.5400000000009</v>
      </c>
      <c r="Q2463" s="3">
        <f t="shared" si="193"/>
        <v>2976.16</v>
      </c>
      <c r="R2463" s="4">
        <f t="shared" si="194"/>
        <v>0.25929999999999997</v>
      </c>
      <c r="S2463" s="2">
        <v>7</v>
      </c>
      <c r="T2463" t="s">
        <v>46</v>
      </c>
      <c r="U2463">
        <v>4</v>
      </c>
    </row>
    <row r="2464" spans="1:21" x14ac:dyDescent="0.25">
      <c r="A2464" s="1">
        <v>46194</v>
      </c>
      <c r="B2464" t="s">
        <v>2653</v>
      </c>
      <c r="C2464" t="s">
        <v>190</v>
      </c>
      <c r="D2464" t="s">
        <v>113</v>
      </c>
      <c r="E2464" t="s">
        <v>50</v>
      </c>
      <c r="F2464" t="s">
        <v>26</v>
      </c>
      <c r="G2464" t="s">
        <v>44</v>
      </c>
      <c r="H2464" t="s">
        <v>45</v>
      </c>
      <c r="I2464" t="s">
        <v>87</v>
      </c>
      <c r="J2464" s="2">
        <v>5</v>
      </c>
      <c r="K2464" s="3">
        <v>397.21</v>
      </c>
      <c r="L2464" s="3">
        <v>209.37</v>
      </c>
      <c r="M2464" s="4">
        <v>3.8E-3</v>
      </c>
      <c r="N2464" s="3">
        <f t="shared" si="190"/>
        <v>1986.05</v>
      </c>
      <c r="O2464" s="3">
        <f t="shared" si="191"/>
        <v>1978.5</v>
      </c>
      <c r="P2464" s="3">
        <f t="shared" si="192"/>
        <v>1046.8499999999999</v>
      </c>
      <c r="Q2464" s="3">
        <f t="shared" si="193"/>
        <v>931.65</v>
      </c>
      <c r="R2464" s="4">
        <f t="shared" si="194"/>
        <v>0.47089999999999999</v>
      </c>
      <c r="S2464" s="2">
        <v>13</v>
      </c>
      <c r="T2464" t="s">
        <v>30</v>
      </c>
      <c r="U2464">
        <v>2</v>
      </c>
    </row>
    <row r="2465" spans="1:21" x14ac:dyDescent="0.25">
      <c r="A2465" s="1">
        <v>46115</v>
      </c>
      <c r="B2465" t="s">
        <v>2654</v>
      </c>
      <c r="C2465" t="s">
        <v>136</v>
      </c>
      <c r="D2465" t="s">
        <v>85</v>
      </c>
      <c r="E2465" t="s">
        <v>50</v>
      </c>
      <c r="F2465" t="s">
        <v>58</v>
      </c>
      <c r="G2465" t="s">
        <v>37</v>
      </c>
      <c r="H2465" t="s">
        <v>38</v>
      </c>
      <c r="I2465" t="s">
        <v>53</v>
      </c>
      <c r="J2465" s="2">
        <v>8</v>
      </c>
      <c r="K2465" s="3">
        <v>414.3</v>
      </c>
      <c r="L2465" s="3">
        <v>190.13</v>
      </c>
      <c r="M2465" s="4">
        <v>3.5000000000000003E-2</v>
      </c>
      <c r="N2465" s="3">
        <f t="shared" si="190"/>
        <v>3314.4</v>
      </c>
      <c r="O2465" s="3">
        <f t="shared" si="191"/>
        <v>3198.4</v>
      </c>
      <c r="P2465" s="3">
        <f t="shared" si="192"/>
        <v>1521.04</v>
      </c>
      <c r="Q2465" s="3">
        <f t="shared" si="193"/>
        <v>1677.36</v>
      </c>
      <c r="R2465" s="4">
        <f t="shared" si="194"/>
        <v>0.52439999999999998</v>
      </c>
      <c r="S2465" s="2">
        <v>3</v>
      </c>
      <c r="T2465" t="s">
        <v>46</v>
      </c>
      <c r="U2465">
        <v>2</v>
      </c>
    </row>
    <row r="2466" spans="1:21" x14ac:dyDescent="0.25">
      <c r="A2466" s="1">
        <v>46153</v>
      </c>
      <c r="B2466" t="s">
        <v>2655</v>
      </c>
      <c r="C2466" t="s">
        <v>67</v>
      </c>
      <c r="D2466" t="s">
        <v>85</v>
      </c>
      <c r="E2466" t="s">
        <v>50</v>
      </c>
      <c r="F2466" t="s">
        <v>64</v>
      </c>
      <c r="G2466" t="s">
        <v>51</v>
      </c>
      <c r="H2466" t="s">
        <v>59</v>
      </c>
      <c r="I2466" t="s">
        <v>74</v>
      </c>
      <c r="J2466" s="2">
        <v>6</v>
      </c>
      <c r="K2466" s="3">
        <v>2232.41</v>
      </c>
      <c r="L2466" s="3">
        <v>1371.04</v>
      </c>
      <c r="M2466" s="4">
        <v>9.3799999999999994E-2</v>
      </c>
      <c r="N2466" s="3">
        <f t="shared" si="190"/>
        <v>13394.46</v>
      </c>
      <c r="O2466" s="3">
        <f t="shared" si="191"/>
        <v>12138.06</v>
      </c>
      <c r="P2466" s="3">
        <f t="shared" si="192"/>
        <v>8226.24</v>
      </c>
      <c r="Q2466" s="3">
        <f t="shared" si="193"/>
        <v>3911.82</v>
      </c>
      <c r="R2466" s="4">
        <f t="shared" si="194"/>
        <v>0.32229999999999998</v>
      </c>
      <c r="S2466" s="2">
        <v>6</v>
      </c>
      <c r="T2466" t="s">
        <v>46</v>
      </c>
      <c r="U2466">
        <v>3</v>
      </c>
    </row>
    <row r="2467" spans="1:21" x14ac:dyDescent="0.25">
      <c r="A2467" s="1">
        <v>46178</v>
      </c>
      <c r="B2467" t="s">
        <v>2656</v>
      </c>
      <c r="C2467" t="s">
        <v>260</v>
      </c>
      <c r="D2467" t="s">
        <v>63</v>
      </c>
      <c r="E2467" t="s">
        <v>35</v>
      </c>
      <c r="F2467" t="s">
        <v>26</v>
      </c>
      <c r="G2467" t="s">
        <v>27</v>
      </c>
      <c r="H2467" t="s">
        <v>28</v>
      </c>
      <c r="I2467" t="s">
        <v>39</v>
      </c>
      <c r="J2467" s="2">
        <v>8</v>
      </c>
      <c r="K2467" s="3">
        <v>795.43</v>
      </c>
      <c r="L2467" s="3">
        <v>458.36</v>
      </c>
      <c r="M2467" s="4">
        <v>0</v>
      </c>
      <c r="N2467" s="3">
        <f t="shared" si="190"/>
        <v>6363.44</v>
      </c>
      <c r="O2467" s="3">
        <f t="shared" si="191"/>
        <v>6363.44</v>
      </c>
      <c r="P2467" s="3">
        <f t="shared" si="192"/>
        <v>3666.88</v>
      </c>
      <c r="Q2467" s="3">
        <f t="shared" si="193"/>
        <v>2696.56</v>
      </c>
      <c r="R2467" s="4">
        <f t="shared" si="194"/>
        <v>0.42380000000000001</v>
      </c>
      <c r="S2467" s="2">
        <v>13</v>
      </c>
      <c r="T2467" t="s">
        <v>30</v>
      </c>
      <c r="U2467">
        <v>4</v>
      </c>
    </row>
    <row r="2468" spans="1:21" x14ac:dyDescent="0.25">
      <c r="A2468" s="1">
        <v>46045</v>
      </c>
      <c r="B2468" t="s">
        <v>2657</v>
      </c>
      <c r="C2468" t="s">
        <v>201</v>
      </c>
      <c r="D2468" t="s">
        <v>97</v>
      </c>
      <c r="E2468" t="s">
        <v>57</v>
      </c>
      <c r="F2468" t="s">
        <v>58</v>
      </c>
      <c r="G2468" t="s">
        <v>37</v>
      </c>
      <c r="H2468" t="s">
        <v>104</v>
      </c>
      <c r="I2468" t="s">
        <v>87</v>
      </c>
      <c r="J2468" s="2">
        <v>1</v>
      </c>
      <c r="K2468" s="3">
        <v>312.2</v>
      </c>
      <c r="L2468" s="3">
        <v>132.72</v>
      </c>
      <c r="M2468" s="4">
        <v>3.5000000000000003E-2</v>
      </c>
      <c r="N2468" s="3">
        <f t="shared" si="190"/>
        <v>312.2</v>
      </c>
      <c r="O2468" s="3">
        <f t="shared" si="191"/>
        <v>301.27</v>
      </c>
      <c r="P2468" s="3">
        <f t="shared" si="192"/>
        <v>132.72</v>
      </c>
      <c r="Q2468" s="3">
        <f t="shared" si="193"/>
        <v>168.55</v>
      </c>
      <c r="R2468" s="4">
        <f t="shared" si="194"/>
        <v>0.5595</v>
      </c>
      <c r="S2468" s="2">
        <v>11</v>
      </c>
      <c r="T2468" t="s">
        <v>30</v>
      </c>
      <c r="U2468">
        <v>4</v>
      </c>
    </row>
    <row r="2469" spans="1:21" x14ac:dyDescent="0.25">
      <c r="A2469" s="1">
        <v>46165</v>
      </c>
      <c r="B2469" t="s">
        <v>2658</v>
      </c>
      <c r="C2469" t="s">
        <v>112</v>
      </c>
      <c r="D2469" t="s">
        <v>49</v>
      </c>
      <c r="E2469" t="s">
        <v>50</v>
      </c>
      <c r="F2469" t="s">
        <v>26</v>
      </c>
      <c r="G2469" t="s">
        <v>51</v>
      </c>
      <c r="H2469" t="s">
        <v>59</v>
      </c>
      <c r="I2469" t="s">
        <v>60</v>
      </c>
      <c r="J2469" s="2">
        <v>1</v>
      </c>
      <c r="K2469" s="3">
        <v>2148.4499999999998</v>
      </c>
      <c r="L2469" s="3">
        <v>1375.43</v>
      </c>
      <c r="M2469" s="4">
        <v>1.95E-2</v>
      </c>
      <c r="N2469" s="3">
        <f t="shared" si="190"/>
        <v>2148.4499999999998</v>
      </c>
      <c r="O2469" s="3">
        <f t="shared" si="191"/>
        <v>2106.56</v>
      </c>
      <c r="P2469" s="3">
        <f t="shared" si="192"/>
        <v>1375.43</v>
      </c>
      <c r="Q2469" s="3">
        <f t="shared" si="193"/>
        <v>731.13</v>
      </c>
      <c r="R2469" s="4">
        <f t="shared" si="194"/>
        <v>0.34710000000000002</v>
      </c>
      <c r="S2469" s="2">
        <v>2</v>
      </c>
      <c r="T2469" t="s">
        <v>46</v>
      </c>
      <c r="U2469">
        <v>2</v>
      </c>
    </row>
    <row r="2470" spans="1:21" x14ac:dyDescent="0.25">
      <c r="A2470" s="1">
        <v>46139</v>
      </c>
      <c r="B2470" t="s">
        <v>2659</v>
      </c>
      <c r="C2470" t="s">
        <v>168</v>
      </c>
      <c r="D2470" t="s">
        <v>126</v>
      </c>
      <c r="E2470" t="s">
        <v>57</v>
      </c>
      <c r="F2470" t="s">
        <v>26</v>
      </c>
      <c r="G2470" t="s">
        <v>51</v>
      </c>
      <c r="H2470" t="s">
        <v>116</v>
      </c>
      <c r="I2470" t="s">
        <v>74</v>
      </c>
      <c r="J2470" s="2">
        <v>1</v>
      </c>
      <c r="K2470" s="3">
        <v>2900.69</v>
      </c>
      <c r="L2470" s="3">
        <v>1782.47</v>
      </c>
      <c r="M2470" s="4">
        <v>0</v>
      </c>
      <c r="N2470" s="3">
        <f t="shared" si="190"/>
        <v>2900.69</v>
      </c>
      <c r="O2470" s="3">
        <f t="shared" si="191"/>
        <v>2900.69</v>
      </c>
      <c r="P2470" s="3">
        <f t="shared" si="192"/>
        <v>1782.47</v>
      </c>
      <c r="Q2470" s="3">
        <f t="shared" si="193"/>
        <v>1118.22</v>
      </c>
      <c r="R2470" s="4">
        <f t="shared" si="194"/>
        <v>0.38550000000000001</v>
      </c>
      <c r="S2470" s="2">
        <v>8</v>
      </c>
      <c r="T2470" t="s">
        <v>46</v>
      </c>
      <c r="U2470">
        <v>2</v>
      </c>
    </row>
    <row r="2471" spans="1:21" x14ac:dyDescent="0.25">
      <c r="A2471" s="1">
        <v>46216</v>
      </c>
      <c r="B2471" t="s">
        <v>2660</v>
      </c>
      <c r="C2471" t="s">
        <v>129</v>
      </c>
      <c r="D2471" t="s">
        <v>126</v>
      </c>
      <c r="E2471" t="s">
        <v>57</v>
      </c>
      <c r="F2471" t="s">
        <v>64</v>
      </c>
      <c r="G2471" t="s">
        <v>44</v>
      </c>
      <c r="H2471" t="s">
        <v>124</v>
      </c>
      <c r="I2471" t="s">
        <v>60</v>
      </c>
      <c r="J2471" s="2">
        <v>7</v>
      </c>
      <c r="K2471" s="3">
        <v>5915.13</v>
      </c>
      <c r="L2471" s="3">
        <v>4452.95</v>
      </c>
      <c r="M2471" s="4">
        <v>0</v>
      </c>
      <c r="N2471" s="3">
        <f t="shared" si="190"/>
        <v>41405.910000000003</v>
      </c>
      <c r="O2471" s="3">
        <f t="shared" si="191"/>
        <v>41405.910000000003</v>
      </c>
      <c r="P2471" s="3">
        <f t="shared" si="192"/>
        <v>31170.65</v>
      </c>
      <c r="Q2471" s="3">
        <f t="shared" si="193"/>
        <v>10235.26</v>
      </c>
      <c r="R2471" s="4">
        <f t="shared" si="194"/>
        <v>0.2472</v>
      </c>
      <c r="S2471" s="2">
        <v>3</v>
      </c>
      <c r="T2471" t="s">
        <v>46</v>
      </c>
      <c r="U2471">
        <v>2</v>
      </c>
    </row>
    <row r="2472" spans="1:21" x14ac:dyDescent="0.25">
      <c r="A2472" s="1">
        <v>46051</v>
      </c>
      <c r="B2472" t="s">
        <v>2661</v>
      </c>
      <c r="C2472" t="s">
        <v>294</v>
      </c>
      <c r="D2472" t="s">
        <v>101</v>
      </c>
      <c r="E2472" t="s">
        <v>35</v>
      </c>
      <c r="F2472" t="s">
        <v>58</v>
      </c>
      <c r="G2472" t="s">
        <v>44</v>
      </c>
      <c r="H2472" t="s">
        <v>45</v>
      </c>
      <c r="I2472" t="s">
        <v>29</v>
      </c>
      <c r="J2472" s="2">
        <v>4</v>
      </c>
      <c r="K2472" s="3">
        <v>390.18</v>
      </c>
      <c r="L2472" s="3">
        <v>214.26</v>
      </c>
      <c r="M2472" s="4">
        <v>0.1134</v>
      </c>
      <c r="N2472" s="3">
        <f t="shared" si="190"/>
        <v>1560.72</v>
      </c>
      <c r="O2472" s="3">
        <f t="shared" si="191"/>
        <v>1383.73</v>
      </c>
      <c r="P2472" s="3">
        <f t="shared" si="192"/>
        <v>857.04</v>
      </c>
      <c r="Q2472" s="3">
        <f t="shared" si="193"/>
        <v>526.69000000000005</v>
      </c>
      <c r="R2472" s="4">
        <f t="shared" si="194"/>
        <v>0.38059999999999999</v>
      </c>
      <c r="S2472" s="2">
        <v>2</v>
      </c>
      <c r="T2472" t="s">
        <v>46</v>
      </c>
      <c r="U2472">
        <v>4</v>
      </c>
    </row>
    <row r="2473" spans="1:21" x14ac:dyDescent="0.25">
      <c r="A2473" s="1">
        <v>46182</v>
      </c>
      <c r="B2473" t="s">
        <v>2662</v>
      </c>
      <c r="C2473" t="s">
        <v>378</v>
      </c>
      <c r="D2473" t="s">
        <v>113</v>
      </c>
      <c r="E2473" t="s">
        <v>50</v>
      </c>
      <c r="F2473" t="s">
        <v>36</v>
      </c>
      <c r="G2473" t="s">
        <v>44</v>
      </c>
      <c r="H2473" t="s">
        <v>45</v>
      </c>
      <c r="I2473" t="s">
        <v>39</v>
      </c>
      <c r="J2473" s="2">
        <v>2</v>
      </c>
      <c r="K2473" s="3">
        <v>399.59</v>
      </c>
      <c r="L2473" s="3">
        <v>214.15</v>
      </c>
      <c r="M2473" s="4">
        <v>0</v>
      </c>
      <c r="N2473" s="3">
        <f t="shared" si="190"/>
        <v>799.18</v>
      </c>
      <c r="O2473" s="3">
        <f t="shared" si="191"/>
        <v>799.18</v>
      </c>
      <c r="P2473" s="3">
        <f t="shared" si="192"/>
        <v>428.3</v>
      </c>
      <c r="Q2473" s="3">
        <f t="shared" si="193"/>
        <v>370.88</v>
      </c>
      <c r="R2473" s="4">
        <f t="shared" si="194"/>
        <v>0.46410000000000001</v>
      </c>
      <c r="S2473" s="2">
        <v>4</v>
      </c>
      <c r="T2473" t="s">
        <v>46</v>
      </c>
      <c r="U2473">
        <v>5</v>
      </c>
    </row>
    <row r="2474" spans="1:21" x14ac:dyDescent="0.25">
      <c r="A2474" s="1">
        <v>46220</v>
      </c>
      <c r="B2474" t="s">
        <v>2663</v>
      </c>
      <c r="C2474" t="s">
        <v>33</v>
      </c>
      <c r="D2474" t="s">
        <v>49</v>
      </c>
      <c r="E2474" t="s">
        <v>50</v>
      </c>
      <c r="F2474" t="s">
        <v>36</v>
      </c>
      <c r="G2474" t="s">
        <v>44</v>
      </c>
      <c r="H2474" t="s">
        <v>45</v>
      </c>
      <c r="I2474" t="s">
        <v>65</v>
      </c>
      <c r="J2474" s="2">
        <v>8</v>
      </c>
      <c r="K2474" s="3">
        <v>405.66</v>
      </c>
      <c r="L2474" s="3">
        <v>211.43</v>
      </c>
      <c r="M2474" s="4">
        <v>8.9200000000000002E-2</v>
      </c>
      <c r="N2474" s="3">
        <f t="shared" si="190"/>
        <v>3245.28</v>
      </c>
      <c r="O2474" s="3">
        <f t="shared" si="191"/>
        <v>2955.8</v>
      </c>
      <c r="P2474" s="3">
        <f t="shared" si="192"/>
        <v>1691.44</v>
      </c>
      <c r="Q2474" s="3">
        <f t="shared" si="193"/>
        <v>1264.3599999999999</v>
      </c>
      <c r="R2474" s="4">
        <f t="shared" si="194"/>
        <v>0.42780000000000001</v>
      </c>
      <c r="S2474" s="2">
        <v>13</v>
      </c>
      <c r="T2474" t="s">
        <v>30</v>
      </c>
      <c r="U2474">
        <v>3</v>
      </c>
    </row>
    <row r="2475" spans="1:21" x14ac:dyDescent="0.25">
      <c r="A2475" s="1">
        <v>46217</v>
      </c>
      <c r="B2475" t="s">
        <v>2664</v>
      </c>
      <c r="C2475" t="s">
        <v>286</v>
      </c>
      <c r="D2475" t="s">
        <v>34</v>
      </c>
      <c r="E2475" t="s">
        <v>35</v>
      </c>
      <c r="F2475" t="s">
        <v>26</v>
      </c>
      <c r="G2475" t="s">
        <v>51</v>
      </c>
      <c r="H2475" t="s">
        <v>59</v>
      </c>
      <c r="I2475" t="s">
        <v>53</v>
      </c>
      <c r="J2475" s="2">
        <v>7</v>
      </c>
      <c r="K2475" s="3">
        <v>2211.88</v>
      </c>
      <c r="L2475" s="3">
        <v>1360.48</v>
      </c>
      <c r="M2475" s="4">
        <v>0</v>
      </c>
      <c r="N2475" s="3">
        <f t="shared" si="190"/>
        <v>15483.16</v>
      </c>
      <c r="O2475" s="3">
        <f t="shared" si="191"/>
        <v>15483.16</v>
      </c>
      <c r="P2475" s="3">
        <f t="shared" si="192"/>
        <v>9523.36</v>
      </c>
      <c r="Q2475" s="3">
        <f t="shared" si="193"/>
        <v>5959.8</v>
      </c>
      <c r="R2475" s="4">
        <f t="shared" si="194"/>
        <v>0.38490000000000002</v>
      </c>
      <c r="S2475" s="2">
        <v>11</v>
      </c>
      <c r="T2475" t="s">
        <v>30</v>
      </c>
      <c r="U2475">
        <v>3</v>
      </c>
    </row>
    <row r="2476" spans="1:21" x14ac:dyDescent="0.25">
      <c r="A2476" s="1">
        <v>46213</v>
      </c>
      <c r="B2476" t="s">
        <v>2665</v>
      </c>
      <c r="C2476" t="s">
        <v>23</v>
      </c>
      <c r="D2476" t="s">
        <v>71</v>
      </c>
      <c r="E2476" t="s">
        <v>72</v>
      </c>
      <c r="F2476" t="s">
        <v>36</v>
      </c>
      <c r="G2476" t="s">
        <v>51</v>
      </c>
      <c r="H2476" t="s">
        <v>116</v>
      </c>
      <c r="I2476" t="s">
        <v>77</v>
      </c>
      <c r="J2476" s="2">
        <v>7</v>
      </c>
      <c r="K2476" s="3">
        <v>2629.32</v>
      </c>
      <c r="L2476" s="3">
        <v>1905.32</v>
      </c>
      <c r="M2476" s="4">
        <v>4.7600000000000003E-2</v>
      </c>
      <c r="N2476" s="3">
        <f t="shared" si="190"/>
        <v>18405.240000000002</v>
      </c>
      <c r="O2476" s="3">
        <f t="shared" si="191"/>
        <v>17529.150000000001</v>
      </c>
      <c r="P2476" s="3">
        <f t="shared" si="192"/>
        <v>13337.24</v>
      </c>
      <c r="Q2476" s="3">
        <f t="shared" si="193"/>
        <v>4191.91</v>
      </c>
      <c r="R2476" s="4">
        <f t="shared" si="194"/>
        <v>0.23910000000000001</v>
      </c>
      <c r="S2476" s="2">
        <v>13</v>
      </c>
      <c r="T2476" t="s">
        <v>30</v>
      </c>
      <c r="U2476">
        <v>3</v>
      </c>
    </row>
    <row r="2477" spans="1:21" x14ac:dyDescent="0.25">
      <c r="A2477" s="1">
        <v>46232</v>
      </c>
      <c r="B2477" t="s">
        <v>2666</v>
      </c>
      <c r="C2477" t="s">
        <v>118</v>
      </c>
      <c r="D2477" t="s">
        <v>85</v>
      </c>
      <c r="E2477" t="s">
        <v>50</v>
      </c>
      <c r="F2477" t="s">
        <v>64</v>
      </c>
      <c r="G2477" t="s">
        <v>37</v>
      </c>
      <c r="H2477" t="s">
        <v>38</v>
      </c>
      <c r="I2477" t="s">
        <v>65</v>
      </c>
      <c r="J2477" s="2">
        <v>7</v>
      </c>
      <c r="K2477" s="3">
        <v>411.15</v>
      </c>
      <c r="L2477" s="3">
        <v>193.65</v>
      </c>
      <c r="M2477" s="4">
        <v>8.5599999999999996E-2</v>
      </c>
      <c r="N2477" s="3">
        <f t="shared" si="190"/>
        <v>2878.05</v>
      </c>
      <c r="O2477" s="3">
        <f t="shared" si="191"/>
        <v>2631.69</v>
      </c>
      <c r="P2477" s="3">
        <f t="shared" si="192"/>
        <v>1355.55</v>
      </c>
      <c r="Q2477" s="3">
        <f t="shared" si="193"/>
        <v>1276.1400000000001</v>
      </c>
      <c r="R2477" s="4">
        <f t="shared" si="194"/>
        <v>0.4849</v>
      </c>
      <c r="S2477" s="2">
        <v>8</v>
      </c>
      <c r="T2477" t="s">
        <v>46</v>
      </c>
      <c r="U2477">
        <v>5</v>
      </c>
    </row>
    <row r="2478" spans="1:21" x14ac:dyDescent="0.25">
      <c r="A2478" s="1">
        <v>46193</v>
      </c>
      <c r="B2478" t="s">
        <v>2667</v>
      </c>
      <c r="C2478" t="s">
        <v>253</v>
      </c>
      <c r="D2478" t="s">
        <v>43</v>
      </c>
      <c r="E2478" t="s">
        <v>25</v>
      </c>
      <c r="F2478" t="s">
        <v>58</v>
      </c>
      <c r="G2478" t="s">
        <v>37</v>
      </c>
      <c r="H2478" t="s">
        <v>104</v>
      </c>
      <c r="I2478" t="s">
        <v>74</v>
      </c>
      <c r="J2478" s="2">
        <v>1</v>
      </c>
      <c r="K2478" s="3">
        <v>331.18</v>
      </c>
      <c r="L2478" s="3">
        <v>145.02000000000001</v>
      </c>
      <c r="M2478" s="4">
        <v>9.2999999999999999E-2</v>
      </c>
      <c r="N2478" s="3">
        <f t="shared" si="190"/>
        <v>331.18</v>
      </c>
      <c r="O2478" s="3">
        <f t="shared" si="191"/>
        <v>300.38</v>
      </c>
      <c r="P2478" s="3">
        <f t="shared" si="192"/>
        <v>145.02000000000001</v>
      </c>
      <c r="Q2478" s="3">
        <f t="shared" si="193"/>
        <v>155.36000000000001</v>
      </c>
      <c r="R2478" s="4">
        <f t="shared" si="194"/>
        <v>0.51719999999999999</v>
      </c>
      <c r="S2478" s="2">
        <v>6</v>
      </c>
      <c r="T2478" t="s">
        <v>46</v>
      </c>
      <c r="U2478">
        <v>3</v>
      </c>
    </row>
    <row r="2479" spans="1:21" x14ac:dyDescent="0.25">
      <c r="A2479" s="1">
        <v>46212</v>
      </c>
      <c r="B2479" t="s">
        <v>2668</v>
      </c>
      <c r="C2479" t="s">
        <v>129</v>
      </c>
      <c r="D2479" t="s">
        <v>71</v>
      </c>
      <c r="E2479" t="s">
        <v>72</v>
      </c>
      <c r="F2479" t="s">
        <v>36</v>
      </c>
      <c r="G2479" t="s">
        <v>37</v>
      </c>
      <c r="H2479" t="s">
        <v>38</v>
      </c>
      <c r="I2479" t="s">
        <v>60</v>
      </c>
      <c r="J2479" s="2">
        <v>6</v>
      </c>
      <c r="K2479" s="3">
        <v>422.8</v>
      </c>
      <c r="L2479" s="3">
        <v>201.34</v>
      </c>
      <c r="M2479" s="4">
        <v>1.0699999999999999E-2</v>
      </c>
      <c r="N2479" s="3">
        <f t="shared" si="190"/>
        <v>2536.8000000000002</v>
      </c>
      <c r="O2479" s="3">
        <f t="shared" si="191"/>
        <v>2509.66</v>
      </c>
      <c r="P2479" s="3">
        <f t="shared" si="192"/>
        <v>1208.04</v>
      </c>
      <c r="Q2479" s="3">
        <f t="shared" si="193"/>
        <v>1301.6199999999999</v>
      </c>
      <c r="R2479" s="4">
        <f t="shared" si="194"/>
        <v>0.51859999999999995</v>
      </c>
      <c r="S2479" s="2">
        <v>4</v>
      </c>
      <c r="T2479" t="s">
        <v>46</v>
      </c>
      <c r="U2479">
        <v>3</v>
      </c>
    </row>
    <row r="2480" spans="1:21" x14ac:dyDescent="0.25">
      <c r="A2480" s="1">
        <v>46069</v>
      </c>
      <c r="B2480" t="s">
        <v>2669</v>
      </c>
      <c r="C2480" t="s">
        <v>308</v>
      </c>
      <c r="D2480" t="s">
        <v>49</v>
      </c>
      <c r="E2480" t="s">
        <v>50</v>
      </c>
      <c r="F2480" t="s">
        <v>58</v>
      </c>
      <c r="G2480" t="s">
        <v>51</v>
      </c>
      <c r="H2480" t="s">
        <v>59</v>
      </c>
      <c r="I2480" t="s">
        <v>77</v>
      </c>
      <c r="J2480" s="2">
        <v>5</v>
      </c>
      <c r="K2480" s="3">
        <v>2186.5</v>
      </c>
      <c r="L2480" s="3">
        <v>1471.11</v>
      </c>
      <c r="M2480" s="4">
        <v>3.5000000000000003E-2</v>
      </c>
      <c r="N2480" s="3">
        <f t="shared" si="190"/>
        <v>10932.5</v>
      </c>
      <c r="O2480" s="3">
        <f t="shared" si="191"/>
        <v>10549.86</v>
      </c>
      <c r="P2480" s="3">
        <f t="shared" si="192"/>
        <v>7355.55</v>
      </c>
      <c r="Q2480" s="3">
        <f t="shared" si="193"/>
        <v>3194.31</v>
      </c>
      <c r="R2480" s="4">
        <f t="shared" si="194"/>
        <v>0.30280000000000001</v>
      </c>
      <c r="S2480" s="2">
        <v>14</v>
      </c>
      <c r="T2480" t="s">
        <v>30</v>
      </c>
      <c r="U2480">
        <v>4</v>
      </c>
    </row>
    <row r="2481" spans="1:22" x14ac:dyDescent="0.25">
      <c r="A2481" s="1">
        <v>46188</v>
      </c>
      <c r="B2481" t="s">
        <v>2670</v>
      </c>
      <c r="C2481" t="s">
        <v>235</v>
      </c>
      <c r="D2481" t="s">
        <v>49</v>
      </c>
      <c r="E2481" t="s">
        <v>50</v>
      </c>
      <c r="F2481" t="s">
        <v>58</v>
      </c>
      <c r="G2481" t="s">
        <v>44</v>
      </c>
      <c r="H2481" t="s">
        <v>45</v>
      </c>
      <c r="I2481" t="s">
        <v>77</v>
      </c>
      <c r="J2481" s="2">
        <v>4</v>
      </c>
      <c r="K2481" s="3">
        <v>384.6</v>
      </c>
      <c r="L2481" s="3">
        <v>205.96</v>
      </c>
      <c r="M2481" s="4">
        <v>4.6399999999999997E-2</v>
      </c>
      <c r="N2481" s="3">
        <f t="shared" si="190"/>
        <v>1538.4</v>
      </c>
      <c r="O2481" s="3">
        <f t="shared" si="191"/>
        <v>1467.02</v>
      </c>
      <c r="P2481" s="3">
        <f t="shared" si="192"/>
        <v>823.84</v>
      </c>
      <c r="Q2481" s="3">
        <f t="shared" si="193"/>
        <v>643.17999999999995</v>
      </c>
      <c r="R2481" s="4">
        <f t="shared" si="194"/>
        <v>0.43840000000000001</v>
      </c>
      <c r="S2481" s="2">
        <v>9</v>
      </c>
      <c r="T2481" t="s">
        <v>46</v>
      </c>
      <c r="U2481">
        <v>4</v>
      </c>
    </row>
    <row r="2482" spans="1:22" x14ac:dyDescent="0.25">
      <c r="A2482" s="1">
        <v>46099</v>
      </c>
      <c r="B2482" t="s">
        <v>2671</v>
      </c>
      <c r="C2482" t="s">
        <v>166</v>
      </c>
      <c r="D2482" t="s">
        <v>56</v>
      </c>
      <c r="E2482" t="s">
        <v>57</v>
      </c>
      <c r="F2482" t="s">
        <v>58</v>
      </c>
      <c r="G2482" t="s">
        <v>27</v>
      </c>
      <c r="H2482" t="s">
        <v>86</v>
      </c>
      <c r="I2482" t="s">
        <v>60</v>
      </c>
      <c r="J2482" s="2">
        <v>2</v>
      </c>
      <c r="K2482" s="3">
        <v>1874.92</v>
      </c>
      <c r="L2482" s="3">
        <v>1148.48</v>
      </c>
      <c r="M2482" s="4">
        <v>6.0199999999999997E-2</v>
      </c>
      <c r="N2482" s="3">
        <f t="shared" si="190"/>
        <v>3749.84</v>
      </c>
      <c r="O2482" s="3">
        <f t="shared" si="191"/>
        <v>3524.1</v>
      </c>
      <c r="P2482" s="3">
        <f t="shared" si="192"/>
        <v>2296.96</v>
      </c>
      <c r="Q2482" s="3">
        <f t="shared" si="193"/>
        <v>1227.1400000000001</v>
      </c>
      <c r="R2482" s="4">
        <f t="shared" si="194"/>
        <v>0.34820000000000001</v>
      </c>
      <c r="S2482" s="2">
        <v>8</v>
      </c>
      <c r="T2482" t="s">
        <v>46</v>
      </c>
      <c r="U2482">
        <v>3</v>
      </c>
    </row>
    <row r="2483" spans="1:22" x14ac:dyDescent="0.25">
      <c r="A2483" s="1">
        <v>46171</v>
      </c>
      <c r="B2483" t="s">
        <v>2672</v>
      </c>
      <c r="C2483" t="s">
        <v>164</v>
      </c>
      <c r="D2483" t="s">
        <v>85</v>
      </c>
      <c r="E2483" t="s">
        <v>50</v>
      </c>
      <c r="F2483" t="s">
        <v>36</v>
      </c>
      <c r="G2483" t="s">
        <v>44</v>
      </c>
      <c r="H2483" t="s">
        <v>73</v>
      </c>
      <c r="I2483" t="s">
        <v>53</v>
      </c>
      <c r="J2483" s="2">
        <v>1</v>
      </c>
      <c r="K2483" s="3">
        <v>1629.84</v>
      </c>
      <c r="L2483" s="3">
        <v>1075.97</v>
      </c>
      <c r="M2483" s="4">
        <v>2.3E-3</v>
      </c>
      <c r="N2483" s="3">
        <f t="shared" si="190"/>
        <v>1629.84</v>
      </c>
      <c r="O2483" s="3">
        <f t="shared" si="191"/>
        <v>1626.09</v>
      </c>
      <c r="P2483" s="3">
        <f t="shared" si="192"/>
        <v>1075.97</v>
      </c>
      <c r="Q2483" s="3">
        <f t="shared" si="193"/>
        <v>550.12</v>
      </c>
      <c r="R2483" s="4">
        <f t="shared" si="194"/>
        <v>0.33829999999999999</v>
      </c>
      <c r="S2483" s="2">
        <v>9</v>
      </c>
      <c r="T2483" t="s">
        <v>46</v>
      </c>
      <c r="U2483">
        <v>4</v>
      </c>
    </row>
    <row r="2484" spans="1:22" x14ac:dyDescent="0.25">
      <c r="A2484" s="1">
        <v>46027</v>
      </c>
      <c r="B2484" t="s">
        <v>2673</v>
      </c>
      <c r="C2484" t="s">
        <v>358</v>
      </c>
      <c r="D2484" t="s">
        <v>139</v>
      </c>
      <c r="E2484" t="s">
        <v>72</v>
      </c>
      <c r="F2484" t="s">
        <v>36</v>
      </c>
      <c r="G2484" t="s">
        <v>44</v>
      </c>
      <c r="H2484" t="s">
        <v>45</v>
      </c>
      <c r="I2484" t="s">
        <v>60</v>
      </c>
      <c r="J2484" s="2">
        <v>1</v>
      </c>
      <c r="K2484" s="3">
        <v>393.62</v>
      </c>
      <c r="L2484" s="3">
        <v>220.34</v>
      </c>
      <c r="M2484" s="4">
        <v>0</v>
      </c>
      <c r="N2484" s="3">
        <f t="shared" si="190"/>
        <v>393.62</v>
      </c>
      <c r="O2484" s="3">
        <f t="shared" si="191"/>
        <v>393.62</v>
      </c>
      <c r="P2484" s="3">
        <f t="shared" si="192"/>
        <v>220.34</v>
      </c>
      <c r="Q2484" s="3">
        <f t="shared" si="193"/>
        <v>173.28</v>
      </c>
      <c r="R2484" s="4">
        <f t="shared" si="194"/>
        <v>0.44019999999999998</v>
      </c>
      <c r="S2484" s="2">
        <v>31</v>
      </c>
      <c r="T2484" t="s">
        <v>30</v>
      </c>
      <c r="U2484">
        <v>2</v>
      </c>
      <c r="V2484" t="s">
        <v>208</v>
      </c>
    </row>
    <row r="2485" spans="1:22" x14ac:dyDescent="0.25">
      <c r="A2485" s="1">
        <v>46075</v>
      </c>
      <c r="B2485" t="s">
        <v>2674</v>
      </c>
      <c r="C2485" t="s">
        <v>392</v>
      </c>
      <c r="D2485" t="s">
        <v>126</v>
      </c>
      <c r="E2485" t="s">
        <v>57</v>
      </c>
      <c r="F2485" t="s">
        <v>64</v>
      </c>
      <c r="G2485" t="s">
        <v>51</v>
      </c>
      <c r="H2485" t="s">
        <v>116</v>
      </c>
      <c r="I2485" t="s">
        <v>29</v>
      </c>
      <c r="J2485" s="2">
        <v>4</v>
      </c>
      <c r="K2485" s="3">
        <v>2665.53</v>
      </c>
      <c r="L2485" s="3">
        <v>1810.42</v>
      </c>
      <c r="M2485" s="4">
        <v>0</v>
      </c>
      <c r="N2485" s="3">
        <f t="shared" si="190"/>
        <v>10662.12</v>
      </c>
      <c r="O2485" s="3">
        <f t="shared" si="191"/>
        <v>10662.12</v>
      </c>
      <c r="P2485" s="3">
        <f t="shared" si="192"/>
        <v>7241.68</v>
      </c>
      <c r="Q2485" s="3">
        <f t="shared" si="193"/>
        <v>3420.44</v>
      </c>
      <c r="R2485" s="4">
        <f t="shared" si="194"/>
        <v>0.32079999999999997</v>
      </c>
      <c r="S2485" s="2">
        <v>4</v>
      </c>
      <c r="T2485" t="s">
        <v>46</v>
      </c>
      <c r="U2485">
        <v>3</v>
      </c>
    </row>
    <row r="2486" spans="1:22" x14ac:dyDescent="0.25">
      <c r="A2486" s="1">
        <v>46100</v>
      </c>
      <c r="B2486" t="s">
        <v>2675</v>
      </c>
      <c r="C2486" t="s">
        <v>42</v>
      </c>
      <c r="D2486" t="s">
        <v>113</v>
      </c>
      <c r="E2486" t="s">
        <v>50</v>
      </c>
      <c r="F2486" t="s">
        <v>36</v>
      </c>
      <c r="G2486" t="s">
        <v>44</v>
      </c>
      <c r="H2486" t="s">
        <v>124</v>
      </c>
      <c r="I2486" t="s">
        <v>53</v>
      </c>
      <c r="J2486" s="2">
        <v>8</v>
      </c>
      <c r="K2486" s="3">
        <v>5724.74</v>
      </c>
      <c r="L2486" s="3">
        <v>4204.0200000000004</v>
      </c>
      <c r="M2486" s="4">
        <v>9.7000000000000003E-3</v>
      </c>
      <c r="N2486" s="3">
        <f t="shared" si="190"/>
        <v>45797.919999999998</v>
      </c>
      <c r="O2486" s="3">
        <f t="shared" si="191"/>
        <v>45353.68</v>
      </c>
      <c r="P2486" s="3">
        <f t="shared" si="192"/>
        <v>33632.160000000003</v>
      </c>
      <c r="Q2486" s="3">
        <f t="shared" si="193"/>
        <v>11721.52</v>
      </c>
      <c r="R2486" s="4">
        <f t="shared" si="194"/>
        <v>0.25840000000000002</v>
      </c>
      <c r="S2486" s="2">
        <v>12</v>
      </c>
      <c r="T2486" t="s">
        <v>30</v>
      </c>
      <c r="U2486">
        <v>3</v>
      </c>
    </row>
    <row r="2487" spans="1:22" x14ac:dyDescent="0.25">
      <c r="A2487" s="1">
        <v>46149</v>
      </c>
      <c r="B2487" t="s">
        <v>2676</v>
      </c>
      <c r="C2487" t="s">
        <v>687</v>
      </c>
      <c r="D2487" t="s">
        <v>71</v>
      </c>
      <c r="E2487" t="s">
        <v>72</v>
      </c>
      <c r="F2487" t="s">
        <v>64</v>
      </c>
      <c r="G2487" t="s">
        <v>37</v>
      </c>
      <c r="H2487" t="s">
        <v>178</v>
      </c>
      <c r="I2487" t="s">
        <v>39</v>
      </c>
      <c r="J2487" s="2">
        <v>7</v>
      </c>
      <c r="K2487" s="3">
        <v>521.80999999999995</v>
      </c>
      <c r="L2487" s="3">
        <v>258.22000000000003</v>
      </c>
      <c r="M2487" s="4">
        <v>0</v>
      </c>
      <c r="N2487" s="3">
        <f t="shared" si="190"/>
        <v>3652.67</v>
      </c>
      <c r="O2487" s="3">
        <f t="shared" si="191"/>
        <v>3652.67</v>
      </c>
      <c r="P2487" s="3">
        <f t="shared" si="192"/>
        <v>1807.54</v>
      </c>
      <c r="Q2487" s="3">
        <f t="shared" si="193"/>
        <v>1845.13</v>
      </c>
      <c r="R2487" s="4">
        <f t="shared" si="194"/>
        <v>0.50509999999999999</v>
      </c>
      <c r="S2487" s="2">
        <v>9</v>
      </c>
      <c r="T2487" t="s">
        <v>46</v>
      </c>
      <c r="U2487">
        <v>3</v>
      </c>
    </row>
    <row r="2488" spans="1:22" x14ac:dyDescent="0.25">
      <c r="A2488" s="1">
        <v>46183</v>
      </c>
      <c r="B2488" t="s">
        <v>2677</v>
      </c>
      <c r="C2488" t="s">
        <v>590</v>
      </c>
      <c r="D2488" t="s">
        <v>71</v>
      </c>
      <c r="E2488" t="s">
        <v>72</v>
      </c>
      <c r="F2488" t="s">
        <v>26</v>
      </c>
      <c r="G2488" t="s">
        <v>44</v>
      </c>
      <c r="H2488" t="s">
        <v>124</v>
      </c>
      <c r="I2488" t="s">
        <v>65</v>
      </c>
      <c r="J2488" s="2">
        <v>8</v>
      </c>
      <c r="K2488" s="3">
        <v>5993.14</v>
      </c>
      <c r="L2488" s="3">
        <v>4678.7</v>
      </c>
      <c r="M2488" s="4">
        <v>0</v>
      </c>
      <c r="N2488" s="3">
        <f t="shared" si="190"/>
        <v>47945.120000000003</v>
      </c>
      <c r="O2488" s="3">
        <f t="shared" si="191"/>
        <v>47945.120000000003</v>
      </c>
      <c r="P2488" s="3">
        <f t="shared" si="192"/>
        <v>37429.599999999999</v>
      </c>
      <c r="Q2488" s="3">
        <f t="shared" si="193"/>
        <v>10515.52</v>
      </c>
      <c r="R2488" s="4">
        <f t="shared" si="194"/>
        <v>0.21929999999999999</v>
      </c>
      <c r="S2488" s="2">
        <v>6</v>
      </c>
      <c r="T2488" t="s">
        <v>46</v>
      </c>
      <c r="U2488">
        <v>2</v>
      </c>
    </row>
    <row r="2489" spans="1:22" x14ac:dyDescent="0.25">
      <c r="A2489" s="1">
        <v>46059</v>
      </c>
      <c r="B2489" t="s">
        <v>2678</v>
      </c>
      <c r="C2489" t="s">
        <v>590</v>
      </c>
      <c r="D2489" t="s">
        <v>121</v>
      </c>
      <c r="E2489" t="s">
        <v>72</v>
      </c>
      <c r="F2489" t="s">
        <v>36</v>
      </c>
      <c r="G2489" t="s">
        <v>37</v>
      </c>
      <c r="H2489" t="s">
        <v>178</v>
      </c>
      <c r="I2489" t="s">
        <v>39</v>
      </c>
      <c r="J2489" s="2">
        <v>8</v>
      </c>
      <c r="K2489" s="3">
        <v>508.31</v>
      </c>
      <c r="L2489" s="3">
        <v>259.77999999999997</v>
      </c>
      <c r="M2489" s="4">
        <v>3.0599999999999999E-2</v>
      </c>
      <c r="N2489" s="3">
        <f t="shared" si="190"/>
        <v>4066.48</v>
      </c>
      <c r="O2489" s="3">
        <f t="shared" si="191"/>
        <v>3942.05</v>
      </c>
      <c r="P2489" s="3">
        <f t="shared" si="192"/>
        <v>2078.2399999999998</v>
      </c>
      <c r="Q2489" s="3">
        <f t="shared" si="193"/>
        <v>1863.81</v>
      </c>
      <c r="R2489" s="4">
        <f t="shared" si="194"/>
        <v>0.4728</v>
      </c>
      <c r="S2489" s="2">
        <v>3</v>
      </c>
      <c r="T2489" t="s">
        <v>46</v>
      </c>
      <c r="U2489">
        <v>5</v>
      </c>
    </row>
    <row r="2490" spans="1:22" x14ac:dyDescent="0.25">
      <c r="A2490" s="1">
        <v>46102</v>
      </c>
      <c r="B2490" t="s">
        <v>1885</v>
      </c>
      <c r="C2490" t="s">
        <v>164</v>
      </c>
      <c r="D2490" t="s">
        <v>113</v>
      </c>
      <c r="E2490" t="s">
        <v>50</v>
      </c>
      <c r="F2490" t="s">
        <v>64</v>
      </c>
      <c r="G2490" t="s">
        <v>51</v>
      </c>
      <c r="H2490" t="s">
        <v>59</v>
      </c>
      <c r="I2490" t="s">
        <v>92</v>
      </c>
      <c r="J2490" s="2">
        <v>1</v>
      </c>
      <c r="K2490" s="3">
        <v>2241.33</v>
      </c>
      <c r="L2490" s="3">
        <v>1393.67</v>
      </c>
      <c r="M2490" s="4">
        <v>0</v>
      </c>
      <c r="N2490" s="3">
        <f t="shared" si="190"/>
        <v>2241.33</v>
      </c>
      <c r="O2490" s="3">
        <f t="shared" si="191"/>
        <v>2241.33</v>
      </c>
      <c r="P2490" s="3">
        <f t="shared" si="192"/>
        <v>1393.67</v>
      </c>
      <c r="Q2490" s="3">
        <f t="shared" si="193"/>
        <v>847.66</v>
      </c>
      <c r="R2490" s="4">
        <f t="shared" si="194"/>
        <v>0.37819999999999998</v>
      </c>
      <c r="S2490" s="2">
        <v>2</v>
      </c>
      <c r="T2490" t="s">
        <v>46</v>
      </c>
      <c r="U2490">
        <v>5</v>
      </c>
    </row>
    <row r="2491" spans="1:22" x14ac:dyDescent="0.25">
      <c r="A2491" s="1">
        <v>46086</v>
      </c>
      <c r="B2491" t="s">
        <v>2679</v>
      </c>
      <c r="C2491" t="s">
        <v>294</v>
      </c>
      <c r="D2491" t="s">
        <v>113</v>
      </c>
      <c r="E2491" t="s">
        <v>50</v>
      </c>
      <c r="F2491" t="s">
        <v>26</v>
      </c>
      <c r="G2491" t="s">
        <v>37</v>
      </c>
      <c r="H2491" t="s">
        <v>38</v>
      </c>
      <c r="I2491" t="s">
        <v>92</v>
      </c>
      <c r="J2491" s="2">
        <v>2</v>
      </c>
      <c r="K2491" s="3">
        <v>445.74</v>
      </c>
      <c r="L2491" s="3">
        <v>199.46</v>
      </c>
      <c r="M2491" s="4">
        <v>0</v>
      </c>
      <c r="N2491" s="3">
        <f t="shared" si="190"/>
        <v>891.48</v>
      </c>
      <c r="O2491" s="3">
        <f t="shared" si="191"/>
        <v>891.48</v>
      </c>
      <c r="P2491" s="3">
        <f t="shared" si="192"/>
        <v>398.92</v>
      </c>
      <c r="Q2491" s="3">
        <f t="shared" si="193"/>
        <v>492.56</v>
      </c>
      <c r="R2491" s="4">
        <f t="shared" si="194"/>
        <v>0.55249999999999999</v>
      </c>
      <c r="S2491" s="2">
        <v>5</v>
      </c>
      <c r="T2491" t="s">
        <v>46</v>
      </c>
      <c r="U2491">
        <v>2</v>
      </c>
    </row>
    <row r="2492" spans="1:22" x14ac:dyDescent="0.25">
      <c r="A2492" s="1">
        <v>46191</v>
      </c>
      <c r="B2492" t="s">
        <v>2680</v>
      </c>
      <c r="C2492" t="s">
        <v>500</v>
      </c>
      <c r="D2492" t="s">
        <v>34</v>
      </c>
      <c r="E2492" t="s">
        <v>35</v>
      </c>
      <c r="F2492" t="s">
        <v>26</v>
      </c>
      <c r="G2492" t="s">
        <v>51</v>
      </c>
      <c r="H2492" t="s">
        <v>116</v>
      </c>
      <c r="I2492" t="s">
        <v>60</v>
      </c>
      <c r="J2492" s="2">
        <v>2</v>
      </c>
      <c r="K2492" s="3">
        <v>2682.89</v>
      </c>
      <c r="L2492" s="3">
        <v>1802.77</v>
      </c>
      <c r="M2492" s="4">
        <v>5.4300000000000001E-2</v>
      </c>
      <c r="N2492" s="3">
        <f t="shared" si="190"/>
        <v>5365.78</v>
      </c>
      <c r="O2492" s="3">
        <f t="shared" si="191"/>
        <v>5074.42</v>
      </c>
      <c r="P2492" s="3">
        <f t="shared" si="192"/>
        <v>3605.54</v>
      </c>
      <c r="Q2492" s="3">
        <f t="shared" si="193"/>
        <v>1468.88</v>
      </c>
      <c r="R2492" s="4">
        <f t="shared" si="194"/>
        <v>0.28949999999999998</v>
      </c>
      <c r="S2492" s="2">
        <v>7</v>
      </c>
      <c r="T2492" t="s">
        <v>46</v>
      </c>
      <c r="U2492">
        <v>4</v>
      </c>
    </row>
    <row r="2493" spans="1:22" x14ac:dyDescent="0.25">
      <c r="A2493" s="1">
        <v>46023</v>
      </c>
      <c r="B2493" t="s">
        <v>2681</v>
      </c>
      <c r="C2493" t="s">
        <v>401</v>
      </c>
      <c r="D2493" t="s">
        <v>97</v>
      </c>
      <c r="E2493" t="s">
        <v>57</v>
      </c>
      <c r="F2493" t="s">
        <v>26</v>
      </c>
      <c r="G2493" t="s">
        <v>27</v>
      </c>
      <c r="H2493" t="s">
        <v>86</v>
      </c>
      <c r="I2493" t="s">
        <v>74</v>
      </c>
      <c r="J2493" s="2">
        <v>2</v>
      </c>
      <c r="K2493" s="3">
        <v>1847.44</v>
      </c>
      <c r="L2493" s="3">
        <v>1234.1099999999999</v>
      </c>
      <c r="M2493" s="4">
        <v>0</v>
      </c>
      <c r="N2493" s="3">
        <f t="shared" si="190"/>
        <v>3694.88</v>
      </c>
      <c r="O2493" s="3">
        <f t="shared" si="191"/>
        <v>3694.88</v>
      </c>
      <c r="P2493" s="3">
        <f t="shared" si="192"/>
        <v>2468.2199999999998</v>
      </c>
      <c r="Q2493" s="3">
        <f t="shared" si="193"/>
        <v>1226.6600000000001</v>
      </c>
      <c r="R2493" s="4">
        <f t="shared" si="194"/>
        <v>0.33200000000000002</v>
      </c>
      <c r="S2493" s="2">
        <v>7</v>
      </c>
      <c r="T2493" t="s">
        <v>46</v>
      </c>
      <c r="U2493">
        <v>4</v>
      </c>
    </row>
    <row r="2494" spans="1:22" x14ac:dyDescent="0.25">
      <c r="A2494" s="1">
        <v>46165</v>
      </c>
      <c r="B2494" t="s">
        <v>2682</v>
      </c>
      <c r="C2494" t="s">
        <v>198</v>
      </c>
      <c r="D2494" t="s">
        <v>101</v>
      </c>
      <c r="E2494" t="s">
        <v>35</v>
      </c>
      <c r="F2494" t="s">
        <v>36</v>
      </c>
      <c r="G2494" t="s">
        <v>51</v>
      </c>
      <c r="H2494" t="s">
        <v>116</v>
      </c>
      <c r="I2494" t="s">
        <v>29</v>
      </c>
      <c r="J2494" s="2">
        <v>7</v>
      </c>
      <c r="K2494" s="3">
        <v>2636.79</v>
      </c>
      <c r="L2494" s="3">
        <v>1865.23</v>
      </c>
      <c r="M2494" s="4">
        <v>0</v>
      </c>
      <c r="N2494" s="3">
        <f t="shared" si="190"/>
        <v>18457.53</v>
      </c>
      <c r="O2494" s="3">
        <f t="shared" si="191"/>
        <v>18457.53</v>
      </c>
      <c r="P2494" s="3">
        <f t="shared" si="192"/>
        <v>13056.61</v>
      </c>
      <c r="Q2494" s="3">
        <f t="shared" si="193"/>
        <v>5400.92</v>
      </c>
      <c r="R2494" s="4">
        <f t="shared" si="194"/>
        <v>0.29260000000000003</v>
      </c>
      <c r="S2494" s="2">
        <v>3</v>
      </c>
      <c r="T2494" t="s">
        <v>46</v>
      </c>
      <c r="U2494">
        <v>2</v>
      </c>
    </row>
    <row r="2495" spans="1:22" x14ac:dyDescent="0.25">
      <c r="A2495" s="1">
        <v>46099</v>
      </c>
      <c r="B2495" t="s">
        <v>2683</v>
      </c>
      <c r="C2495" t="s">
        <v>308</v>
      </c>
      <c r="D2495" t="s">
        <v>139</v>
      </c>
      <c r="E2495" t="s">
        <v>72</v>
      </c>
      <c r="F2495" t="s">
        <v>58</v>
      </c>
      <c r="G2495" t="s">
        <v>37</v>
      </c>
      <c r="H2495" t="s">
        <v>178</v>
      </c>
      <c r="I2495" t="s">
        <v>87</v>
      </c>
      <c r="J2495" s="2">
        <v>4</v>
      </c>
      <c r="K2495" s="3">
        <v>527.33000000000004</v>
      </c>
      <c r="L2495" s="3">
        <v>249.56</v>
      </c>
      <c r="M2495" s="4">
        <v>3.5000000000000003E-2</v>
      </c>
      <c r="N2495" s="3">
        <f t="shared" si="190"/>
        <v>2109.3200000000002</v>
      </c>
      <c r="O2495" s="3">
        <f t="shared" si="191"/>
        <v>2035.49</v>
      </c>
      <c r="P2495" s="3">
        <f t="shared" si="192"/>
        <v>998.24</v>
      </c>
      <c r="Q2495" s="3">
        <f t="shared" si="193"/>
        <v>1037.25</v>
      </c>
      <c r="R2495" s="4">
        <f t="shared" si="194"/>
        <v>0.50960000000000005</v>
      </c>
      <c r="S2495" s="2">
        <v>5</v>
      </c>
      <c r="T2495" t="s">
        <v>46</v>
      </c>
      <c r="U2495">
        <v>4</v>
      </c>
    </row>
    <row r="2496" spans="1:22" x14ac:dyDescent="0.25">
      <c r="A2496" s="1">
        <v>46124</v>
      </c>
      <c r="B2496" t="s">
        <v>2684</v>
      </c>
      <c r="C2496" t="s">
        <v>84</v>
      </c>
      <c r="D2496" t="s">
        <v>34</v>
      </c>
      <c r="E2496" t="s">
        <v>35</v>
      </c>
      <c r="F2496" t="s">
        <v>26</v>
      </c>
      <c r="G2496" t="s">
        <v>44</v>
      </c>
      <c r="H2496" t="s">
        <v>124</v>
      </c>
      <c r="I2496" t="s">
        <v>74</v>
      </c>
      <c r="J2496" s="2">
        <v>4</v>
      </c>
      <c r="K2496" s="3">
        <v>5635.59</v>
      </c>
      <c r="L2496" s="3">
        <v>4253.22</v>
      </c>
      <c r="M2496" s="4">
        <v>3.2399999999999998E-2</v>
      </c>
      <c r="N2496" s="3">
        <f t="shared" si="190"/>
        <v>22542.36</v>
      </c>
      <c r="O2496" s="3">
        <f t="shared" si="191"/>
        <v>21811.99</v>
      </c>
      <c r="P2496" s="3">
        <f t="shared" si="192"/>
        <v>17012.88</v>
      </c>
      <c r="Q2496" s="3">
        <f t="shared" si="193"/>
        <v>4799.1099999999997</v>
      </c>
      <c r="R2496" s="4">
        <f t="shared" si="194"/>
        <v>0.22</v>
      </c>
      <c r="S2496" s="2">
        <v>2</v>
      </c>
      <c r="T2496" t="s">
        <v>46</v>
      </c>
      <c r="U2496">
        <v>2</v>
      </c>
    </row>
    <row r="2497" spans="1:21" x14ac:dyDescent="0.25">
      <c r="A2497" s="1">
        <v>46069</v>
      </c>
      <c r="B2497" t="s">
        <v>2685</v>
      </c>
      <c r="C2497" t="s">
        <v>134</v>
      </c>
      <c r="D2497" t="s">
        <v>97</v>
      </c>
      <c r="E2497" t="s">
        <v>57</v>
      </c>
      <c r="F2497" t="s">
        <v>36</v>
      </c>
      <c r="G2497" t="s">
        <v>44</v>
      </c>
      <c r="H2497" t="s">
        <v>124</v>
      </c>
      <c r="I2497" t="s">
        <v>77</v>
      </c>
      <c r="J2497" s="2">
        <v>5</v>
      </c>
      <c r="K2497" s="3">
        <v>6022.74</v>
      </c>
      <c r="L2497" s="3">
        <v>4325.47</v>
      </c>
      <c r="M2497" s="4">
        <v>0</v>
      </c>
      <c r="N2497" s="3">
        <f t="shared" si="190"/>
        <v>30113.7</v>
      </c>
      <c r="O2497" s="3">
        <f t="shared" si="191"/>
        <v>30113.7</v>
      </c>
      <c r="P2497" s="3">
        <f t="shared" si="192"/>
        <v>21627.35</v>
      </c>
      <c r="Q2497" s="3">
        <f t="shared" si="193"/>
        <v>8486.35</v>
      </c>
      <c r="R2497" s="4">
        <f t="shared" si="194"/>
        <v>0.28179999999999999</v>
      </c>
      <c r="S2497" s="2">
        <v>12</v>
      </c>
      <c r="T2497" t="s">
        <v>30</v>
      </c>
      <c r="U2497">
        <v>4</v>
      </c>
    </row>
    <row r="2498" spans="1:21" x14ac:dyDescent="0.25">
      <c r="A2498" s="1">
        <v>46098</v>
      </c>
      <c r="B2498" t="s">
        <v>2686</v>
      </c>
      <c r="C2498" t="s">
        <v>606</v>
      </c>
      <c r="D2498" t="s">
        <v>85</v>
      </c>
      <c r="E2498" t="s">
        <v>50</v>
      </c>
      <c r="F2498" t="s">
        <v>58</v>
      </c>
      <c r="G2498" t="s">
        <v>44</v>
      </c>
      <c r="H2498" t="s">
        <v>73</v>
      </c>
      <c r="I2498" t="s">
        <v>94</v>
      </c>
      <c r="J2498" s="2">
        <v>2</v>
      </c>
      <c r="K2498" s="3">
        <v>1635.51</v>
      </c>
      <c r="L2498" s="3">
        <v>1107.3699999999999</v>
      </c>
      <c r="M2498" s="4">
        <v>3.5000000000000003E-2</v>
      </c>
      <c r="N2498" s="3">
        <f t="shared" ref="N2498:N2561" si="195">ROUND(J2498*K2498,2)</f>
        <v>3271.02</v>
      </c>
      <c r="O2498" s="3">
        <f t="shared" ref="O2498:O2561" si="196">ROUND(N2498*(1-M2498),2)</f>
        <v>3156.53</v>
      </c>
      <c r="P2498" s="3">
        <f t="shared" ref="P2498:P2561" si="197">ROUND(J2498*L2498,2)</f>
        <v>2214.7399999999998</v>
      </c>
      <c r="Q2498" s="3">
        <f t="shared" ref="Q2498:Q2561" si="198">ROUND(O2498-P2498,2)</f>
        <v>941.79</v>
      </c>
      <c r="R2498" s="4">
        <f t="shared" ref="R2498:R2561" si="199">IF(O2498=0,0,ROUND(Q2498/O2498,4))</f>
        <v>0.2984</v>
      </c>
      <c r="S2498" s="2">
        <v>12</v>
      </c>
      <c r="T2498" t="s">
        <v>30</v>
      </c>
      <c r="U2498">
        <v>3</v>
      </c>
    </row>
    <row r="2499" spans="1:21" x14ac:dyDescent="0.25">
      <c r="A2499" s="1">
        <v>46117</v>
      </c>
      <c r="B2499" t="s">
        <v>2687</v>
      </c>
      <c r="C2499" t="s">
        <v>67</v>
      </c>
      <c r="D2499" t="s">
        <v>113</v>
      </c>
      <c r="E2499" t="s">
        <v>50</v>
      </c>
      <c r="F2499" t="s">
        <v>64</v>
      </c>
      <c r="G2499" t="s">
        <v>51</v>
      </c>
      <c r="H2499" t="s">
        <v>52</v>
      </c>
      <c r="I2499" t="s">
        <v>29</v>
      </c>
      <c r="J2499" s="2">
        <v>1</v>
      </c>
      <c r="K2499" s="3">
        <v>257.72000000000003</v>
      </c>
      <c r="L2499" s="3">
        <v>120.9</v>
      </c>
      <c r="M2499" s="4">
        <v>6.83E-2</v>
      </c>
      <c r="N2499" s="3">
        <f t="shared" si="195"/>
        <v>257.72000000000003</v>
      </c>
      <c r="O2499" s="3">
        <f t="shared" si="196"/>
        <v>240.12</v>
      </c>
      <c r="P2499" s="3">
        <f t="shared" si="197"/>
        <v>120.9</v>
      </c>
      <c r="Q2499" s="3">
        <f t="shared" si="198"/>
        <v>119.22</v>
      </c>
      <c r="R2499" s="4">
        <f t="shared" si="199"/>
        <v>0.4965</v>
      </c>
      <c r="S2499" s="2">
        <v>6</v>
      </c>
      <c r="T2499" t="s">
        <v>46</v>
      </c>
      <c r="U2499">
        <v>2</v>
      </c>
    </row>
    <row r="2500" spans="1:21" x14ac:dyDescent="0.25">
      <c r="A2500" s="1">
        <v>46160</v>
      </c>
      <c r="B2500" t="s">
        <v>2688</v>
      </c>
      <c r="C2500" t="s">
        <v>89</v>
      </c>
      <c r="D2500" t="s">
        <v>71</v>
      </c>
      <c r="E2500" t="s">
        <v>72</v>
      </c>
      <c r="F2500" t="s">
        <v>26</v>
      </c>
      <c r="G2500" t="s">
        <v>44</v>
      </c>
      <c r="H2500" t="s">
        <v>73</v>
      </c>
      <c r="I2500" t="s">
        <v>65</v>
      </c>
      <c r="J2500" s="2">
        <v>5</v>
      </c>
      <c r="K2500" s="3">
        <v>1712.56</v>
      </c>
      <c r="L2500" s="3">
        <v>1108.28</v>
      </c>
      <c r="M2500" s="4">
        <v>5.7700000000000001E-2</v>
      </c>
      <c r="N2500" s="3">
        <f t="shared" si="195"/>
        <v>8562.7999999999993</v>
      </c>
      <c r="O2500" s="3">
        <f t="shared" si="196"/>
        <v>8068.73</v>
      </c>
      <c r="P2500" s="3">
        <f t="shared" si="197"/>
        <v>5541.4</v>
      </c>
      <c r="Q2500" s="3">
        <f t="shared" si="198"/>
        <v>2527.33</v>
      </c>
      <c r="R2500" s="4">
        <f t="shared" si="199"/>
        <v>0.31319999999999998</v>
      </c>
      <c r="S2500" s="2">
        <v>12</v>
      </c>
      <c r="T2500" t="s">
        <v>30</v>
      </c>
      <c r="U2500">
        <v>2</v>
      </c>
    </row>
    <row r="2501" spans="1:21" x14ac:dyDescent="0.25">
      <c r="A2501" s="1">
        <v>46097</v>
      </c>
      <c r="B2501" t="s">
        <v>2689</v>
      </c>
      <c r="C2501" t="s">
        <v>184</v>
      </c>
      <c r="D2501" t="s">
        <v>121</v>
      </c>
      <c r="E2501" t="s">
        <v>72</v>
      </c>
      <c r="F2501" t="s">
        <v>58</v>
      </c>
      <c r="G2501" t="s">
        <v>51</v>
      </c>
      <c r="H2501" t="s">
        <v>116</v>
      </c>
      <c r="I2501" t="s">
        <v>65</v>
      </c>
      <c r="J2501" s="2">
        <v>1</v>
      </c>
      <c r="K2501" s="3">
        <v>2808.95</v>
      </c>
      <c r="L2501" s="3">
        <v>1865.03</v>
      </c>
      <c r="M2501" s="4">
        <v>0.1007</v>
      </c>
      <c r="N2501" s="3">
        <f t="shared" si="195"/>
        <v>2808.95</v>
      </c>
      <c r="O2501" s="3">
        <f t="shared" si="196"/>
        <v>2526.09</v>
      </c>
      <c r="P2501" s="3">
        <f t="shared" si="197"/>
        <v>1865.03</v>
      </c>
      <c r="Q2501" s="3">
        <f t="shared" si="198"/>
        <v>661.06</v>
      </c>
      <c r="R2501" s="4">
        <f t="shared" si="199"/>
        <v>0.26169999999999999</v>
      </c>
      <c r="S2501" s="2">
        <v>10</v>
      </c>
      <c r="T2501" t="s">
        <v>46</v>
      </c>
      <c r="U2501">
        <v>3</v>
      </c>
    </row>
    <row r="2502" spans="1:21" x14ac:dyDescent="0.25">
      <c r="A2502" s="1">
        <v>46109</v>
      </c>
      <c r="B2502" t="s">
        <v>2690</v>
      </c>
      <c r="C2502" t="s">
        <v>148</v>
      </c>
      <c r="D2502" t="s">
        <v>24</v>
      </c>
      <c r="E2502" t="s">
        <v>25</v>
      </c>
      <c r="F2502" t="s">
        <v>36</v>
      </c>
      <c r="G2502" t="s">
        <v>44</v>
      </c>
      <c r="H2502" t="s">
        <v>124</v>
      </c>
      <c r="I2502" t="s">
        <v>94</v>
      </c>
      <c r="J2502" s="2">
        <v>5</v>
      </c>
      <c r="K2502" s="3">
        <v>5994.43</v>
      </c>
      <c r="L2502" s="3">
        <v>4353.62</v>
      </c>
      <c r="M2502" s="4">
        <v>0</v>
      </c>
      <c r="N2502" s="3">
        <f t="shared" si="195"/>
        <v>29972.15</v>
      </c>
      <c r="O2502" s="3">
        <f t="shared" si="196"/>
        <v>29972.15</v>
      </c>
      <c r="P2502" s="3">
        <f t="shared" si="197"/>
        <v>21768.1</v>
      </c>
      <c r="Q2502" s="3">
        <f t="shared" si="198"/>
        <v>8204.0499999999993</v>
      </c>
      <c r="R2502" s="4">
        <f t="shared" si="199"/>
        <v>0.2737</v>
      </c>
      <c r="S2502" s="2">
        <v>2</v>
      </c>
      <c r="T2502" t="s">
        <v>46</v>
      </c>
      <c r="U2502">
        <v>3</v>
      </c>
    </row>
    <row r="2503" spans="1:21" x14ac:dyDescent="0.25">
      <c r="A2503" s="1">
        <v>46189</v>
      </c>
      <c r="B2503" t="s">
        <v>2691</v>
      </c>
      <c r="C2503" t="s">
        <v>329</v>
      </c>
      <c r="D2503" t="s">
        <v>121</v>
      </c>
      <c r="E2503" t="s">
        <v>72</v>
      </c>
      <c r="F2503" t="s">
        <v>64</v>
      </c>
      <c r="G2503" t="s">
        <v>27</v>
      </c>
      <c r="H2503" t="s">
        <v>86</v>
      </c>
      <c r="I2503" t="s">
        <v>65</v>
      </c>
      <c r="J2503" s="2">
        <v>2</v>
      </c>
      <c r="K2503" s="3">
        <v>1984.43</v>
      </c>
      <c r="L2503" s="3">
        <v>1290.58</v>
      </c>
      <c r="M2503" s="4">
        <v>7.2099999999999997E-2</v>
      </c>
      <c r="N2503" s="3">
        <f t="shared" si="195"/>
        <v>3968.86</v>
      </c>
      <c r="O2503" s="3">
        <f t="shared" si="196"/>
        <v>3682.71</v>
      </c>
      <c r="P2503" s="3">
        <f t="shared" si="197"/>
        <v>2581.16</v>
      </c>
      <c r="Q2503" s="3">
        <f t="shared" si="198"/>
        <v>1101.55</v>
      </c>
      <c r="R2503" s="4">
        <f t="shared" si="199"/>
        <v>0.29909999999999998</v>
      </c>
      <c r="S2503" s="2">
        <v>7</v>
      </c>
      <c r="T2503" t="s">
        <v>46</v>
      </c>
      <c r="U2503">
        <v>3</v>
      </c>
    </row>
    <row r="2504" spans="1:21" x14ac:dyDescent="0.25">
      <c r="A2504" s="1">
        <v>46047</v>
      </c>
      <c r="B2504" t="s">
        <v>2692</v>
      </c>
      <c r="C2504" t="s">
        <v>118</v>
      </c>
      <c r="D2504" t="s">
        <v>113</v>
      </c>
      <c r="E2504" t="s">
        <v>50</v>
      </c>
      <c r="F2504" t="s">
        <v>58</v>
      </c>
      <c r="G2504" t="s">
        <v>44</v>
      </c>
      <c r="H2504" t="s">
        <v>124</v>
      </c>
      <c r="I2504" t="s">
        <v>94</v>
      </c>
      <c r="J2504" s="2">
        <v>2</v>
      </c>
      <c r="K2504" s="3">
        <v>5878.08</v>
      </c>
      <c r="L2504" s="3">
        <v>4504.88</v>
      </c>
      <c r="M2504" s="4">
        <v>7.8200000000000006E-2</v>
      </c>
      <c r="N2504" s="3">
        <f t="shared" si="195"/>
        <v>11756.16</v>
      </c>
      <c r="O2504" s="3">
        <f t="shared" si="196"/>
        <v>10836.83</v>
      </c>
      <c r="P2504" s="3">
        <f t="shared" si="197"/>
        <v>9009.76</v>
      </c>
      <c r="Q2504" s="3">
        <f t="shared" si="198"/>
        <v>1827.07</v>
      </c>
      <c r="R2504" s="4">
        <f t="shared" si="199"/>
        <v>0.1686</v>
      </c>
      <c r="S2504" s="2">
        <v>10</v>
      </c>
      <c r="T2504" t="s">
        <v>46</v>
      </c>
      <c r="U2504">
        <v>2</v>
      </c>
    </row>
    <row r="2505" spans="1:21" x14ac:dyDescent="0.25">
      <c r="A2505" s="1">
        <v>46055</v>
      </c>
      <c r="B2505" t="s">
        <v>2693</v>
      </c>
      <c r="C2505" t="s">
        <v>523</v>
      </c>
      <c r="D2505" t="s">
        <v>121</v>
      </c>
      <c r="E2505" t="s">
        <v>72</v>
      </c>
      <c r="F2505" t="s">
        <v>26</v>
      </c>
      <c r="G2505" t="s">
        <v>51</v>
      </c>
      <c r="H2505" t="s">
        <v>116</v>
      </c>
      <c r="I2505" t="s">
        <v>65</v>
      </c>
      <c r="J2505" s="2">
        <v>7</v>
      </c>
      <c r="K2505" s="3">
        <v>2844.5</v>
      </c>
      <c r="L2505" s="3">
        <v>1942.66</v>
      </c>
      <c r="M2505" s="4">
        <v>0</v>
      </c>
      <c r="N2505" s="3">
        <f t="shared" si="195"/>
        <v>19911.5</v>
      </c>
      <c r="O2505" s="3">
        <f t="shared" si="196"/>
        <v>19911.5</v>
      </c>
      <c r="P2505" s="3">
        <f t="shared" si="197"/>
        <v>13598.62</v>
      </c>
      <c r="Q2505" s="3">
        <f t="shared" si="198"/>
        <v>6312.88</v>
      </c>
      <c r="R2505" s="4">
        <f t="shared" si="199"/>
        <v>0.317</v>
      </c>
      <c r="S2505" s="2">
        <v>5</v>
      </c>
      <c r="T2505" t="s">
        <v>46</v>
      </c>
      <c r="U2505">
        <v>2</v>
      </c>
    </row>
    <row r="2506" spans="1:21" x14ac:dyDescent="0.25">
      <c r="A2506" s="1">
        <v>46158</v>
      </c>
      <c r="B2506" t="s">
        <v>2694</v>
      </c>
      <c r="C2506" t="s">
        <v>251</v>
      </c>
      <c r="D2506" t="s">
        <v>56</v>
      </c>
      <c r="E2506" t="s">
        <v>57</v>
      </c>
      <c r="F2506" t="s">
        <v>58</v>
      </c>
      <c r="G2506" t="s">
        <v>37</v>
      </c>
      <c r="H2506" t="s">
        <v>178</v>
      </c>
      <c r="I2506" t="s">
        <v>39</v>
      </c>
      <c r="J2506" s="2">
        <v>7</v>
      </c>
      <c r="K2506" s="3">
        <v>490.71</v>
      </c>
      <c r="L2506" s="3">
        <v>231.05</v>
      </c>
      <c r="M2506" s="4">
        <v>0.1236</v>
      </c>
      <c r="N2506" s="3">
        <f t="shared" si="195"/>
        <v>3434.97</v>
      </c>
      <c r="O2506" s="3">
        <f t="shared" si="196"/>
        <v>3010.41</v>
      </c>
      <c r="P2506" s="3">
        <f t="shared" si="197"/>
        <v>1617.35</v>
      </c>
      <c r="Q2506" s="3">
        <f t="shared" si="198"/>
        <v>1393.06</v>
      </c>
      <c r="R2506" s="4">
        <f t="shared" si="199"/>
        <v>0.4627</v>
      </c>
      <c r="S2506" s="2">
        <v>13</v>
      </c>
      <c r="T2506" t="s">
        <v>30</v>
      </c>
      <c r="U2506">
        <v>5</v>
      </c>
    </row>
    <row r="2507" spans="1:21" x14ac:dyDescent="0.25">
      <c r="A2507" s="1">
        <v>46031</v>
      </c>
      <c r="B2507" t="s">
        <v>2695</v>
      </c>
      <c r="C2507" t="s">
        <v>174</v>
      </c>
      <c r="D2507" t="s">
        <v>49</v>
      </c>
      <c r="E2507" t="s">
        <v>50</v>
      </c>
      <c r="F2507" t="s">
        <v>58</v>
      </c>
      <c r="G2507" t="s">
        <v>44</v>
      </c>
      <c r="H2507" t="s">
        <v>45</v>
      </c>
      <c r="I2507" t="s">
        <v>94</v>
      </c>
      <c r="J2507" s="2">
        <v>8</v>
      </c>
      <c r="K2507" s="3">
        <v>367.67</v>
      </c>
      <c r="L2507" s="3">
        <v>213.73</v>
      </c>
      <c r="M2507" s="4">
        <v>9.7000000000000003E-2</v>
      </c>
      <c r="N2507" s="3">
        <f t="shared" si="195"/>
        <v>2941.36</v>
      </c>
      <c r="O2507" s="3">
        <f t="shared" si="196"/>
        <v>2656.05</v>
      </c>
      <c r="P2507" s="3">
        <f t="shared" si="197"/>
        <v>1709.84</v>
      </c>
      <c r="Q2507" s="3">
        <f t="shared" si="198"/>
        <v>946.21</v>
      </c>
      <c r="R2507" s="4">
        <f t="shared" si="199"/>
        <v>0.35620000000000002</v>
      </c>
      <c r="S2507" s="2">
        <v>2</v>
      </c>
      <c r="T2507" t="s">
        <v>46</v>
      </c>
      <c r="U2507">
        <v>4</v>
      </c>
    </row>
    <row r="2508" spans="1:21" x14ac:dyDescent="0.25">
      <c r="A2508" s="1">
        <v>46217</v>
      </c>
      <c r="B2508" t="s">
        <v>2696</v>
      </c>
      <c r="C2508" t="s">
        <v>520</v>
      </c>
      <c r="D2508" t="s">
        <v>207</v>
      </c>
      <c r="E2508" t="s">
        <v>35</v>
      </c>
      <c r="F2508" t="s">
        <v>26</v>
      </c>
      <c r="G2508" t="s">
        <v>37</v>
      </c>
      <c r="H2508" t="s">
        <v>104</v>
      </c>
      <c r="I2508" t="s">
        <v>94</v>
      </c>
      <c r="J2508" s="2">
        <v>4</v>
      </c>
      <c r="K2508" s="3">
        <v>316.08</v>
      </c>
      <c r="L2508" s="3">
        <v>140.07</v>
      </c>
      <c r="M2508" s="4">
        <v>0</v>
      </c>
      <c r="N2508" s="3">
        <f t="shared" si="195"/>
        <v>1264.32</v>
      </c>
      <c r="O2508" s="3">
        <f t="shared" si="196"/>
        <v>1264.32</v>
      </c>
      <c r="P2508" s="3">
        <f t="shared" si="197"/>
        <v>560.28</v>
      </c>
      <c r="Q2508" s="3">
        <f t="shared" si="198"/>
        <v>704.04</v>
      </c>
      <c r="R2508" s="4">
        <f t="shared" si="199"/>
        <v>0.55689999999999995</v>
      </c>
      <c r="S2508" s="2">
        <v>3</v>
      </c>
      <c r="T2508" t="s">
        <v>46</v>
      </c>
      <c r="U2508">
        <v>4</v>
      </c>
    </row>
    <row r="2509" spans="1:21" x14ac:dyDescent="0.25">
      <c r="A2509" s="1">
        <v>46107</v>
      </c>
      <c r="B2509" t="s">
        <v>2697</v>
      </c>
      <c r="C2509" t="s">
        <v>76</v>
      </c>
      <c r="D2509" t="s">
        <v>207</v>
      </c>
      <c r="E2509" t="s">
        <v>35</v>
      </c>
      <c r="F2509" t="s">
        <v>58</v>
      </c>
      <c r="G2509" t="s">
        <v>37</v>
      </c>
      <c r="H2509" t="s">
        <v>104</v>
      </c>
      <c r="I2509" t="s">
        <v>94</v>
      </c>
      <c r="J2509" s="2">
        <v>2</v>
      </c>
      <c r="K2509" s="3">
        <v>336.3</v>
      </c>
      <c r="L2509" s="3">
        <v>131.09</v>
      </c>
      <c r="M2509" s="4">
        <v>3.5000000000000003E-2</v>
      </c>
      <c r="N2509" s="3">
        <f t="shared" si="195"/>
        <v>672.6</v>
      </c>
      <c r="O2509" s="3">
        <f t="shared" si="196"/>
        <v>649.05999999999995</v>
      </c>
      <c r="P2509" s="3">
        <f t="shared" si="197"/>
        <v>262.18</v>
      </c>
      <c r="Q2509" s="3">
        <f t="shared" si="198"/>
        <v>386.88</v>
      </c>
      <c r="R2509" s="4">
        <f t="shared" si="199"/>
        <v>0.59609999999999996</v>
      </c>
      <c r="S2509" s="2">
        <v>3</v>
      </c>
      <c r="T2509" t="s">
        <v>46</v>
      </c>
      <c r="U2509">
        <v>5</v>
      </c>
    </row>
    <row r="2510" spans="1:21" x14ac:dyDescent="0.25">
      <c r="A2510" s="1">
        <v>46113</v>
      </c>
      <c r="B2510" t="s">
        <v>2698</v>
      </c>
      <c r="C2510" t="s">
        <v>33</v>
      </c>
      <c r="D2510" t="s">
        <v>34</v>
      </c>
      <c r="E2510" t="s">
        <v>35</v>
      </c>
      <c r="F2510" t="s">
        <v>36</v>
      </c>
      <c r="G2510" t="s">
        <v>37</v>
      </c>
      <c r="H2510" t="s">
        <v>178</v>
      </c>
      <c r="I2510" t="s">
        <v>92</v>
      </c>
      <c r="J2510" s="2">
        <v>6</v>
      </c>
      <c r="K2510" s="3">
        <v>509.99</v>
      </c>
      <c r="L2510" s="3">
        <v>238.67</v>
      </c>
      <c r="M2510" s="4">
        <v>0</v>
      </c>
      <c r="N2510" s="3">
        <f t="shared" si="195"/>
        <v>3059.94</v>
      </c>
      <c r="O2510" s="3">
        <f t="shared" si="196"/>
        <v>3059.94</v>
      </c>
      <c r="P2510" s="3">
        <f t="shared" si="197"/>
        <v>1432.02</v>
      </c>
      <c r="Q2510" s="3">
        <f t="shared" si="198"/>
        <v>1627.92</v>
      </c>
      <c r="R2510" s="4">
        <f t="shared" si="199"/>
        <v>0.53200000000000003</v>
      </c>
      <c r="S2510" s="2">
        <v>2</v>
      </c>
      <c r="T2510" t="s">
        <v>46</v>
      </c>
      <c r="U2510">
        <v>5</v>
      </c>
    </row>
    <row r="2511" spans="1:21" x14ac:dyDescent="0.25">
      <c r="A2511" s="1">
        <v>46031</v>
      </c>
      <c r="B2511" t="s">
        <v>2699</v>
      </c>
      <c r="C2511" t="s">
        <v>590</v>
      </c>
      <c r="D2511" t="s">
        <v>56</v>
      </c>
      <c r="E2511" t="s">
        <v>57</v>
      </c>
      <c r="F2511" t="s">
        <v>26</v>
      </c>
      <c r="G2511" t="s">
        <v>37</v>
      </c>
      <c r="H2511" t="s">
        <v>104</v>
      </c>
      <c r="I2511" t="s">
        <v>87</v>
      </c>
      <c r="J2511" s="2">
        <v>3</v>
      </c>
      <c r="K2511" s="3">
        <v>308.57</v>
      </c>
      <c r="L2511" s="3">
        <v>133.72</v>
      </c>
      <c r="M2511" s="4">
        <v>0</v>
      </c>
      <c r="N2511" s="3">
        <f t="shared" si="195"/>
        <v>925.71</v>
      </c>
      <c r="O2511" s="3">
        <f t="shared" si="196"/>
        <v>925.71</v>
      </c>
      <c r="P2511" s="3">
        <f t="shared" si="197"/>
        <v>401.16</v>
      </c>
      <c r="Q2511" s="3">
        <f t="shared" si="198"/>
        <v>524.54999999999995</v>
      </c>
      <c r="R2511" s="4">
        <f t="shared" si="199"/>
        <v>0.56659999999999999</v>
      </c>
      <c r="S2511" s="2">
        <v>2</v>
      </c>
      <c r="T2511" t="s">
        <v>46</v>
      </c>
      <c r="U2511">
        <v>2</v>
      </c>
    </row>
    <row r="2512" spans="1:21" x14ac:dyDescent="0.25">
      <c r="A2512" s="1">
        <v>46079</v>
      </c>
      <c r="B2512" t="s">
        <v>2700</v>
      </c>
      <c r="C2512" t="s">
        <v>284</v>
      </c>
      <c r="D2512" t="s">
        <v>24</v>
      </c>
      <c r="E2512" t="s">
        <v>25</v>
      </c>
      <c r="F2512" t="s">
        <v>64</v>
      </c>
      <c r="G2512" t="s">
        <v>37</v>
      </c>
      <c r="H2512" t="s">
        <v>38</v>
      </c>
      <c r="I2512" t="s">
        <v>77</v>
      </c>
      <c r="J2512" s="2">
        <v>6</v>
      </c>
      <c r="K2512" s="3">
        <v>455.49</v>
      </c>
      <c r="L2512" s="3">
        <v>196.18</v>
      </c>
      <c r="M2512" s="4">
        <v>6.1999999999999998E-3</v>
      </c>
      <c r="N2512" s="3">
        <f t="shared" si="195"/>
        <v>2732.94</v>
      </c>
      <c r="O2512" s="3">
        <f t="shared" si="196"/>
        <v>2716</v>
      </c>
      <c r="P2512" s="3">
        <f t="shared" si="197"/>
        <v>1177.08</v>
      </c>
      <c r="Q2512" s="3">
        <f t="shared" si="198"/>
        <v>1538.92</v>
      </c>
      <c r="R2512" s="4">
        <f t="shared" si="199"/>
        <v>0.56659999999999999</v>
      </c>
      <c r="S2512" s="2">
        <v>3</v>
      </c>
      <c r="T2512" t="s">
        <v>46</v>
      </c>
      <c r="U2512">
        <v>4</v>
      </c>
    </row>
    <row r="2513" spans="1:21" x14ac:dyDescent="0.25">
      <c r="A2513" s="1">
        <v>46058</v>
      </c>
      <c r="B2513" t="s">
        <v>2701</v>
      </c>
      <c r="C2513" t="s">
        <v>91</v>
      </c>
      <c r="D2513" t="s">
        <v>71</v>
      </c>
      <c r="E2513" t="s">
        <v>72</v>
      </c>
      <c r="F2513" t="s">
        <v>58</v>
      </c>
      <c r="G2513" t="s">
        <v>27</v>
      </c>
      <c r="H2513" t="s">
        <v>68</v>
      </c>
      <c r="I2513" t="s">
        <v>92</v>
      </c>
      <c r="J2513" s="2">
        <v>8</v>
      </c>
      <c r="K2513" s="3">
        <v>1231.1400000000001</v>
      </c>
      <c r="L2513" s="3">
        <v>802.87</v>
      </c>
      <c r="M2513" s="4">
        <v>0.11070000000000001</v>
      </c>
      <c r="N2513" s="3">
        <f t="shared" si="195"/>
        <v>9849.1200000000008</v>
      </c>
      <c r="O2513" s="3">
        <f t="shared" si="196"/>
        <v>8758.82</v>
      </c>
      <c r="P2513" s="3">
        <f t="shared" si="197"/>
        <v>6422.96</v>
      </c>
      <c r="Q2513" s="3">
        <f t="shared" si="198"/>
        <v>2335.86</v>
      </c>
      <c r="R2513" s="4">
        <f t="shared" si="199"/>
        <v>0.26669999999999999</v>
      </c>
      <c r="S2513" s="2">
        <v>6</v>
      </c>
      <c r="T2513" t="s">
        <v>46</v>
      </c>
      <c r="U2513">
        <v>2</v>
      </c>
    </row>
    <row r="2514" spans="1:21" x14ac:dyDescent="0.25">
      <c r="A2514" s="1">
        <v>46037</v>
      </c>
      <c r="B2514" t="s">
        <v>2702</v>
      </c>
      <c r="C2514" t="s">
        <v>226</v>
      </c>
      <c r="D2514" t="s">
        <v>43</v>
      </c>
      <c r="E2514" t="s">
        <v>25</v>
      </c>
      <c r="F2514" t="s">
        <v>58</v>
      </c>
      <c r="G2514" t="s">
        <v>27</v>
      </c>
      <c r="H2514" t="s">
        <v>28</v>
      </c>
      <c r="I2514" t="s">
        <v>87</v>
      </c>
      <c r="J2514" s="2">
        <v>4</v>
      </c>
      <c r="K2514" s="3">
        <v>834.73</v>
      </c>
      <c r="L2514" s="3">
        <v>487.63</v>
      </c>
      <c r="M2514" s="4">
        <v>0.14549999999999999</v>
      </c>
      <c r="N2514" s="3">
        <f t="shared" si="195"/>
        <v>3338.92</v>
      </c>
      <c r="O2514" s="3">
        <f t="shared" si="196"/>
        <v>2853.11</v>
      </c>
      <c r="P2514" s="3">
        <f t="shared" si="197"/>
        <v>1950.52</v>
      </c>
      <c r="Q2514" s="3">
        <f t="shared" si="198"/>
        <v>902.59</v>
      </c>
      <c r="R2514" s="4">
        <f t="shared" si="199"/>
        <v>0.31640000000000001</v>
      </c>
      <c r="S2514" s="2">
        <v>11</v>
      </c>
      <c r="T2514" t="s">
        <v>30</v>
      </c>
      <c r="U2514">
        <v>5</v>
      </c>
    </row>
    <row r="2515" spans="1:21" x14ac:dyDescent="0.25">
      <c r="A2515" s="1">
        <v>46048</v>
      </c>
      <c r="B2515" t="s">
        <v>2703</v>
      </c>
      <c r="C2515" t="s">
        <v>386</v>
      </c>
      <c r="D2515" t="s">
        <v>34</v>
      </c>
      <c r="E2515" t="s">
        <v>35</v>
      </c>
      <c r="F2515" t="s">
        <v>26</v>
      </c>
      <c r="G2515" t="s">
        <v>27</v>
      </c>
      <c r="H2515" t="s">
        <v>28</v>
      </c>
      <c r="I2515" t="s">
        <v>94</v>
      </c>
      <c r="J2515" s="2">
        <v>5</v>
      </c>
      <c r="K2515" s="3">
        <v>753.71</v>
      </c>
      <c r="L2515" s="3">
        <v>455.8</v>
      </c>
      <c r="M2515" s="4">
        <v>0</v>
      </c>
      <c r="N2515" s="3">
        <f t="shared" si="195"/>
        <v>3768.55</v>
      </c>
      <c r="O2515" s="3">
        <f t="shared" si="196"/>
        <v>3768.55</v>
      </c>
      <c r="P2515" s="3">
        <f t="shared" si="197"/>
        <v>2279</v>
      </c>
      <c r="Q2515" s="3">
        <f t="shared" si="198"/>
        <v>1489.55</v>
      </c>
      <c r="R2515" s="4">
        <f t="shared" si="199"/>
        <v>0.39529999999999998</v>
      </c>
      <c r="S2515" s="2">
        <v>12</v>
      </c>
      <c r="T2515" t="s">
        <v>30</v>
      </c>
      <c r="U2515">
        <v>4</v>
      </c>
    </row>
    <row r="2516" spans="1:21" x14ac:dyDescent="0.25">
      <c r="A2516" s="1">
        <v>46199</v>
      </c>
      <c r="B2516" t="s">
        <v>2704</v>
      </c>
      <c r="C2516" t="s">
        <v>375</v>
      </c>
      <c r="D2516" t="s">
        <v>113</v>
      </c>
      <c r="E2516" t="s">
        <v>50</v>
      </c>
      <c r="F2516" t="s">
        <v>26</v>
      </c>
      <c r="G2516" t="s">
        <v>51</v>
      </c>
      <c r="H2516" t="s">
        <v>59</v>
      </c>
      <c r="I2516" t="s">
        <v>39</v>
      </c>
      <c r="J2516" s="2">
        <v>7</v>
      </c>
      <c r="K2516" s="3">
        <v>2104.7600000000002</v>
      </c>
      <c r="L2516" s="3">
        <v>1452.55</v>
      </c>
      <c r="M2516" s="4">
        <v>0</v>
      </c>
      <c r="N2516" s="3">
        <f t="shared" si="195"/>
        <v>14733.32</v>
      </c>
      <c r="O2516" s="3">
        <f t="shared" si="196"/>
        <v>14733.32</v>
      </c>
      <c r="P2516" s="3">
        <f t="shared" si="197"/>
        <v>10167.85</v>
      </c>
      <c r="Q2516" s="3">
        <f t="shared" si="198"/>
        <v>4565.47</v>
      </c>
      <c r="R2516" s="4">
        <f t="shared" si="199"/>
        <v>0.30990000000000001</v>
      </c>
      <c r="S2516" s="2">
        <v>8</v>
      </c>
      <c r="T2516" t="s">
        <v>46</v>
      </c>
      <c r="U2516">
        <v>2</v>
      </c>
    </row>
    <row r="2517" spans="1:21" x14ac:dyDescent="0.25">
      <c r="A2517" s="1">
        <v>46175</v>
      </c>
      <c r="B2517" t="s">
        <v>2705</v>
      </c>
      <c r="C2517" t="s">
        <v>464</v>
      </c>
      <c r="D2517" t="s">
        <v>121</v>
      </c>
      <c r="E2517" t="s">
        <v>72</v>
      </c>
      <c r="F2517" t="s">
        <v>36</v>
      </c>
      <c r="G2517" t="s">
        <v>27</v>
      </c>
      <c r="H2517" t="s">
        <v>68</v>
      </c>
      <c r="I2517" t="s">
        <v>65</v>
      </c>
      <c r="J2517" s="2">
        <v>7</v>
      </c>
      <c r="K2517" s="3">
        <v>1333.47</v>
      </c>
      <c r="L2517" s="3">
        <v>821.43</v>
      </c>
      <c r="M2517" s="4">
        <v>0</v>
      </c>
      <c r="N2517" s="3">
        <f t="shared" si="195"/>
        <v>9334.2900000000009</v>
      </c>
      <c r="O2517" s="3">
        <f t="shared" si="196"/>
        <v>9334.2900000000009</v>
      </c>
      <c r="P2517" s="3">
        <f t="shared" si="197"/>
        <v>5750.01</v>
      </c>
      <c r="Q2517" s="3">
        <f t="shared" si="198"/>
        <v>3584.28</v>
      </c>
      <c r="R2517" s="4">
        <f t="shared" si="199"/>
        <v>0.38400000000000001</v>
      </c>
      <c r="S2517" s="2">
        <v>14</v>
      </c>
      <c r="T2517" t="s">
        <v>30</v>
      </c>
      <c r="U2517">
        <v>4</v>
      </c>
    </row>
    <row r="2518" spans="1:21" x14ac:dyDescent="0.25">
      <c r="A2518" s="1">
        <v>46190</v>
      </c>
      <c r="B2518" t="s">
        <v>2706</v>
      </c>
      <c r="C2518" t="s">
        <v>329</v>
      </c>
      <c r="D2518" t="s">
        <v>49</v>
      </c>
      <c r="E2518" t="s">
        <v>50</v>
      </c>
      <c r="F2518" t="s">
        <v>58</v>
      </c>
      <c r="G2518" t="s">
        <v>44</v>
      </c>
      <c r="H2518" t="s">
        <v>45</v>
      </c>
      <c r="I2518" t="s">
        <v>60</v>
      </c>
      <c r="J2518" s="2">
        <v>8</v>
      </c>
      <c r="K2518" s="3">
        <v>400.4</v>
      </c>
      <c r="L2518" s="3">
        <v>205.15</v>
      </c>
      <c r="M2518" s="4">
        <v>3.5000000000000003E-2</v>
      </c>
      <c r="N2518" s="3">
        <f t="shared" si="195"/>
        <v>3203.2</v>
      </c>
      <c r="O2518" s="3">
        <f t="shared" si="196"/>
        <v>3091.09</v>
      </c>
      <c r="P2518" s="3">
        <f t="shared" si="197"/>
        <v>1641.2</v>
      </c>
      <c r="Q2518" s="3">
        <f t="shared" si="198"/>
        <v>1449.89</v>
      </c>
      <c r="R2518" s="4">
        <f t="shared" si="199"/>
        <v>0.46910000000000002</v>
      </c>
      <c r="S2518" s="2">
        <v>8</v>
      </c>
      <c r="T2518" t="s">
        <v>46</v>
      </c>
      <c r="U2518">
        <v>5</v>
      </c>
    </row>
    <row r="2519" spans="1:21" x14ac:dyDescent="0.25">
      <c r="A2519" s="1">
        <v>46073</v>
      </c>
      <c r="B2519" t="s">
        <v>2707</v>
      </c>
      <c r="C2519" t="s">
        <v>433</v>
      </c>
      <c r="D2519" t="s">
        <v>130</v>
      </c>
      <c r="E2519" t="s">
        <v>72</v>
      </c>
      <c r="F2519" t="s">
        <v>36</v>
      </c>
      <c r="G2519" t="s">
        <v>27</v>
      </c>
      <c r="H2519" t="s">
        <v>68</v>
      </c>
      <c r="I2519" t="s">
        <v>92</v>
      </c>
      <c r="J2519" s="2">
        <v>2</v>
      </c>
      <c r="K2519" s="3">
        <v>1293.31</v>
      </c>
      <c r="L2519" s="3">
        <v>812.13</v>
      </c>
      <c r="M2519" s="4">
        <v>5.6000000000000001E-2</v>
      </c>
      <c r="N2519" s="3">
        <f t="shared" si="195"/>
        <v>2586.62</v>
      </c>
      <c r="O2519" s="3">
        <f t="shared" si="196"/>
        <v>2441.77</v>
      </c>
      <c r="P2519" s="3">
        <f t="shared" si="197"/>
        <v>1624.26</v>
      </c>
      <c r="Q2519" s="3">
        <f t="shared" si="198"/>
        <v>817.51</v>
      </c>
      <c r="R2519" s="4">
        <f t="shared" si="199"/>
        <v>0.33479999999999999</v>
      </c>
      <c r="S2519" s="2">
        <v>6</v>
      </c>
      <c r="T2519" t="s">
        <v>46</v>
      </c>
      <c r="U2519">
        <v>3</v>
      </c>
    </row>
    <row r="2520" spans="1:21" x14ac:dyDescent="0.25">
      <c r="A2520" s="1">
        <v>46045</v>
      </c>
      <c r="B2520" t="s">
        <v>2708</v>
      </c>
      <c r="C2520" t="s">
        <v>166</v>
      </c>
      <c r="D2520" t="s">
        <v>139</v>
      </c>
      <c r="E2520" t="s">
        <v>72</v>
      </c>
      <c r="F2520" t="s">
        <v>36</v>
      </c>
      <c r="G2520" t="s">
        <v>44</v>
      </c>
      <c r="H2520" t="s">
        <v>124</v>
      </c>
      <c r="I2520" t="s">
        <v>87</v>
      </c>
      <c r="J2520" s="2">
        <v>1</v>
      </c>
      <c r="K2520" s="3">
        <v>5702.18</v>
      </c>
      <c r="L2520" s="3">
        <v>4344</v>
      </c>
      <c r="M2520" s="4">
        <v>0.1132</v>
      </c>
      <c r="N2520" s="3">
        <f t="shared" si="195"/>
        <v>5702.18</v>
      </c>
      <c r="O2520" s="3">
        <f t="shared" si="196"/>
        <v>5056.6899999999996</v>
      </c>
      <c r="P2520" s="3">
        <f t="shared" si="197"/>
        <v>4344</v>
      </c>
      <c r="Q2520" s="3">
        <f t="shared" si="198"/>
        <v>712.69</v>
      </c>
      <c r="R2520" s="4">
        <f t="shared" si="199"/>
        <v>0.1409</v>
      </c>
      <c r="S2520" s="2">
        <v>6</v>
      </c>
      <c r="T2520" t="s">
        <v>46</v>
      </c>
      <c r="U2520">
        <v>2</v>
      </c>
    </row>
    <row r="2521" spans="1:21" x14ac:dyDescent="0.25">
      <c r="A2521" s="1">
        <v>46065</v>
      </c>
      <c r="B2521" t="s">
        <v>2709</v>
      </c>
      <c r="C2521" t="s">
        <v>67</v>
      </c>
      <c r="D2521" t="s">
        <v>56</v>
      </c>
      <c r="E2521" t="s">
        <v>57</v>
      </c>
      <c r="F2521" t="s">
        <v>36</v>
      </c>
      <c r="G2521" t="s">
        <v>44</v>
      </c>
      <c r="H2521" t="s">
        <v>73</v>
      </c>
      <c r="I2521" t="s">
        <v>74</v>
      </c>
      <c r="J2521" s="2">
        <v>3</v>
      </c>
      <c r="K2521" s="3">
        <v>1671.06</v>
      </c>
      <c r="L2521" s="3">
        <v>1069.03</v>
      </c>
      <c r="M2521" s="4">
        <v>8.09E-2</v>
      </c>
      <c r="N2521" s="3">
        <f t="shared" si="195"/>
        <v>5013.18</v>
      </c>
      <c r="O2521" s="3">
        <f t="shared" si="196"/>
        <v>4607.6099999999997</v>
      </c>
      <c r="P2521" s="3">
        <f t="shared" si="197"/>
        <v>3207.09</v>
      </c>
      <c r="Q2521" s="3">
        <f t="shared" si="198"/>
        <v>1400.52</v>
      </c>
      <c r="R2521" s="4">
        <f t="shared" si="199"/>
        <v>0.30399999999999999</v>
      </c>
      <c r="S2521" s="2">
        <v>10</v>
      </c>
      <c r="T2521" t="s">
        <v>46</v>
      </c>
      <c r="U2521">
        <v>2</v>
      </c>
    </row>
    <row r="2522" spans="1:21" x14ac:dyDescent="0.25">
      <c r="A2522" s="1">
        <v>46029</v>
      </c>
      <c r="B2522" t="s">
        <v>2710</v>
      </c>
      <c r="C2522" t="s">
        <v>55</v>
      </c>
      <c r="D2522" t="s">
        <v>101</v>
      </c>
      <c r="E2522" t="s">
        <v>35</v>
      </c>
      <c r="F2522" t="s">
        <v>36</v>
      </c>
      <c r="G2522" t="s">
        <v>51</v>
      </c>
      <c r="H2522" t="s">
        <v>52</v>
      </c>
      <c r="I2522" t="s">
        <v>39</v>
      </c>
      <c r="J2522" s="2">
        <v>3</v>
      </c>
      <c r="K2522" s="3">
        <v>244.7</v>
      </c>
      <c r="L2522" s="3">
        <v>114.34</v>
      </c>
      <c r="M2522" s="4">
        <v>0.1095</v>
      </c>
      <c r="N2522" s="3">
        <f t="shared" si="195"/>
        <v>734.1</v>
      </c>
      <c r="O2522" s="3">
        <f t="shared" si="196"/>
        <v>653.72</v>
      </c>
      <c r="P2522" s="3">
        <f t="shared" si="197"/>
        <v>343.02</v>
      </c>
      <c r="Q2522" s="3">
        <f t="shared" si="198"/>
        <v>310.7</v>
      </c>
      <c r="R2522" s="4">
        <f t="shared" si="199"/>
        <v>0.4753</v>
      </c>
      <c r="S2522" s="2">
        <v>7</v>
      </c>
      <c r="T2522" t="s">
        <v>46</v>
      </c>
      <c r="U2522">
        <v>2</v>
      </c>
    </row>
    <row r="2523" spans="1:21" x14ac:dyDescent="0.25">
      <c r="A2523" s="1">
        <v>46027</v>
      </c>
      <c r="B2523" t="s">
        <v>2711</v>
      </c>
      <c r="C2523" t="s">
        <v>195</v>
      </c>
      <c r="D2523" t="s">
        <v>49</v>
      </c>
      <c r="E2523" t="s">
        <v>50</v>
      </c>
      <c r="F2523" t="s">
        <v>64</v>
      </c>
      <c r="G2523" t="s">
        <v>51</v>
      </c>
      <c r="H2523" t="s">
        <v>52</v>
      </c>
      <c r="I2523" t="s">
        <v>87</v>
      </c>
      <c r="J2523" s="2">
        <v>4</v>
      </c>
      <c r="K2523" s="3">
        <v>260.39999999999998</v>
      </c>
      <c r="L2523" s="3">
        <v>120.59</v>
      </c>
      <c r="M2523" s="4">
        <v>0</v>
      </c>
      <c r="N2523" s="3">
        <f t="shared" si="195"/>
        <v>1041.5999999999999</v>
      </c>
      <c r="O2523" s="3">
        <f t="shared" si="196"/>
        <v>1041.5999999999999</v>
      </c>
      <c r="P2523" s="3">
        <f t="shared" si="197"/>
        <v>482.36</v>
      </c>
      <c r="Q2523" s="3">
        <f t="shared" si="198"/>
        <v>559.24</v>
      </c>
      <c r="R2523" s="4">
        <f t="shared" si="199"/>
        <v>0.53690000000000004</v>
      </c>
      <c r="S2523" s="2">
        <v>8</v>
      </c>
      <c r="T2523" t="s">
        <v>46</v>
      </c>
      <c r="U2523">
        <v>3</v>
      </c>
    </row>
    <row r="2524" spans="1:21" x14ac:dyDescent="0.25">
      <c r="A2524" s="1">
        <v>46070</v>
      </c>
      <c r="B2524" t="s">
        <v>2712</v>
      </c>
      <c r="C2524" t="s">
        <v>336</v>
      </c>
      <c r="D2524" t="s">
        <v>49</v>
      </c>
      <c r="E2524" t="s">
        <v>50</v>
      </c>
      <c r="F2524" t="s">
        <v>58</v>
      </c>
      <c r="G2524" t="s">
        <v>27</v>
      </c>
      <c r="H2524" t="s">
        <v>86</v>
      </c>
      <c r="I2524" t="s">
        <v>39</v>
      </c>
      <c r="J2524" s="2">
        <v>4</v>
      </c>
      <c r="K2524" s="3">
        <v>1785.29</v>
      </c>
      <c r="L2524" s="3">
        <v>1188.1500000000001</v>
      </c>
      <c r="M2524" s="4">
        <v>3.5000000000000003E-2</v>
      </c>
      <c r="N2524" s="3">
        <f t="shared" si="195"/>
        <v>7141.16</v>
      </c>
      <c r="O2524" s="3">
        <f t="shared" si="196"/>
        <v>6891.22</v>
      </c>
      <c r="P2524" s="3">
        <f t="shared" si="197"/>
        <v>4752.6000000000004</v>
      </c>
      <c r="Q2524" s="3">
        <f t="shared" si="198"/>
        <v>2138.62</v>
      </c>
      <c r="R2524" s="4">
        <f t="shared" si="199"/>
        <v>0.31030000000000002</v>
      </c>
      <c r="S2524" s="2">
        <v>5</v>
      </c>
      <c r="T2524" t="s">
        <v>46</v>
      </c>
      <c r="U2524">
        <v>5</v>
      </c>
    </row>
    <row r="2525" spans="1:21" x14ac:dyDescent="0.25">
      <c r="A2525" s="1">
        <v>46129</v>
      </c>
      <c r="B2525" t="s">
        <v>2713</v>
      </c>
      <c r="C2525" t="s">
        <v>214</v>
      </c>
      <c r="D2525" t="s">
        <v>63</v>
      </c>
      <c r="E2525" t="s">
        <v>35</v>
      </c>
      <c r="F2525" t="s">
        <v>36</v>
      </c>
      <c r="G2525" t="s">
        <v>37</v>
      </c>
      <c r="H2525" t="s">
        <v>38</v>
      </c>
      <c r="I2525" t="s">
        <v>74</v>
      </c>
      <c r="J2525" s="2">
        <v>5</v>
      </c>
      <c r="K2525" s="3">
        <v>404.39</v>
      </c>
      <c r="L2525" s="3">
        <v>186.14</v>
      </c>
      <c r="M2525" s="4">
        <v>0.12</v>
      </c>
      <c r="N2525" s="3">
        <f t="shared" si="195"/>
        <v>2021.95</v>
      </c>
      <c r="O2525" s="3">
        <f t="shared" si="196"/>
        <v>1779.32</v>
      </c>
      <c r="P2525" s="3">
        <f t="shared" si="197"/>
        <v>930.7</v>
      </c>
      <c r="Q2525" s="3">
        <f t="shared" si="198"/>
        <v>848.62</v>
      </c>
      <c r="R2525" s="4">
        <f t="shared" si="199"/>
        <v>0.47689999999999999</v>
      </c>
      <c r="S2525" s="2">
        <v>13</v>
      </c>
      <c r="T2525" t="s">
        <v>30</v>
      </c>
      <c r="U2525">
        <v>5</v>
      </c>
    </row>
    <row r="2526" spans="1:21" x14ac:dyDescent="0.25">
      <c r="A2526" s="1">
        <v>46207</v>
      </c>
      <c r="B2526" t="s">
        <v>2714</v>
      </c>
      <c r="C2526" t="s">
        <v>76</v>
      </c>
      <c r="D2526" t="s">
        <v>43</v>
      </c>
      <c r="E2526" t="s">
        <v>25</v>
      </c>
      <c r="F2526" t="s">
        <v>64</v>
      </c>
      <c r="G2526" t="s">
        <v>44</v>
      </c>
      <c r="H2526" t="s">
        <v>124</v>
      </c>
      <c r="I2526" t="s">
        <v>65</v>
      </c>
      <c r="J2526" s="2">
        <v>1</v>
      </c>
      <c r="K2526" s="3">
        <v>6089.91</v>
      </c>
      <c r="L2526" s="3">
        <v>4482.3500000000004</v>
      </c>
      <c r="M2526" s="4">
        <v>0</v>
      </c>
      <c r="N2526" s="3">
        <f t="shared" si="195"/>
        <v>6089.91</v>
      </c>
      <c r="O2526" s="3">
        <f t="shared" si="196"/>
        <v>6089.91</v>
      </c>
      <c r="P2526" s="3">
        <f t="shared" si="197"/>
        <v>4482.3500000000004</v>
      </c>
      <c r="Q2526" s="3">
        <f t="shared" si="198"/>
        <v>1607.56</v>
      </c>
      <c r="R2526" s="4">
        <f t="shared" si="199"/>
        <v>0.26400000000000001</v>
      </c>
      <c r="S2526" s="2">
        <v>12</v>
      </c>
      <c r="T2526" t="s">
        <v>30</v>
      </c>
      <c r="U2526">
        <v>4</v>
      </c>
    </row>
    <row r="2527" spans="1:21" x14ac:dyDescent="0.25">
      <c r="A2527" s="1">
        <v>46170</v>
      </c>
      <c r="B2527" t="s">
        <v>2715</v>
      </c>
      <c r="C2527" t="s">
        <v>55</v>
      </c>
      <c r="D2527" t="s">
        <v>63</v>
      </c>
      <c r="E2527" t="s">
        <v>35</v>
      </c>
      <c r="F2527" t="s">
        <v>26</v>
      </c>
      <c r="G2527" t="s">
        <v>51</v>
      </c>
      <c r="H2527" t="s">
        <v>52</v>
      </c>
      <c r="I2527" t="s">
        <v>94</v>
      </c>
      <c r="J2527" s="2">
        <v>3</v>
      </c>
      <c r="K2527" s="3">
        <v>263.45999999999998</v>
      </c>
      <c r="L2527" s="3">
        <v>119.08</v>
      </c>
      <c r="M2527" s="4">
        <v>6.2199999999999998E-2</v>
      </c>
      <c r="N2527" s="3">
        <f t="shared" si="195"/>
        <v>790.38</v>
      </c>
      <c r="O2527" s="3">
        <f t="shared" si="196"/>
        <v>741.22</v>
      </c>
      <c r="P2527" s="3">
        <f t="shared" si="197"/>
        <v>357.24</v>
      </c>
      <c r="Q2527" s="3">
        <f t="shared" si="198"/>
        <v>383.98</v>
      </c>
      <c r="R2527" s="4">
        <f t="shared" si="199"/>
        <v>0.51800000000000002</v>
      </c>
      <c r="S2527" s="2">
        <v>6</v>
      </c>
      <c r="T2527" t="s">
        <v>46</v>
      </c>
      <c r="U2527">
        <v>5</v>
      </c>
    </row>
    <row r="2528" spans="1:21" x14ac:dyDescent="0.25">
      <c r="A2528" s="1">
        <v>46173</v>
      </c>
      <c r="B2528" t="s">
        <v>2716</v>
      </c>
      <c r="C2528" t="s">
        <v>138</v>
      </c>
      <c r="D2528" t="s">
        <v>34</v>
      </c>
      <c r="E2528" t="s">
        <v>35</v>
      </c>
      <c r="F2528" t="s">
        <v>58</v>
      </c>
      <c r="G2528" t="s">
        <v>37</v>
      </c>
      <c r="H2528" t="s">
        <v>104</v>
      </c>
      <c r="I2528" t="s">
        <v>53</v>
      </c>
      <c r="J2528" s="2">
        <v>8</v>
      </c>
      <c r="K2528" s="3">
        <v>318.97000000000003</v>
      </c>
      <c r="L2528" s="3">
        <v>135.93</v>
      </c>
      <c r="M2528" s="4">
        <v>3.5000000000000003E-2</v>
      </c>
      <c r="N2528" s="3">
        <f t="shared" si="195"/>
        <v>2551.7600000000002</v>
      </c>
      <c r="O2528" s="3">
        <f t="shared" si="196"/>
        <v>2462.4499999999998</v>
      </c>
      <c r="P2528" s="3">
        <f t="shared" si="197"/>
        <v>1087.44</v>
      </c>
      <c r="Q2528" s="3">
        <f t="shared" si="198"/>
        <v>1375.01</v>
      </c>
      <c r="R2528" s="4">
        <f t="shared" si="199"/>
        <v>0.55840000000000001</v>
      </c>
      <c r="S2528" s="2">
        <v>3</v>
      </c>
      <c r="T2528" t="s">
        <v>46</v>
      </c>
      <c r="U2528">
        <v>5</v>
      </c>
    </row>
    <row r="2529" spans="1:22" x14ac:dyDescent="0.25">
      <c r="A2529" s="1">
        <v>46165</v>
      </c>
      <c r="B2529" t="s">
        <v>2717</v>
      </c>
      <c r="C2529" t="s">
        <v>132</v>
      </c>
      <c r="D2529" t="s">
        <v>113</v>
      </c>
      <c r="E2529" t="s">
        <v>50</v>
      </c>
      <c r="F2529" t="s">
        <v>58</v>
      </c>
      <c r="G2529" t="s">
        <v>51</v>
      </c>
      <c r="H2529" t="s">
        <v>52</v>
      </c>
      <c r="I2529" t="s">
        <v>77</v>
      </c>
      <c r="J2529" s="2">
        <v>7</v>
      </c>
      <c r="K2529" s="3">
        <v>255.21</v>
      </c>
      <c r="L2529" s="3">
        <v>120.95</v>
      </c>
      <c r="M2529" s="4">
        <v>3.5000000000000003E-2</v>
      </c>
      <c r="N2529" s="3">
        <f t="shared" si="195"/>
        <v>1786.47</v>
      </c>
      <c r="O2529" s="3">
        <f t="shared" si="196"/>
        <v>1723.94</v>
      </c>
      <c r="P2529" s="3">
        <f t="shared" si="197"/>
        <v>846.65</v>
      </c>
      <c r="Q2529" s="3">
        <f t="shared" si="198"/>
        <v>877.29</v>
      </c>
      <c r="R2529" s="4">
        <f t="shared" si="199"/>
        <v>0.50890000000000002</v>
      </c>
      <c r="S2529" s="2">
        <v>4</v>
      </c>
      <c r="T2529" t="s">
        <v>46</v>
      </c>
      <c r="U2529">
        <v>2</v>
      </c>
    </row>
    <row r="2530" spans="1:22" x14ac:dyDescent="0.25">
      <c r="A2530" s="1">
        <v>46073</v>
      </c>
      <c r="B2530" t="s">
        <v>2718</v>
      </c>
      <c r="C2530" t="s">
        <v>251</v>
      </c>
      <c r="D2530" t="s">
        <v>43</v>
      </c>
      <c r="E2530" t="s">
        <v>25</v>
      </c>
      <c r="F2530" t="s">
        <v>58</v>
      </c>
      <c r="G2530" t="s">
        <v>51</v>
      </c>
      <c r="H2530" t="s">
        <v>59</v>
      </c>
      <c r="I2530" t="s">
        <v>53</v>
      </c>
      <c r="J2530" s="2">
        <v>7</v>
      </c>
      <c r="K2530" s="3">
        <v>2067.7600000000002</v>
      </c>
      <c r="L2530" s="3">
        <v>1522.72</v>
      </c>
      <c r="M2530" s="4">
        <v>3.5000000000000003E-2</v>
      </c>
      <c r="N2530" s="3">
        <f t="shared" si="195"/>
        <v>14474.32</v>
      </c>
      <c r="O2530" s="3">
        <f t="shared" si="196"/>
        <v>13967.72</v>
      </c>
      <c r="P2530" s="3">
        <f t="shared" si="197"/>
        <v>10659.04</v>
      </c>
      <c r="Q2530" s="3">
        <f t="shared" si="198"/>
        <v>3308.68</v>
      </c>
      <c r="R2530" s="4">
        <f t="shared" si="199"/>
        <v>0.2369</v>
      </c>
      <c r="S2530" s="2">
        <v>4</v>
      </c>
      <c r="T2530" t="s">
        <v>46</v>
      </c>
      <c r="U2530">
        <v>2</v>
      </c>
    </row>
    <row r="2531" spans="1:22" x14ac:dyDescent="0.25">
      <c r="A2531" s="1">
        <v>46119</v>
      </c>
      <c r="B2531" t="s">
        <v>2719</v>
      </c>
      <c r="C2531" t="s">
        <v>378</v>
      </c>
      <c r="D2531" t="s">
        <v>24</v>
      </c>
      <c r="E2531" t="s">
        <v>25</v>
      </c>
      <c r="F2531" t="s">
        <v>64</v>
      </c>
      <c r="G2531" t="s">
        <v>44</v>
      </c>
      <c r="H2531" t="s">
        <v>45</v>
      </c>
      <c r="I2531" t="s">
        <v>29</v>
      </c>
      <c r="J2531" s="2">
        <v>7</v>
      </c>
      <c r="K2531" s="3">
        <v>384.16</v>
      </c>
      <c r="L2531" s="3">
        <v>223.19</v>
      </c>
      <c r="M2531" s="4">
        <v>4.5999999999999999E-3</v>
      </c>
      <c r="N2531" s="3">
        <f t="shared" si="195"/>
        <v>2689.12</v>
      </c>
      <c r="O2531" s="3">
        <f t="shared" si="196"/>
        <v>2676.75</v>
      </c>
      <c r="P2531" s="3">
        <f t="shared" si="197"/>
        <v>1562.33</v>
      </c>
      <c r="Q2531" s="3">
        <f t="shared" si="198"/>
        <v>1114.42</v>
      </c>
      <c r="R2531" s="4">
        <f t="shared" si="199"/>
        <v>0.4163</v>
      </c>
      <c r="S2531" s="2">
        <v>10</v>
      </c>
      <c r="T2531" t="s">
        <v>46</v>
      </c>
      <c r="U2531">
        <v>5</v>
      </c>
    </row>
    <row r="2532" spans="1:22" x14ac:dyDescent="0.25">
      <c r="A2532" s="1">
        <v>46049</v>
      </c>
      <c r="B2532" t="s">
        <v>2720</v>
      </c>
      <c r="C2532" t="s">
        <v>433</v>
      </c>
      <c r="D2532" t="s">
        <v>24</v>
      </c>
      <c r="E2532" t="s">
        <v>25</v>
      </c>
      <c r="F2532" t="s">
        <v>58</v>
      </c>
      <c r="G2532" t="s">
        <v>37</v>
      </c>
      <c r="H2532" t="s">
        <v>178</v>
      </c>
      <c r="I2532" t="s">
        <v>74</v>
      </c>
      <c r="J2532" s="2">
        <v>4</v>
      </c>
      <c r="K2532" s="3">
        <v>514.83000000000004</v>
      </c>
      <c r="L2532" s="3">
        <v>241.83</v>
      </c>
      <c r="M2532" s="4">
        <v>7.4899999999999994E-2</v>
      </c>
      <c r="N2532" s="3">
        <f t="shared" si="195"/>
        <v>2059.3200000000002</v>
      </c>
      <c r="O2532" s="3">
        <f t="shared" si="196"/>
        <v>1905.08</v>
      </c>
      <c r="P2532" s="3">
        <f t="shared" si="197"/>
        <v>967.32</v>
      </c>
      <c r="Q2532" s="3">
        <f t="shared" si="198"/>
        <v>937.76</v>
      </c>
      <c r="R2532" s="4">
        <f t="shared" si="199"/>
        <v>0.49220000000000003</v>
      </c>
      <c r="S2532" s="2">
        <v>9</v>
      </c>
      <c r="T2532" t="s">
        <v>46</v>
      </c>
      <c r="U2532">
        <v>3</v>
      </c>
    </row>
    <row r="2533" spans="1:22" x14ac:dyDescent="0.25">
      <c r="A2533" s="1">
        <v>46170</v>
      </c>
      <c r="B2533" t="s">
        <v>2721</v>
      </c>
      <c r="C2533" t="s">
        <v>476</v>
      </c>
      <c r="D2533" t="s">
        <v>63</v>
      </c>
      <c r="E2533" t="s">
        <v>35</v>
      </c>
      <c r="F2533" t="s">
        <v>26</v>
      </c>
      <c r="G2533" t="s">
        <v>27</v>
      </c>
      <c r="H2533" t="s">
        <v>68</v>
      </c>
      <c r="I2533" t="s">
        <v>29</v>
      </c>
      <c r="J2533" s="2">
        <v>6</v>
      </c>
      <c r="K2533" s="3">
        <v>1295.05</v>
      </c>
      <c r="L2533" s="3">
        <v>748.43</v>
      </c>
      <c r="M2533" s="4">
        <v>0</v>
      </c>
      <c r="N2533" s="3">
        <f t="shared" si="195"/>
        <v>7770.3</v>
      </c>
      <c r="O2533" s="3">
        <f t="shared" si="196"/>
        <v>7770.3</v>
      </c>
      <c r="P2533" s="3">
        <f t="shared" si="197"/>
        <v>4490.58</v>
      </c>
      <c r="Q2533" s="3">
        <f t="shared" si="198"/>
        <v>3279.72</v>
      </c>
      <c r="R2533" s="4">
        <f t="shared" si="199"/>
        <v>0.42209999999999998</v>
      </c>
      <c r="S2533" s="2">
        <v>13</v>
      </c>
      <c r="T2533" t="s">
        <v>30</v>
      </c>
      <c r="U2533">
        <v>4</v>
      </c>
    </row>
    <row r="2534" spans="1:22" x14ac:dyDescent="0.25">
      <c r="A2534" s="1">
        <v>46117</v>
      </c>
      <c r="B2534" t="s">
        <v>2722</v>
      </c>
      <c r="C2534" t="s">
        <v>271</v>
      </c>
      <c r="D2534" t="s">
        <v>34</v>
      </c>
      <c r="E2534" t="s">
        <v>35</v>
      </c>
      <c r="F2534" t="s">
        <v>64</v>
      </c>
      <c r="G2534" t="s">
        <v>37</v>
      </c>
      <c r="H2534" t="s">
        <v>178</v>
      </c>
      <c r="I2534" t="s">
        <v>87</v>
      </c>
      <c r="J2534" s="2">
        <v>2</v>
      </c>
      <c r="K2534" s="3">
        <v>503.01</v>
      </c>
      <c r="L2534" s="3">
        <v>535.54</v>
      </c>
      <c r="M2534" s="4">
        <v>0</v>
      </c>
      <c r="N2534" s="3">
        <f t="shared" si="195"/>
        <v>1006.02</v>
      </c>
      <c r="O2534" s="3">
        <f t="shared" si="196"/>
        <v>1006.02</v>
      </c>
      <c r="P2534" s="3">
        <f t="shared" si="197"/>
        <v>1071.08</v>
      </c>
      <c r="Q2534" s="3">
        <f t="shared" si="198"/>
        <v>-65.06</v>
      </c>
      <c r="R2534" s="4">
        <f t="shared" si="199"/>
        <v>-6.4699999999999994E-2</v>
      </c>
      <c r="S2534" s="2">
        <v>8</v>
      </c>
      <c r="T2534" t="s">
        <v>46</v>
      </c>
      <c r="U2534">
        <v>5</v>
      </c>
      <c r="V2534" t="s">
        <v>388</v>
      </c>
    </row>
    <row r="2535" spans="1:22" x14ac:dyDescent="0.25">
      <c r="A2535" s="1">
        <v>46170</v>
      </c>
      <c r="B2535" t="s">
        <v>2723</v>
      </c>
      <c r="C2535" t="s">
        <v>176</v>
      </c>
      <c r="D2535" t="s">
        <v>97</v>
      </c>
      <c r="E2535" t="s">
        <v>57</v>
      </c>
      <c r="F2535" t="s">
        <v>58</v>
      </c>
      <c r="G2535" t="s">
        <v>27</v>
      </c>
      <c r="H2535" t="s">
        <v>86</v>
      </c>
      <c r="I2535" t="s">
        <v>77</v>
      </c>
      <c r="J2535" s="2">
        <v>1</v>
      </c>
      <c r="K2535" s="3">
        <v>1922.94</v>
      </c>
      <c r="L2535" s="3">
        <v>1169.0899999999999</v>
      </c>
      <c r="M2535" s="4">
        <v>3.5000000000000003E-2</v>
      </c>
      <c r="N2535" s="3">
        <f t="shared" si="195"/>
        <v>1922.94</v>
      </c>
      <c r="O2535" s="3">
        <f t="shared" si="196"/>
        <v>1855.64</v>
      </c>
      <c r="P2535" s="3">
        <f t="shared" si="197"/>
        <v>1169.0899999999999</v>
      </c>
      <c r="Q2535" s="3">
        <f t="shared" si="198"/>
        <v>686.55</v>
      </c>
      <c r="R2535" s="4">
        <f t="shared" si="199"/>
        <v>0.37</v>
      </c>
      <c r="S2535" s="2">
        <v>5</v>
      </c>
      <c r="T2535" t="s">
        <v>46</v>
      </c>
      <c r="U2535">
        <v>3</v>
      </c>
    </row>
    <row r="2536" spans="1:22" x14ac:dyDescent="0.25">
      <c r="A2536" s="1">
        <v>46082</v>
      </c>
      <c r="B2536" t="s">
        <v>2724</v>
      </c>
      <c r="C2536" t="s">
        <v>108</v>
      </c>
      <c r="D2536" t="s">
        <v>63</v>
      </c>
      <c r="E2536" t="s">
        <v>35</v>
      </c>
      <c r="F2536" t="s">
        <v>26</v>
      </c>
      <c r="G2536" t="s">
        <v>44</v>
      </c>
      <c r="H2536" t="s">
        <v>45</v>
      </c>
      <c r="I2536" t="s">
        <v>29</v>
      </c>
      <c r="J2536" s="2">
        <v>1</v>
      </c>
      <c r="K2536" s="3">
        <v>387.56</v>
      </c>
      <c r="L2536" s="3">
        <v>215.91</v>
      </c>
      <c r="M2536" s="4">
        <v>0.1212</v>
      </c>
      <c r="N2536" s="3">
        <f t="shared" si="195"/>
        <v>387.56</v>
      </c>
      <c r="O2536" s="3">
        <f t="shared" si="196"/>
        <v>340.59</v>
      </c>
      <c r="P2536" s="3">
        <f t="shared" si="197"/>
        <v>215.91</v>
      </c>
      <c r="Q2536" s="3">
        <f t="shared" si="198"/>
        <v>124.68</v>
      </c>
      <c r="R2536" s="4">
        <f t="shared" si="199"/>
        <v>0.36609999999999998</v>
      </c>
      <c r="S2536" s="2">
        <v>14</v>
      </c>
      <c r="T2536" t="s">
        <v>30</v>
      </c>
      <c r="U2536">
        <v>3</v>
      </c>
    </row>
    <row r="2537" spans="1:22" x14ac:dyDescent="0.25">
      <c r="A2537" s="1">
        <v>46203</v>
      </c>
      <c r="B2537" t="s">
        <v>2725</v>
      </c>
      <c r="C2537" t="s">
        <v>560</v>
      </c>
      <c r="D2537" t="s">
        <v>34</v>
      </c>
      <c r="E2537" t="s">
        <v>35</v>
      </c>
      <c r="F2537" t="s">
        <v>26</v>
      </c>
      <c r="G2537" t="s">
        <v>27</v>
      </c>
      <c r="H2537" t="s">
        <v>28</v>
      </c>
      <c r="I2537" t="s">
        <v>74</v>
      </c>
      <c r="J2537" s="2">
        <v>6</v>
      </c>
      <c r="K2537" s="3">
        <v>748.45</v>
      </c>
      <c r="L2537" s="3">
        <v>458.58</v>
      </c>
      <c r="M2537" s="4">
        <v>6.3500000000000001E-2</v>
      </c>
      <c r="N2537" s="3">
        <f t="shared" si="195"/>
        <v>4490.7</v>
      </c>
      <c r="O2537" s="3">
        <f t="shared" si="196"/>
        <v>4205.54</v>
      </c>
      <c r="P2537" s="3">
        <f t="shared" si="197"/>
        <v>2751.48</v>
      </c>
      <c r="Q2537" s="3">
        <f t="shared" si="198"/>
        <v>1454.06</v>
      </c>
      <c r="R2537" s="4">
        <f t="shared" si="199"/>
        <v>0.34570000000000001</v>
      </c>
      <c r="S2537" s="2">
        <v>5</v>
      </c>
      <c r="T2537" t="s">
        <v>46</v>
      </c>
      <c r="U2537">
        <v>3</v>
      </c>
    </row>
    <row r="2538" spans="1:22" x14ac:dyDescent="0.25">
      <c r="A2538" s="1">
        <v>46174</v>
      </c>
      <c r="B2538" t="s">
        <v>2726</v>
      </c>
      <c r="C2538" t="s">
        <v>214</v>
      </c>
      <c r="D2538" t="s">
        <v>56</v>
      </c>
      <c r="E2538" t="s">
        <v>57</v>
      </c>
      <c r="F2538" t="s">
        <v>36</v>
      </c>
      <c r="G2538" t="s">
        <v>51</v>
      </c>
      <c r="H2538" t="s">
        <v>52</v>
      </c>
      <c r="I2538" t="s">
        <v>65</v>
      </c>
      <c r="J2538" s="2">
        <v>7</v>
      </c>
      <c r="K2538" s="3">
        <v>272.93</v>
      </c>
      <c r="L2538" s="3">
        <v>116.54</v>
      </c>
      <c r="M2538" s="4">
        <v>4.1500000000000002E-2</v>
      </c>
      <c r="N2538" s="3">
        <f t="shared" si="195"/>
        <v>1910.51</v>
      </c>
      <c r="O2538" s="3">
        <f t="shared" si="196"/>
        <v>1831.22</v>
      </c>
      <c r="P2538" s="3">
        <f t="shared" si="197"/>
        <v>815.78</v>
      </c>
      <c r="Q2538" s="3">
        <f t="shared" si="198"/>
        <v>1015.44</v>
      </c>
      <c r="R2538" s="4">
        <f t="shared" si="199"/>
        <v>0.55449999999999999</v>
      </c>
      <c r="S2538" s="2">
        <v>12</v>
      </c>
      <c r="T2538" t="s">
        <v>30</v>
      </c>
      <c r="U2538">
        <v>5</v>
      </c>
    </row>
    <row r="2539" spans="1:22" x14ac:dyDescent="0.25">
      <c r="A2539" s="1">
        <v>46159</v>
      </c>
      <c r="B2539" t="s">
        <v>2727</v>
      </c>
      <c r="C2539" t="s">
        <v>214</v>
      </c>
      <c r="D2539" t="s">
        <v>71</v>
      </c>
      <c r="E2539" t="s">
        <v>72</v>
      </c>
      <c r="F2539" t="s">
        <v>26</v>
      </c>
      <c r="G2539" t="s">
        <v>51</v>
      </c>
      <c r="H2539" t="s">
        <v>59</v>
      </c>
      <c r="I2539" t="s">
        <v>29</v>
      </c>
      <c r="J2539" s="2">
        <v>2</v>
      </c>
      <c r="K2539" s="3">
        <v>2140.34</v>
      </c>
      <c r="L2539" s="3">
        <v>1498.67</v>
      </c>
      <c r="M2539" s="4">
        <v>0</v>
      </c>
      <c r="N2539" s="3">
        <f t="shared" si="195"/>
        <v>4280.68</v>
      </c>
      <c r="O2539" s="3">
        <f t="shared" si="196"/>
        <v>4280.68</v>
      </c>
      <c r="P2539" s="3">
        <f t="shared" si="197"/>
        <v>2997.34</v>
      </c>
      <c r="Q2539" s="3">
        <f t="shared" si="198"/>
        <v>1283.3399999999999</v>
      </c>
      <c r="R2539" s="4">
        <f t="shared" si="199"/>
        <v>0.29980000000000001</v>
      </c>
      <c r="S2539" s="2">
        <v>12</v>
      </c>
      <c r="T2539" t="s">
        <v>30</v>
      </c>
      <c r="U2539">
        <v>4</v>
      </c>
    </row>
    <row r="2540" spans="1:22" x14ac:dyDescent="0.25">
      <c r="A2540" s="1">
        <v>46032</v>
      </c>
      <c r="B2540" t="s">
        <v>2728</v>
      </c>
      <c r="C2540" t="s">
        <v>480</v>
      </c>
      <c r="D2540" t="s">
        <v>101</v>
      </c>
      <c r="E2540" t="s">
        <v>35</v>
      </c>
      <c r="F2540" t="s">
        <v>36</v>
      </c>
      <c r="G2540" t="s">
        <v>44</v>
      </c>
      <c r="H2540" t="s">
        <v>124</v>
      </c>
      <c r="I2540" t="s">
        <v>65</v>
      </c>
      <c r="J2540" s="2">
        <v>2</v>
      </c>
      <c r="K2540" s="3">
        <v>5658.29</v>
      </c>
      <c r="L2540" s="3">
        <v>4242.08</v>
      </c>
      <c r="M2540" s="4">
        <v>0.1203</v>
      </c>
      <c r="N2540" s="3">
        <f t="shared" si="195"/>
        <v>11316.58</v>
      </c>
      <c r="O2540" s="3">
        <f t="shared" si="196"/>
        <v>9955.2000000000007</v>
      </c>
      <c r="P2540" s="3">
        <f t="shared" si="197"/>
        <v>8484.16</v>
      </c>
      <c r="Q2540" s="3">
        <f t="shared" si="198"/>
        <v>1471.04</v>
      </c>
      <c r="R2540" s="4">
        <f t="shared" si="199"/>
        <v>0.14779999999999999</v>
      </c>
      <c r="S2540" s="2">
        <v>13</v>
      </c>
      <c r="T2540" t="s">
        <v>30</v>
      </c>
      <c r="U2540">
        <v>4</v>
      </c>
    </row>
    <row r="2541" spans="1:22" x14ac:dyDescent="0.25">
      <c r="A2541" s="1">
        <v>46178</v>
      </c>
      <c r="B2541" t="s">
        <v>2729</v>
      </c>
      <c r="C2541" t="s">
        <v>136</v>
      </c>
      <c r="D2541" t="s">
        <v>207</v>
      </c>
      <c r="E2541" t="s">
        <v>35</v>
      </c>
      <c r="F2541" t="s">
        <v>36</v>
      </c>
      <c r="G2541" t="s">
        <v>37</v>
      </c>
      <c r="H2541" t="s">
        <v>38</v>
      </c>
      <c r="I2541" t="s">
        <v>65</v>
      </c>
      <c r="J2541" s="2">
        <v>7</v>
      </c>
      <c r="K2541" s="3">
        <v>425.78</v>
      </c>
      <c r="L2541" s="3">
        <v>185.88</v>
      </c>
      <c r="M2541" s="4">
        <v>0</v>
      </c>
      <c r="N2541" s="3">
        <f t="shared" si="195"/>
        <v>2980.46</v>
      </c>
      <c r="O2541" s="3">
        <f t="shared" si="196"/>
        <v>2980.46</v>
      </c>
      <c r="P2541" s="3">
        <f t="shared" si="197"/>
        <v>1301.1600000000001</v>
      </c>
      <c r="Q2541" s="3">
        <f t="shared" si="198"/>
        <v>1679.3</v>
      </c>
      <c r="R2541" s="4">
        <f t="shared" si="199"/>
        <v>0.56340000000000001</v>
      </c>
      <c r="S2541" s="2">
        <v>9</v>
      </c>
      <c r="T2541" t="s">
        <v>46</v>
      </c>
      <c r="U2541">
        <v>2</v>
      </c>
    </row>
    <row r="2542" spans="1:22" x14ac:dyDescent="0.25">
      <c r="A2542" s="1">
        <v>46223</v>
      </c>
      <c r="B2542" t="s">
        <v>2730</v>
      </c>
      <c r="C2542" t="s">
        <v>138</v>
      </c>
      <c r="D2542" t="s">
        <v>139</v>
      </c>
      <c r="E2542" t="s">
        <v>72</v>
      </c>
      <c r="F2542" t="s">
        <v>36</v>
      </c>
      <c r="G2542" t="s">
        <v>51</v>
      </c>
      <c r="H2542" t="s">
        <v>59</v>
      </c>
      <c r="I2542" t="s">
        <v>39</v>
      </c>
      <c r="J2542" s="2">
        <v>1</v>
      </c>
      <c r="K2542" s="3">
        <v>2306.8000000000002</v>
      </c>
      <c r="L2542" s="3">
        <v>1403.21</v>
      </c>
      <c r="M2542" s="4">
        <v>0</v>
      </c>
      <c r="N2542" s="3">
        <f t="shared" si="195"/>
        <v>2306.8000000000002</v>
      </c>
      <c r="O2542" s="3">
        <f t="shared" si="196"/>
        <v>2306.8000000000002</v>
      </c>
      <c r="P2542" s="3">
        <f t="shared" si="197"/>
        <v>1403.21</v>
      </c>
      <c r="Q2542" s="3">
        <f t="shared" si="198"/>
        <v>903.59</v>
      </c>
      <c r="R2542" s="4">
        <f t="shared" si="199"/>
        <v>0.39169999999999999</v>
      </c>
      <c r="S2542" s="2">
        <v>13</v>
      </c>
      <c r="T2542" t="s">
        <v>30</v>
      </c>
      <c r="U2542">
        <v>2</v>
      </c>
    </row>
    <row r="2543" spans="1:22" x14ac:dyDescent="0.25">
      <c r="A2543" s="1">
        <v>46219</v>
      </c>
      <c r="B2543" t="s">
        <v>2731</v>
      </c>
      <c r="C2543" t="s">
        <v>106</v>
      </c>
      <c r="D2543" t="s">
        <v>63</v>
      </c>
      <c r="E2543" t="s">
        <v>35</v>
      </c>
      <c r="F2543" t="s">
        <v>36</v>
      </c>
      <c r="G2543" t="s">
        <v>44</v>
      </c>
      <c r="H2543" t="s">
        <v>73</v>
      </c>
      <c r="I2543" t="s">
        <v>87</v>
      </c>
      <c r="J2543" s="2">
        <v>4</v>
      </c>
      <c r="K2543" s="3">
        <v>1629.1</v>
      </c>
      <c r="L2543" s="3">
        <v>1124.73</v>
      </c>
      <c r="M2543" s="4">
        <v>8.14E-2</v>
      </c>
      <c r="N2543" s="3">
        <f t="shared" si="195"/>
        <v>6516.4</v>
      </c>
      <c r="O2543" s="3">
        <f t="shared" si="196"/>
        <v>5985.97</v>
      </c>
      <c r="P2543" s="3">
        <f t="shared" si="197"/>
        <v>4498.92</v>
      </c>
      <c r="Q2543" s="3">
        <f t="shared" si="198"/>
        <v>1487.05</v>
      </c>
      <c r="R2543" s="4">
        <f t="shared" si="199"/>
        <v>0.24840000000000001</v>
      </c>
      <c r="S2543" s="2">
        <v>14</v>
      </c>
      <c r="T2543" t="s">
        <v>30</v>
      </c>
      <c r="U2543">
        <v>3</v>
      </c>
    </row>
    <row r="2544" spans="1:22" x14ac:dyDescent="0.25">
      <c r="A2544" s="1">
        <v>46212</v>
      </c>
      <c r="B2544" t="s">
        <v>2732</v>
      </c>
      <c r="C2544" t="s">
        <v>527</v>
      </c>
      <c r="D2544" t="s">
        <v>97</v>
      </c>
      <c r="E2544" t="s">
        <v>57</v>
      </c>
      <c r="F2544" t="s">
        <v>64</v>
      </c>
      <c r="G2544" t="s">
        <v>51</v>
      </c>
      <c r="H2544" t="s">
        <v>116</v>
      </c>
      <c r="I2544" t="s">
        <v>74</v>
      </c>
      <c r="J2544" s="2">
        <v>4</v>
      </c>
      <c r="K2544" s="3">
        <v>2794.49</v>
      </c>
      <c r="L2544" s="3">
        <v>1820.59</v>
      </c>
      <c r="M2544" s="4">
        <v>0</v>
      </c>
      <c r="N2544" s="3">
        <f t="shared" si="195"/>
        <v>11177.96</v>
      </c>
      <c r="O2544" s="3">
        <f t="shared" si="196"/>
        <v>11177.96</v>
      </c>
      <c r="P2544" s="3">
        <f t="shared" si="197"/>
        <v>7282.36</v>
      </c>
      <c r="Q2544" s="3">
        <f t="shared" si="198"/>
        <v>3895.6</v>
      </c>
      <c r="R2544" s="4">
        <f t="shared" si="199"/>
        <v>0.34849999999999998</v>
      </c>
      <c r="S2544" s="2">
        <v>14</v>
      </c>
      <c r="T2544" t="s">
        <v>30</v>
      </c>
      <c r="U2544">
        <v>2</v>
      </c>
    </row>
    <row r="2545" spans="1:22" x14ac:dyDescent="0.25">
      <c r="A2545" s="1">
        <v>46078</v>
      </c>
      <c r="B2545" t="s">
        <v>2733</v>
      </c>
      <c r="C2545" t="s">
        <v>216</v>
      </c>
      <c r="D2545" t="s">
        <v>43</v>
      </c>
      <c r="E2545" t="s">
        <v>25</v>
      </c>
      <c r="F2545" t="s">
        <v>26</v>
      </c>
      <c r="G2545" t="s">
        <v>37</v>
      </c>
      <c r="H2545" t="s">
        <v>104</v>
      </c>
      <c r="I2545" t="s">
        <v>29</v>
      </c>
      <c r="J2545" s="2">
        <v>1</v>
      </c>
      <c r="K2545" s="3">
        <v>338.33</v>
      </c>
      <c r="L2545" s="3">
        <v>136.62</v>
      </c>
      <c r="M2545" s="4">
        <v>4.6899999999999997E-2</v>
      </c>
      <c r="N2545" s="3">
        <f t="shared" si="195"/>
        <v>338.33</v>
      </c>
      <c r="O2545" s="3">
        <f t="shared" si="196"/>
        <v>322.45999999999998</v>
      </c>
      <c r="P2545" s="3">
        <f t="shared" si="197"/>
        <v>136.62</v>
      </c>
      <c r="Q2545" s="3">
        <f t="shared" si="198"/>
        <v>185.84</v>
      </c>
      <c r="R2545" s="4">
        <f t="shared" si="199"/>
        <v>0.57630000000000003</v>
      </c>
      <c r="S2545" s="2">
        <v>9</v>
      </c>
      <c r="T2545" t="s">
        <v>46</v>
      </c>
      <c r="U2545">
        <v>4</v>
      </c>
    </row>
    <row r="2546" spans="1:22" x14ac:dyDescent="0.25">
      <c r="A2546" s="1">
        <v>46023</v>
      </c>
      <c r="B2546" t="s">
        <v>2734</v>
      </c>
      <c r="C2546" t="s">
        <v>315</v>
      </c>
      <c r="D2546" t="s">
        <v>24</v>
      </c>
      <c r="E2546" t="s">
        <v>25</v>
      </c>
      <c r="F2546" t="s">
        <v>26</v>
      </c>
      <c r="G2546" t="s">
        <v>44</v>
      </c>
      <c r="H2546" t="s">
        <v>124</v>
      </c>
      <c r="I2546" t="s">
        <v>77</v>
      </c>
      <c r="J2546" s="2">
        <v>3</v>
      </c>
      <c r="K2546" s="3">
        <v>6088.72</v>
      </c>
      <c r="L2546" s="3">
        <v>4345.74</v>
      </c>
      <c r="M2546" s="4">
        <v>0</v>
      </c>
      <c r="N2546" s="3">
        <f t="shared" si="195"/>
        <v>18266.16</v>
      </c>
      <c r="O2546" s="3">
        <f t="shared" si="196"/>
        <v>18266.16</v>
      </c>
      <c r="P2546" s="3">
        <f t="shared" si="197"/>
        <v>13037.22</v>
      </c>
      <c r="Q2546" s="3">
        <f t="shared" si="198"/>
        <v>5228.9399999999996</v>
      </c>
      <c r="R2546" s="4">
        <f t="shared" si="199"/>
        <v>0.2863</v>
      </c>
      <c r="S2546" s="2">
        <v>12</v>
      </c>
      <c r="T2546" t="s">
        <v>30</v>
      </c>
      <c r="U2546">
        <v>3</v>
      </c>
    </row>
    <row r="2547" spans="1:22" x14ac:dyDescent="0.25">
      <c r="A2547" s="1">
        <v>46127</v>
      </c>
      <c r="B2547" t="s">
        <v>2735</v>
      </c>
      <c r="C2547" t="s">
        <v>201</v>
      </c>
      <c r="D2547" t="s">
        <v>207</v>
      </c>
      <c r="E2547" t="s">
        <v>35</v>
      </c>
      <c r="F2547" t="s">
        <v>64</v>
      </c>
      <c r="G2547" t="s">
        <v>37</v>
      </c>
      <c r="H2547" t="s">
        <v>178</v>
      </c>
      <c r="I2547" t="s">
        <v>74</v>
      </c>
      <c r="J2547" s="2">
        <v>6</v>
      </c>
      <c r="K2547" s="3">
        <v>487.42</v>
      </c>
      <c r="L2547" s="3">
        <v>233.09</v>
      </c>
      <c r="M2547" s="4">
        <v>4.41E-2</v>
      </c>
      <c r="N2547" s="3">
        <f t="shared" si="195"/>
        <v>2924.52</v>
      </c>
      <c r="O2547" s="3">
        <f t="shared" si="196"/>
        <v>2795.55</v>
      </c>
      <c r="P2547" s="3">
        <f t="shared" si="197"/>
        <v>1398.54</v>
      </c>
      <c r="Q2547" s="3">
        <f t="shared" si="198"/>
        <v>1397.01</v>
      </c>
      <c r="R2547" s="4">
        <f t="shared" si="199"/>
        <v>0.49969999999999998</v>
      </c>
      <c r="S2547" s="2">
        <v>3</v>
      </c>
      <c r="T2547" t="s">
        <v>46</v>
      </c>
      <c r="U2547">
        <v>2</v>
      </c>
    </row>
    <row r="2548" spans="1:22" x14ac:dyDescent="0.25">
      <c r="A2548" s="1">
        <v>46067</v>
      </c>
      <c r="B2548" t="s">
        <v>2736</v>
      </c>
      <c r="C2548" t="s">
        <v>198</v>
      </c>
      <c r="D2548" t="s">
        <v>113</v>
      </c>
      <c r="E2548" t="s">
        <v>50</v>
      </c>
      <c r="F2548" t="s">
        <v>58</v>
      </c>
      <c r="G2548" t="s">
        <v>44</v>
      </c>
      <c r="H2548" t="s">
        <v>73</v>
      </c>
      <c r="I2548" t="s">
        <v>87</v>
      </c>
      <c r="J2548" s="2">
        <v>5</v>
      </c>
      <c r="K2548" s="3">
        <v>1636.68</v>
      </c>
      <c r="L2548" s="3">
        <v>1081.1600000000001</v>
      </c>
      <c r="M2548" s="4">
        <v>3.5000000000000003E-2</v>
      </c>
      <c r="N2548" s="3">
        <f t="shared" si="195"/>
        <v>8183.4</v>
      </c>
      <c r="O2548" s="3">
        <f t="shared" si="196"/>
        <v>7896.98</v>
      </c>
      <c r="P2548" s="3">
        <f t="shared" si="197"/>
        <v>5405.8</v>
      </c>
      <c r="Q2548" s="3">
        <f t="shared" si="198"/>
        <v>2491.1799999999998</v>
      </c>
      <c r="R2548" s="4">
        <f t="shared" si="199"/>
        <v>0.3155</v>
      </c>
      <c r="S2548" s="2">
        <v>8</v>
      </c>
      <c r="T2548" t="s">
        <v>46</v>
      </c>
      <c r="U2548">
        <v>3</v>
      </c>
    </row>
    <row r="2549" spans="1:22" x14ac:dyDescent="0.25">
      <c r="A2549" s="1">
        <v>46182</v>
      </c>
      <c r="B2549" t="s">
        <v>2737</v>
      </c>
      <c r="C2549" t="s">
        <v>79</v>
      </c>
      <c r="D2549" t="s">
        <v>101</v>
      </c>
      <c r="E2549" t="s">
        <v>35</v>
      </c>
      <c r="F2549" t="s">
        <v>36</v>
      </c>
      <c r="G2549" t="s">
        <v>37</v>
      </c>
      <c r="H2549" t="s">
        <v>104</v>
      </c>
      <c r="I2549" t="s">
        <v>74</v>
      </c>
      <c r="J2549" s="2">
        <v>7</v>
      </c>
      <c r="K2549" s="3">
        <v>310.89</v>
      </c>
      <c r="L2549" s="3">
        <v>137.62</v>
      </c>
      <c r="M2549" s="4">
        <v>0</v>
      </c>
      <c r="N2549" s="3">
        <f t="shared" si="195"/>
        <v>2176.23</v>
      </c>
      <c r="O2549" s="3">
        <f t="shared" si="196"/>
        <v>2176.23</v>
      </c>
      <c r="P2549" s="3">
        <f t="shared" si="197"/>
        <v>963.34</v>
      </c>
      <c r="Q2549" s="3">
        <f t="shared" si="198"/>
        <v>1212.8900000000001</v>
      </c>
      <c r="R2549" s="4">
        <f t="shared" si="199"/>
        <v>0.55730000000000002</v>
      </c>
      <c r="S2549" s="2">
        <v>9</v>
      </c>
      <c r="T2549" t="s">
        <v>46</v>
      </c>
      <c r="U2549">
        <v>4</v>
      </c>
    </row>
    <row r="2550" spans="1:22" x14ac:dyDescent="0.25">
      <c r="A2550" s="1">
        <v>46224</v>
      </c>
      <c r="B2550" t="s">
        <v>2738</v>
      </c>
      <c r="C2550" t="s">
        <v>150</v>
      </c>
      <c r="D2550" t="s">
        <v>101</v>
      </c>
      <c r="E2550" t="s">
        <v>35</v>
      </c>
      <c r="F2550" t="s">
        <v>36</v>
      </c>
      <c r="G2550" t="s">
        <v>37</v>
      </c>
      <c r="H2550" t="s">
        <v>104</v>
      </c>
      <c r="I2550" t="s">
        <v>74</v>
      </c>
      <c r="J2550" s="2">
        <v>7</v>
      </c>
      <c r="K2550" s="3">
        <v>324.7</v>
      </c>
      <c r="L2550" s="3">
        <v>136.16999999999999</v>
      </c>
      <c r="M2550" s="4">
        <v>0.1174</v>
      </c>
      <c r="N2550" s="3">
        <f t="shared" si="195"/>
        <v>2272.9</v>
      </c>
      <c r="O2550" s="3">
        <f t="shared" si="196"/>
        <v>2006.06</v>
      </c>
      <c r="P2550" s="3">
        <f t="shared" si="197"/>
        <v>953.19</v>
      </c>
      <c r="Q2550" s="3">
        <f t="shared" si="198"/>
        <v>1052.8699999999999</v>
      </c>
      <c r="R2550" s="4">
        <f t="shared" si="199"/>
        <v>0.52480000000000004</v>
      </c>
      <c r="S2550" s="2">
        <v>2</v>
      </c>
      <c r="T2550" t="s">
        <v>46</v>
      </c>
      <c r="U2550">
        <v>2</v>
      </c>
    </row>
    <row r="2551" spans="1:22" x14ac:dyDescent="0.25">
      <c r="A2551" s="1">
        <v>46138</v>
      </c>
      <c r="B2551" t="s">
        <v>2739</v>
      </c>
      <c r="C2551" t="s">
        <v>590</v>
      </c>
      <c r="D2551" t="s">
        <v>24</v>
      </c>
      <c r="E2551" t="s">
        <v>25</v>
      </c>
      <c r="F2551" t="s">
        <v>58</v>
      </c>
      <c r="G2551" t="s">
        <v>44</v>
      </c>
      <c r="H2551" t="s">
        <v>124</v>
      </c>
      <c r="I2551" t="s">
        <v>87</v>
      </c>
      <c r="J2551" s="2">
        <v>4</v>
      </c>
      <c r="K2551" s="3">
        <v>5652.62</v>
      </c>
      <c r="L2551" s="3">
        <v>4485.24</v>
      </c>
      <c r="M2551" s="4">
        <v>0.14660000000000001</v>
      </c>
      <c r="N2551" s="3">
        <f t="shared" si="195"/>
        <v>22610.48</v>
      </c>
      <c r="O2551" s="3">
        <f t="shared" si="196"/>
        <v>19295.78</v>
      </c>
      <c r="P2551" s="3">
        <f t="shared" si="197"/>
        <v>17940.96</v>
      </c>
      <c r="Q2551" s="3">
        <f t="shared" si="198"/>
        <v>1354.82</v>
      </c>
      <c r="R2551" s="4">
        <f t="shared" si="199"/>
        <v>7.0199999999999999E-2</v>
      </c>
      <c r="S2551" s="2">
        <v>4</v>
      </c>
      <c r="T2551" t="s">
        <v>46</v>
      </c>
      <c r="U2551">
        <v>5</v>
      </c>
    </row>
    <row r="2552" spans="1:22" x14ac:dyDescent="0.25">
      <c r="A2552" s="1">
        <v>46200</v>
      </c>
      <c r="B2552" t="s">
        <v>2740</v>
      </c>
      <c r="C2552" t="s">
        <v>218</v>
      </c>
      <c r="D2552" t="s">
        <v>97</v>
      </c>
      <c r="E2552" t="s">
        <v>57</v>
      </c>
      <c r="F2552" t="s">
        <v>26</v>
      </c>
      <c r="G2552" t="s">
        <v>51</v>
      </c>
      <c r="H2552" t="s">
        <v>116</v>
      </c>
      <c r="I2552" t="s">
        <v>74</v>
      </c>
      <c r="J2552" s="2">
        <v>1</v>
      </c>
      <c r="K2552" s="3">
        <v>2769.52</v>
      </c>
      <c r="L2552" s="3">
        <v>1744.67</v>
      </c>
      <c r="M2552" s="4">
        <v>0.12909999999999999</v>
      </c>
      <c r="N2552" s="3">
        <f t="shared" si="195"/>
        <v>2769.52</v>
      </c>
      <c r="O2552" s="3">
        <f t="shared" si="196"/>
        <v>2411.9699999999998</v>
      </c>
      <c r="P2552" s="3">
        <f t="shared" si="197"/>
        <v>1744.67</v>
      </c>
      <c r="Q2552" s="3">
        <f t="shared" si="198"/>
        <v>667.3</v>
      </c>
      <c r="R2552" s="4">
        <f t="shared" si="199"/>
        <v>0.2767</v>
      </c>
      <c r="S2552" s="2">
        <v>12</v>
      </c>
      <c r="T2552" t="s">
        <v>30</v>
      </c>
      <c r="U2552">
        <v>5</v>
      </c>
    </row>
    <row r="2553" spans="1:22" x14ac:dyDescent="0.25">
      <c r="A2553" s="1">
        <v>46046</v>
      </c>
      <c r="B2553" t="s">
        <v>2741</v>
      </c>
      <c r="C2553" t="s">
        <v>560</v>
      </c>
      <c r="D2553" t="s">
        <v>130</v>
      </c>
      <c r="E2553" t="s">
        <v>72</v>
      </c>
      <c r="F2553" t="s">
        <v>64</v>
      </c>
      <c r="G2553" t="s">
        <v>44</v>
      </c>
      <c r="H2553" t="s">
        <v>73</v>
      </c>
      <c r="I2553" t="s">
        <v>39</v>
      </c>
      <c r="J2553" s="2">
        <v>3</v>
      </c>
      <c r="K2553" s="3">
        <v>1646.77</v>
      </c>
      <c r="L2553" s="3">
        <v>1166.33</v>
      </c>
      <c r="M2553" s="4">
        <v>0.1162</v>
      </c>
      <c r="N2553" s="3">
        <f t="shared" si="195"/>
        <v>4940.3100000000004</v>
      </c>
      <c r="O2553" s="3">
        <f t="shared" si="196"/>
        <v>4366.25</v>
      </c>
      <c r="P2553" s="3">
        <f t="shared" si="197"/>
        <v>3498.99</v>
      </c>
      <c r="Q2553" s="3">
        <f t="shared" si="198"/>
        <v>867.26</v>
      </c>
      <c r="R2553" s="4">
        <f t="shared" si="199"/>
        <v>0.1986</v>
      </c>
      <c r="S2553" s="2">
        <v>10</v>
      </c>
      <c r="T2553" t="s">
        <v>46</v>
      </c>
      <c r="U2553">
        <v>4</v>
      </c>
    </row>
    <row r="2554" spans="1:22" x14ac:dyDescent="0.25">
      <c r="A2554" s="1">
        <v>46170</v>
      </c>
      <c r="B2554" t="s">
        <v>2742</v>
      </c>
      <c r="C2554" t="s">
        <v>226</v>
      </c>
      <c r="D2554" t="s">
        <v>85</v>
      </c>
      <c r="E2554" t="s">
        <v>50</v>
      </c>
      <c r="F2554" t="s">
        <v>26</v>
      </c>
      <c r="G2554" t="s">
        <v>27</v>
      </c>
      <c r="H2554" t="s">
        <v>68</v>
      </c>
      <c r="I2554" t="s">
        <v>60</v>
      </c>
      <c r="J2554" s="2">
        <v>2</v>
      </c>
      <c r="K2554" s="3">
        <v>1344.63</v>
      </c>
      <c r="L2554" s="3">
        <v>766.31</v>
      </c>
      <c r="M2554" s="4">
        <v>0</v>
      </c>
      <c r="N2554" s="3">
        <f t="shared" si="195"/>
        <v>2689.26</v>
      </c>
      <c r="O2554" s="3">
        <f t="shared" si="196"/>
        <v>2689.26</v>
      </c>
      <c r="P2554" s="3">
        <f t="shared" si="197"/>
        <v>1532.62</v>
      </c>
      <c r="Q2554" s="3">
        <f t="shared" si="198"/>
        <v>1156.6400000000001</v>
      </c>
      <c r="R2554" s="4">
        <f t="shared" si="199"/>
        <v>0.43009999999999998</v>
      </c>
      <c r="S2554" s="2">
        <v>7</v>
      </c>
      <c r="T2554" t="s">
        <v>46</v>
      </c>
      <c r="U2554">
        <v>2</v>
      </c>
    </row>
    <row r="2555" spans="1:22" x14ac:dyDescent="0.25">
      <c r="A2555" s="1">
        <v>46203</v>
      </c>
      <c r="B2555" t="s">
        <v>2743</v>
      </c>
      <c r="C2555" t="s">
        <v>103</v>
      </c>
      <c r="D2555" t="s">
        <v>85</v>
      </c>
      <c r="E2555" t="s">
        <v>50</v>
      </c>
      <c r="F2555" t="s">
        <v>64</v>
      </c>
      <c r="G2555" t="s">
        <v>37</v>
      </c>
      <c r="H2555" t="s">
        <v>38</v>
      </c>
      <c r="I2555" t="s">
        <v>77</v>
      </c>
      <c r="J2555" s="2">
        <v>1</v>
      </c>
      <c r="K2555" s="3">
        <v>427.69</v>
      </c>
      <c r="L2555" s="3">
        <v>184.25</v>
      </c>
      <c r="M2555" s="4">
        <v>3.4799999999999998E-2</v>
      </c>
      <c r="N2555" s="3">
        <f t="shared" si="195"/>
        <v>427.69</v>
      </c>
      <c r="O2555" s="3">
        <f t="shared" si="196"/>
        <v>412.81</v>
      </c>
      <c r="P2555" s="3">
        <f t="shared" si="197"/>
        <v>184.25</v>
      </c>
      <c r="Q2555" s="3">
        <f t="shared" si="198"/>
        <v>228.56</v>
      </c>
      <c r="R2555" s="4">
        <f t="shared" si="199"/>
        <v>0.55369999999999997</v>
      </c>
      <c r="S2555" s="2">
        <v>4</v>
      </c>
      <c r="T2555" t="s">
        <v>46</v>
      </c>
      <c r="U2555">
        <v>4</v>
      </c>
    </row>
    <row r="2556" spans="1:22" x14ac:dyDescent="0.25">
      <c r="A2556" s="1">
        <v>46139</v>
      </c>
      <c r="B2556" t="s">
        <v>2744</v>
      </c>
      <c r="C2556" t="s">
        <v>247</v>
      </c>
      <c r="D2556" t="s">
        <v>113</v>
      </c>
      <c r="E2556" t="s">
        <v>50</v>
      </c>
      <c r="F2556" t="s">
        <v>26</v>
      </c>
      <c r="G2556" t="s">
        <v>44</v>
      </c>
      <c r="H2556" t="s">
        <v>124</v>
      </c>
      <c r="I2556" t="s">
        <v>92</v>
      </c>
      <c r="J2556" s="2">
        <v>3</v>
      </c>
      <c r="K2556" s="3">
        <v>5763.44</v>
      </c>
      <c r="L2556" s="3">
        <v>4289.78</v>
      </c>
      <c r="M2556" s="4">
        <v>0</v>
      </c>
      <c r="N2556" s="3">
        <f t="shared" si="195"/>
        <v>17290.32</v>
      </c>
      <c r="O2556" s="3">
        <f t="shared" si="196"/>
        <v>17290.32</v>
      </c>
      <c r="P2556" s="3">
        <f t="shared" si="197"/>
        <v>12869.34</v>
      </c>
      <c r="Q2556" s="3">
        <f t="shared" si="198"/>
        <v>4420.9799999999996</v>
      </c>
      <c r="R2556" s="4">
        <f t="shared" si="199"/>
        <v>0.25569999999999998</v>
      </c>
      <c r="S2556" s="2">
        <v>13</v>
      </c>
      <c r="T2556" t="s">
        <v>30</v>
      </c>
      <c r="U2556">
        <v>3</v>
      </c>
    </row>
    <row r="2557" spans="1:22" x14ac:dyDescent="0.25">
      <c r="A2557" s="1">
        <v>46160</v>
      </c>
      <c r="B2557" t="s">
        <v>2745</v>
      </c>
      <c r="C2557" t="s">
        <v>206</v>
      </c>
      <c r="D2557" t="s">
        <v>101</v>
      </c>
      <c r="E2557" t="s">
        <v>35</v>
      </c>
      <c r="F2557" t="s">
        <v>64</v>
      </c>
      <c r="G2557" t="s">
        <v>37</v>
      </c>
      <c r="H2557" t="s">
        <v>178</v>
      </c>
      <c r="I2557" t="s">
        <v>92</v>
      </c>
      <c r="J2557" s="2">
        <v>1</v>
      </c>
      <c r="K2557" s="3">
        <v>485.45</v>
      </c>
      <c r="L2557" s="3">
        <v>241.52</v>
      </c>
      <c r="M2557" s="4">
        <v>2.4899999999999999E-2</v>
      </c>
      <c r="N2557" s="3">
        <f t="shared" si="195"/>
        <v>485.45</v>
      </c>
      <c r="O2557" s="3">
        <f t="shared" si="196"/>
        <v>473.36</v>
      </c>
      <c r="P2557" s="3">
        <f t="shared" si="197"/>
        <v>241.52</v>
      </c>
      <c r="Q2557" s="3">
        <f t="shared" si="198"/>
        <v>231.84</v>
      </c>
      <c r="R2557" s="4">
        <f t="shared" si="199"/>
        <v>0.48980000000000001</v>
      </c>
      <c r="S2557" s="2">
        <v>18</v>
      </c>
      <c r="T2557" t="s">
        <v>30</v>
      </c>
      <c r="U2557">
        <v>1</v>
      </c>
      <c r="V2557" t="s">
        <v>208</v>
      </c>
    </row>
    <row r="2558" spans="1:22" x14ac:dyDescent="0.25">
      <c r="A2558" s="1">
        <v>46199</v>
      </c>
      <c r="B2558" t="s">
        <v>2746</v>
      </c>
      <c r="C2558" t="s">
        <v>195</v>
      </c>
      <c r="D2558" t="s">
        <v>85</v>
      </c>
      <c r="E2558" t="s">
        <v>50</v>
      </c>
      <c r="F2558" t="s">
        <v>64</v>
      </c>
      <c r="G2558" t="s">
        <v>37</v>
      </c>
      <c r="H2558" t="s">
        <v>178</v>
      </c>
      <c r="I2558" t="s">
        <v>29</v>
      </c>
      <c r="J2558" s="2">
        <v>7</v>
      </c>
      <c r="K2558" s="3">
        <v>499.38</v>
      </c>
      <c r="L2558" s="3">
        <v>242.97</v>
      </c>
      <c r="M2558" s="4">
        <v>0</v>
      </c>
      <c r="N2558" s="3">
        <f t="shared" si="195"/>
        <v>3495.66</v>
      </c>
      <c r="O2558" s="3">
        <f t="shared" si="196"/>
        <v>3495.66</v>
      </c>
      <c r="P2558" s="3">
        <f t="shared" si="197"/>
        <v>1700.79</v>
      </c>
      <c r="Q2558" s="3">
        <f t="shared" si="198"/>
        <v>1794.87</v>
      </c>
      <c r="R2558" s="4">
        <f t="shared" si="199"/>
        <v>0.51349999999999996</v>
      </c>
      <c r="S2558" s="2">
        <v>3</v>
      </c>
      <c r="T2558" t="s">
        <v>46</v>
      </c>
      <c r="U2558">
        <v>3</v>
      </c>
    </row>
    <row r="2559" spans="1:22" x14ac:dyDescent="0.25">
      <c r="A2559" s="1">
        <v>46219</v>
      </c>
      <c r="B2559" t="s">
        <v>2747</v>
      </c>
      <c r="C2559" t="s">
        <v>220</v>
      </c>
      <c r="D2559" t="s">
        <v>101</v>
      </c>
      <c r="E2559" t="s">
        <v>35</v>
      </c>
      <c r="F2559" t="s">
        <v>26</v>
      </c>
      <c r="G2559" t="s">
        <v>44</v>
      </c>
      <c r="H2559" t="s">
        <v>73</v>
      </c>
      <c r="I2559" t="s">
        <v>29</v>
      </c>
      <c r="J2559" s="2">
        <v>5</v>
      </c>
      <c r="K2559" s="3">
        <v>1763.76</v>
      </c>
      <c r="L2559" s="3">
        <v>1111.82</v>
      </c>
      <c r="M2559" s="4">
        <v>9.9599999999999994E-2</v>
      </c>
      <c r="N2559" s="3">
        <f t="shared" si="195"/>
        <v>8818.7999999999993</v>
      </c>
      <c r="O2559" s="3">
        <f t="shared" si="196"/>
        <v>7940.45</v>
      </c>
      <c r="P2559" s="3">
        <f t="shared" si="197"/>
        <v>5559.1</v>
      </c>
      <c r="Q2559" s="3">
        <f t="shared" si="198"/>
        <v>2381.35</v>
      </c>
      <c r="R2559" s="4">
        <f t="shared" si="199"/>
        <v>0.2999</v>
      </c>
      <c r="S2559" s="2">
        <v>8</v>
      </c>
      <c r="T2559" t="s">
        <v>46</v>
      </c>
      <c r="U2559">
        <v>3</v>
      </c>
    </row>
    <row r="2560" spans="1:22" x14ac:dyDescent="0.25">
      <c r="A2560" s="1">
        <v>46159</v>
      </c>
      <c r="B2560" t="s">
        <v>2748</v>
      </c>
      <c r="C2560" t="s">
        <v>164</v>
      </c>
      <c r="D2560" t="s">
        <v>85</v>
      </c>
      <c r="E2560" t="s">
        <v>50</v>
      </c>
      <c r="F2560" t="s">
        <v>64</v>
      </c>
      <c r="G2560" t="s">
        <v>37</v>
      </c>
      <c r="H2560" t="s">
        <v>38</v>
      </c>
      <c r="I2560" t="s">
        <v>65</v>
      </c>
      <c r="J2560" s="2">
        <v>5</v>
      </c>
      <c r="K2560" s="3">
        <v>420.18</v>
      </c>
      <c r="L2560" s="3">
        <v>191.49</v>
      </c>
      <c r="M2560" s="4">
        <v>0</v>
      </c>
      <c r="N2560" s="3">
        <f t="shared" si="195"/>
        <v>2100.9</v>
      </c>
      <c r="O2560" s="3">
        <f t="shared" si="196"/>
        <v>2100.9</v>
      </c>
      <c r="P2560" s="3">
        <f t="shared" si="197"/>
        <v>957.45</v>
      </c>
      <c r="Q2560" s="3">
        <f t="shared" si="198"/>
        <v>1143.45</v>
      </c>
      <c r="R2560" s="4">
        <f t="shared" si="199"/>
        <v>0.54430000000000001</v>
      </c>
      <c r="S2560" s="2">
        <v>13</v>
      </c>
      <c r="T2560" t="s">
        <v>30</v>
      </c>
      <c r="U2560">
        <v>3</v>
      </c>
    </row>
    <row r="2561" spans="1:22" x14ac:dyDescent="0.25">
      <c r="A2561" s="1">
        <v>46066</v>
      </c>
      <c r="B2561" t="s">
        <v>2749</v>
      </c>
      <c r="C2561" t="s">
        <v>162</v>
      </c>
      <c r="D2561" t="s">
        <v>63</v>
      </c>
      <c r="E2561" t="s">
        <v>35</v>
      </c>
      <c r="F2561" t="s">
        <v>26</v>
      </c>
      <c r="G2561" t="s">
        <v>44</v>
      </c>
      <c r="H2561" t="s">
        <v>124</v>
      </c>
      <c r="I2561" t="s">
        <v>29</v>
      </c>
      <c r="J2561" s="2">
        <v>3</v>
      </c>
      <c r="K2561" s="3">
        <v>5745.31</v>
      </c>
      <c r="L2561" s="3">
        <v>4221.92</v>
      </c>
      <c r="M2561" s="4">
        <v>0</v>
      </c>
      <c r="N2561" s="3">
        <f t="shared" si="195"/>
        <v>17235.93</v>
      </c>
      <c r="O2561" s="3">
        <f t="shared" si="196"/>
        <v>17235.93</v>
      </c>
      <c r="P2561" s="3">
        <f t="shared" si="197"/>
        <v>12665.76</v>
      </c>
      <c r="Q2561" s="3">
        <f t="shared" si="198"/>
        <v>4570.17</v>
      </c>
      <c r="R2561" s="4">
        <f t="shared" si="199"/>
        <v>0.26519999999999999</v>
      </c>
      <c r="S2561" s="2">
        <v>5</v>
      </c>
      <c r="T2561" t="s">
        <v>46</v>
      </c>
      <c r="U2561">
        <v>2</v>
      </c>
    </row>
    <row r="2562" spans="1:22" x14ac:dyDescent="0.25">
      <c r="A2562" s="1">
        <v>46039</v>
      </c>
      <c r="B2562" t="s">
        <v>2750</v>
      </c>
      <c r="C2562" t="s">
        <v>48</v>
      </c>
      <c r="D2562" t="s">
        <v>130</v>
      </c>
      <c r="E2562" t="s">
        <v>72</v>
      </c>
      <c r="F2562" t="s">
        <v>36</v>
      </c>
      <c r="G2562" t="s">
        <v>27</v>
      </c>
      <c r="H2562" t="s">
        <v>68</v>
      </c>
      <c r="I2562" t="s">
        <v>87</v>
      </c>
      <c r="J2562" s="2">
        <v>3</v>
      </c>
      <c r="K2562" s="3">
        <v>1289.0999999999999</v>
      </c>
      <c r="L2562" s="3">
        <v>808.52</v>
      </c>
      <c r="M2562" s="4">
        <v>0</v>
      </c>
      <c r="N2562" s="3">
        <f t="shared" ref="N2562:N2625" si="200">ROUND(J2562*K2562,2)</f>
        <v>3867.3</v>
      </c>
      <c r="O2562" s="3">
        <f t="shared" ref="O2562:O2625" si="201">ROUND(N2562*(1-M2562),2)</f>
        <v>3867.3</v>
      </c>
      <c r="P2562" s="3">
        <f t="shared" ref="P2562:P2625" si="202">ROUND(J2562*L2562,2)</f>
        <v>2425.56</v>
      </c>
      <c r="Q2562" s="3">
        <f t="shared" ref="Q2562:Q2625" si="203">ROUND(O2562-P2562,2)</f>
        <v>1441.74</v>
      </c>
      <c r="R2562" s="4">
        <f t="shared" ref="R2562:R2625" si="204">IF(O2562=0,0,ROUND(Q2562/O2562,4))</f>
        <v>0.37280000000000002</v>
      </c>
      <c r="S2562" s="2">
        <v>5</v>
      </c>
      <c r="T2562" t="s">
        <v>46</v>
      </c>
      <c r="U2562">
        <v>4</v>
      </c>
    </row>
    <row r="2563" spans="1:22" x14ac:dyDescent="0.25">
      <c r="A2563" s="1">
        <v>46206</v>
      </c>
      <c r="B2563" t="s">
        <v>2751</v>
      </c>
      <c r="C2563" t="s">
        <v>378</v>
      </c>
      <c r="D2563" t="s">
        <v>113</v>
      </c>
      <c r="E2563" t="s">
        <v>50</v>
      </c>
      <c r="F2563" t="s">
        <v>64</v>
      </c>
      <c r="G2563" t="s">
        <v>44</v>
      </c>
      <c r="H2563" t="s">
        <v>45</v>
      </c>
      <c r="I2563" t="s">
        <v>92</v>
      </c>
      <c r="J2563" s="2">
        <v>4</v>
      </c>
      <c r="K2563" s="3">
        <v>394.03</v>
      </c>
      <c r="L2563" s="3">
        <v>203.13</v>
      </c>
      <c r="M2563" s="4">
        <v>0.4178</v>
      </c>
      <c r="N2563" s="3">
        <f t="shared" si="200"/>
        <v>1576.12</v>
      </c>
      <c r="O2563" s="3">
        <f t="shared" si="201"/>
        <v>917.62</v>
      </c>
      <c r="P2563" s="3">
        <f t="shared" si="202"/>
        <v>812.52</v>
      </c>
      <c r="Q2563" s="3">
        <f t="shared" si="203"/>
        <v>105.1</v>
      </c>
      <c r="R2563" s="4">
        <f t="shared" si="204"/>
        <v>0.1145</v>
      </c>
      <c r="S2563" s="2">
        <v>12</v>
      </c>
      <c r="T2563" t="s">
        <v>30</v>
      </c>
      <c r="U2563">
        <v>4</v>
      </c>
      <c r="V2563" t="s">
        <v>31</v>
      </c>
    </row>
    <row r="2564" spans="1:22" x14ac:dyDescent="0.25">
      <c r="A2564" s="1">
        <v>46042</v>
      </c>
      <c r="B2564" t="s">
        <v>2752</v>
      </c>
      <c r="C2564" t="s">
        <v>243</v>
      </c>
      <c r="D2564" t="s">
        <v>56</v>
      </c>
      <c r="E2564" t="s">
        <v>57</v>
      </c>
      <c r="F2564" t="s">
        <v>36</v>
      </c>
      <c r="G2564" t="s">
        <v>37</v>
      </c>
      <c r="H2564" t="s">
        <v>178</v>
      </c>
      <c r="I2564" t="s">
        <v>60</v>
      </c>
      <c r="J2564" s="2">
        <v>3</v>
      </c>
      <c r="K2564" s="3">
        <v>504.71</v>
      </c>
      <c r="L2564" s="3">
        <v>241.15</v>
      </c>
      <c r="M2564" s="4">
        <v>3.3599999999999998E-2</v>
      </c>
      <c r="N2564" s="3">
        <f t="shared" si="200"/>
        <v>1514.13</v>
      </c>
      <c r="O2564" s="3">
        <f t="shared" si="201"/>
        <v>1463.26</v>
      </c>
      <c r="P2564" s="3">
        <f t="shared" si="202"/>
        <v>723.45</v>
      </c>
      <c r="Q2564" s="3">
        <f t="shared" si="203"/>
        <v>739.81</v>
      </c>
      <c r="R2564" s="4">
        <f t="shared" si="204"/>
        <v>0.50560000000000005</v>
      </c>
      <c r="S2564" s="2">
        <v>11</v>
      </c>
      <c r="T2564" t="s">
        <v>30</v>
      </c>
      <c r="U2564">
        <v>5</v>
      </c>
    </row>
    <row r="2565" spans="1:22" x14ac:dyDescent="0.25">
      <c r="A2565" s="1">
        <v>46120</v>
      </c>
      <c r="B2565" t="s">
        <v>2753</v>
      </c>
      <c r="C2565" t="s">
        <v>146</v>
      </c>
      <c r="D2565" t="s">
        <v>56</v>
      </c>
      <c r="E2565" t="s">
        <v>57</v>
      </c>
      <c r="F2565" t="s">
        <v>64</v>
      </c>
      <c r="G2565" t="s">
        <v>37</v>
      </c>
      <c r="H2565" t="s">
        <v>104</v>
      </c>
      <c r="I2565" t="s">
        <v>53</v>
      </c>
      <c r="J2565" s="2">
        <v>6</v>
      </c>
      <c r="K2565" s="3">
        <v>333.06</v>
      </c>
      <c r="L2565" s="3">
        <v>135.29</v>
      </c>
      <c r="M2565" s="4">
        <v>0</v>
      </c>
      <c r="N2565" s="3">
        <f t="shared" si="200"/>
        <v>1998.36</v>
      </c>
      <c r="O2565" s="3">
        <f t="shared" si="201"/>
        <v>1998.36</v>
      </c>
      <c r="P2565" s="3">
        <f t="shared" si="202"/>
        <v>811.74</v>
      </c>
      <c r="Q2565" s="3">
        <f t="shared" si="203"/>
        <v>1186.6199999999999</v>
      </c>
      <c r="R2565" s="4">
        <f t="shared" si="204"/>
        <v>0.59379999999999999</v>
      </c>
      <c r="S2565" s="2">
        <v>6</v>
      </c>
      <c r="T2565" t="s">
        <v>46</v>
      </c>
      <c r="U2565">
        <v>4</v>
      </c>
    </row>
    <row r="2566" spans="1:22" x14ac:dyDescent="0.25">
      <c r="A2566" s="1">
        <v>46188</v>
      </c>
      <c r="B2566" t="s">
        <v>2754</v>
      </c>
      <c r="C2566" t="s">
        <v>153</v>
      </c>
      <c r="D2566" t="s">
        <v>121</v>
      </c>
      <c r="E2566" t="s">
        <v>72</v>
      </c>
      <c r="F2566" t="s">
        <v>36</v>
      </c>
      <c r="G2566" t="s">
        <v>37</v>
      </c>
      <c r="H2566" t="s">
        <v>178</v>
      </c>
      <c r="I2566" t="s">
        <v>53</v>
      </c>
      <c r="J2566" s="2">
        <v>8</v>
      </c>
      <c r="K2566" s="3">
        <v>525.23</v>
      </c>
      <c r="L2566" s="3">
        <v>252.35</v>
      </c>
      <c r="M2566" s="4">
        <v>4.7600000000000003E-2</v>
      </c>
      <c r="N2566" s="3">
        <f t="shared" si="200"/>
        <v>4201.84</v>
      </c>
      <c r="O2566" s="3">
        <f t="shared" si="201"/>
        <v>4001.83</v>
      </c>
      <c r="P2566" s="3">
        <f t="shared" si="202"/>
        <v>2018.8</v>
      </c>
      <c r="Q2566" s="3">
        <f t="shared" si="203"/>
        <v>1983.03</v>
      </c>
      <c r="R2566" s="4">
        <f t="shared" si="204"/>
        <v>0.4955</v>
      </c>
      <c r="S2566" s="2">
        <v>4</v>
      </c>
      <c r="T2566" t="s">
        <v>46</v>
      </c>
      <c r="U2566">
        <v>2</v>
      </c>
    </row>
    <row r="2567" spans="1:22" x14ac:dyDescent="0.25">
      <c r="A2567" s="1">
        <v>46032</v>
      </c>
      <c r="B2567" t="s">
        <v>2755</v>
      </c>
      <c r="C2567" t="s">
        <v>514</v>
      </c>
      <c r="D2567" t="s">
        <v>63</v>
      </c>
      <c r="E2567" t="s">
        <v>35</v>
      </c>
      <c r="F2567" t="s">
        <v>26</v>
      </c>
      <c r="G2567" t="s">
        <v>27</v>
      </c>
      <c r="H2567" t="s">
        <v>68</v>
      </c>
      <c r="I2567" t="s">
        <v>94</v>
      </c>
      <c r="J2567" s="2">
        <v>5</v>
      </c>
      <c r="K2567" s="3">
        <v>1274.4100000000001</v>
      </c>
      <c r="L2567" s="3">
        <v>769.18</v>
      </c>
      <c r="M2567" s="4">
        <v>0</v>
      </c>
      <c r="N2567" s="3">
        <f t="shared" si="200"/>
        <v>6372.05</v>
      </c>
      <c r="O2567" s="3">
        <f t="shared" si="201"/>
        <v>6372.05</v>
      </c>
      <c r="P2567" s="3">
        <f t="shared" si="202"/>
        <v>3845.9</v>
      </c>
      <c r="Q2567" s="3">
        <f t="shared" si="203"/>
        <v>2526.15</v>
      </c>
      <c r="R2567" s="4">
        <f t="shared" si="204"/>
        <v>0.39639999999999997</v>
      </c>
      <c r="S2567" s="2">
        <v>7</v>
      </c>
      <c r="T2567" t="s">
        <v>46</v>
      </c>
      <c r="U2567">
        <v>3</v>
      </c>
    </row>
    <row r="2568" spans="1:22" x14ac:dyDescent="0.25">
      <c r="A2568" s="1">
        <v>46078</v>
      </c>
      <c r="B2568" t="s">
        <v>2756</v>
      </c>
      <c r="C2568" t="s">
        <v>195</v>
      </c>
      <c r="D2568" t="s">
        <v>113</v>
      </c>
      <c r="E2568" t="s">
        <v>50</v>
      </c>
      <c r="F2568" t="s">
        <v>58</v>
      </c>
      <c r="G2568" t="s">
        <v>27</v>
      </c>
      <c r="H2568" t="s">
        <v>86</v>
      </c>
      <c r="I2568" t="s">
        <v>65</v>
      </c>
      <c r="J2568" s="2">
        <v>7</v>
      </c>
      <c r="K2568" s="3">
        <v>1866.55</v>
      </c>
      <c r="L2568" s="3">
        <v>1211.42</v>
      </c>
      <c r="M2568" s="4">
        <v>3.5000000000000003E-2</v>
      </c>
      <c r="N2568" s="3">
        <f t="shared" si="200"/>
        <v>13065.85</v>
      </c>
      <c r="O2568" s="3">
        <f t="shared" si="201"/>
        <v>12608.55</v>
      </c>
      <c r="P2568" s="3">
        <f t="shared" si="202"/>
        <v>8479.94</v>
      </c>
      <c r="Q2568" s="3">
        <f t="shared" si="203"/>
        <v>4128.6099999999997</v>
      </c>
      <c r="R2568" s="4">
        <f t="shared" si="204"/>
        <v>0.32740000000000002</v>
      </c>
      <c r="S2568" s="2">
        <v>4</v>
      </c>
      <c r="T2568" t="s">
        <v>46</v>
      </c>
      <c r="U2568">
        <v>4</v>
      </c>
    </row>
    <row r="2569" spans="1:22" x14ac:dyDescent="0.25">
      <c r="A2569" s="1">
        <v>46167</v>
      </c>
      <c r="B2569" t="s">
        <v>2757</v>
      </c>
      <c r="C2569" t="s">
        <v>150</v>
      </c>
      <c r="D2569" t="s">
        <v>207</v>
      </c>
      <c r="E2569" t="s">
        <v>35</v>
      </c>
      <c r="F2569" t="s">
        <v>36</v>
      </c>
      <c r="G2569" t="s">
        <v>27</v>
      </c>
      <c r="H2569" t="s">
        <v>86</v>
      </c>
      <c r="I2569" t="s">
        <v>39</v>
      </c>
      <c r="J2569" s="2">
        <v>1</v>
      </c>
      <c r="K2569" s="3">
        <v>1842.65</v>
      </c>
      <c r="L2569" s="3">
        <v>1205.76</v>
      </c>
      <c r="M2569" s="4">
        <v>2.3400000000000001E-2</v>
      </c>
      <c r="N2569" s="3">
        <f t="shared" si="200"/>
        <v>1842.65</v>
      </c>
      <c r="O2569" s="3">
        <f t="shared" si="201"/>
        <v>1799.53</v>
      </c>
      <c r="P2569" s="3">
        <f t="shared" si="202"/>
        <v>1205.76</v>
      </c>
      <c r="Q2569" s="3">
        <f t="shared" si="203"/>
        <v>593.77</v>
      </c>
      <c r="R2569" s="4">
        <f t="shared" si="204"/>
        <v>0.33</v>
      </c>
      <c r="S2569" s="2">
        <v>2</v>
      </c>
      <c r="T2569" t="s">
        <v>46</v>
      </c>
      <c r="U2569">
        <v>2</v>
      </c>
    </row>
    <row r="2570" spans="1:22" x14ac:dyDescent="0.25">
      <c r="A2570" s="1">
        <v>46137</v>
      </c>
      <c r="B2570" t="s">
        <v>2758</v>
      </c>
      <c r="C2570" t="s">
        <v>182</v>
      </c>
      <c r="D2570" t="s">
        <v>130</v>
      </c>
      <c r="E2570" t="s">
        <v>72</v>
      </c>
      <c r="F2570" t="s">
        <v>36</v>
      </c>
      <c r="G2570" t="s">
        <v>51</v>
      </c>
      <c r="H2570" t="s">
        <v>59</v>
      </c>
      <c r="I2570" t="s">
        <v>60</v>
      </c>
      <c r="J2570" s="2">
        <v>2</v>
      </c>
      <c r="K2570" s="3">
        <v>2075.52</v>
      </c>
      <c r="L2570" s="3">
        <v>1447.43</v>
      </c>
      <c r="M2570" s="4">
        <v>0</v>
      </c>
      <c r="N2570" s="3">
        <f t="shared" si="200"/>
        <v>4151.04</v>
      </c>
      <c r="O2570" s="3">
        <f t="shared" si="201"/>
        <v>4151.04</v>
      </c>
      <c r="P2570" s="3">
        <f t="shared" si="202"/>
        <v>2894.86</v>
      </c>
      <c r="Q2570" s="3">
        <f t="shared" si="203"/>
        <v>1256.18</v>
      </c>
      <c r="R2570" s="4">
        <f t="shared" si="204"/>
        <v>0.30259999999999998</v>
      </c>
      <c r="S2570" s="2">
        <v>7</v>
      </c>
      <c r="T2570" t="s">
        <v>46</v>
      </c>
      <c r="U2570">
        <v>2</v>
      </c>
    </row>
    <row r="2571" spans="1:22" x14ac:dyDescent="0.25">
      <c r="A2571" s="1">
        <v>46202</v>
      </c>
      <c r="B2571" t="s">
        <v>2759</v>
      </c>
      <c r="C2571" t="s">
        <v>331</v>
      </c>
      <c r="D2571" t="s">
        <v>49</v>
      </c>
      <c r="E2571" t="s">
        <v>50</v>
      </c>
      <c r="F2571" t="s">
        <v>64</v>
      </c>
      <c r="G2571" t="s">
        <v>44</v>
      </c>
      <c r="H2571" t="s">
        <v>73</v>
      </c>
      <c r="I2571" t="s">
        <v>39</v>
      </c>
      <c r="J2571" s="2">
        <v>6</v>
      </c>
      <c r="K2571" s="3">
        <v>1718.39</v>
      </c>
      <c r="L2571" s="3">
        <v>1047.67</v>
      </c>
      <c r="M2571" s="4">
        <v>0.1027</v>
      </c>
      <c r="N2571" s="3">
        <f t="shared" si="200"/>
        <v>10310.34</v>
      </c>
      <c r="O2571" s="3">
        <f t="shared" si="201"/>
        <v>9251.4699999999993</v>
      </c>
      <c r="P2571" s="3">
        <f t="shared" si="202"/>
        <v>6286.02</v>
      </c>
      <c r="Q2571" s="3">
        <f t="shared" si="203"/>
        <v>2965.45</v>
      </c>
      <c r="R2571" s="4">
        <f t="shared" si="204"/>
        <v>0.32050000000000001</v>
      </c>
      <c r="S2571" s="2">
        <v>5</v>
      </c>
      <c r="T2571" t="s">
        <v>46</v>
      </c>
      <c r="U2571">
        <v>2</v>
      </c>
    </row>
    <row r="2572" spans="1:22" x14ac:dyDescent="0.25">
      <c r="A2572" s="1">
        <v>46057</v>
      </c>
      <c r="B2572" t="s">
        <v>2760</v>
      </c>
      <c r="C2572" t="s">
        <v>118</v>
      </c>
      <c r="D2572" t="s">
        <v>56</v>
      </c>
      <c r="E2572" t="s">
        <v>57</v>
      </c>
      <c r="F2572" t="s">
        <v>36</v>
      </c>
      <c r="G2572" t="s">
        <v>44</v>
      </c>
      <c r="H2572" t="s">
        <v>45</v>
      </c>
      <c r="I2572" t="s">
        <v>94</v>
      </c>
      <c r="J2572" s="2">
        <v>3</v>
      </c>
      <c r="K2572" s="3">
        <v>392.95</v>
      </c>
      <c r="L2572" s="3">
        <v>205.4</v>
      </c>
      <c r="M2572" s="4">
        <v>0</v>
      </c>
      <c r="N2572" s="3">
        <f t="shared" si="200"/>
        <v>1178.8499999999999</v>
      </c>
      <c r="O2572" s="3">
        <f t="shared" si="201"/>
        <v>1178.8499999999999</v>
      </c>
      <c r="P2572" s="3">
        <f t="shared" si="202"/>
        <v>616.20000000000005</v>
      </c>
      <c r="Q2572" s="3">
        <f t="shared" si="203"/>
        <v>562.65</v>
      </c>
      <c r="R2572" s="4">
        <f t="shared" si="204"/>
        <v>0.4773</v>
      </c>
      <c r="S2572" s="2">
        <v>8</v>
      </c>
      <c r="T2572" t="s">
        <v>46</v>
      </c>
      <c r="U2572">
        <v>2</v>
      </c>
    </row>
    <row r="2573" spans="1:22" x14ac:dyDescent="0.25">
      <c r="A2573" s="1">
        <v>46076</v>
      </c>
      <c r="B2573" t="s">
        <v>2761</v>
      </c>
      <c r="C2573" t="s">
        <v>609</v>
      </c>
      <c r="D2573" t="s">
        <v>63</v>
      </c>
      <c r="E2573" t="s">
        <v>35</v>
      </c>
      <c r="F2573" t="s">
        <v>26</v>
      </c>
      <c r="G2573" t="s">
        <v>27</v>
      </c>
      <c r="H2573" t="s">
        <v>86</v>
      </c>
      <c r="I2573" t="s">
        <v>94</v>
      </c>
      <c r="J2573" s="2">
        <v>4</v>
      </c>
      <c r="K2573" s="3">
        <v>1948.51</v>
      </c>
      <c r="L2573" s="3">
        <v>1159.8499999999999</v>
      </c>
      <c r="M2573" s="4">
        <v>9.11E-2</v>
      </c>
      <c r="N2573" s="3">
        <f t="shared" si="200"/>
        <v>7794.04</v>
      </c>
      <c r="O2573" s="3">
        <f t="shared" si="201"/>
        <v>7084</v>
      </c>
      <c r="P2573" s="3">
        <f t="shared" si="202"/>
        <v>4639.3999999999996</v>
      </c>
      <c r="Q2573" s="3">
        <f t="shared" si="203"/>
        <v>2444.6</v>
      </c>
      <c r="R2573" s="4">
        <f t="shared" si="204"/>
        <v>0.34510000000000002</v>
      </c>
      <c r="S2573" s="2">
        <v>5</v>
      </c>
      <c r="T2573" t="s">
        <v>46</v>
      </c>
      <c r="U2573">
        <v>4</v>
      </c>
    </row>
    <row r="2574" spans="1:22" x14ac:dyDescent="0.25">
      <c r="A2574" s="1">
        <v>46232</v>
      </c>
      <c r="B2574" t="s">
        <v>2762</v>
      </c>
      <c r="C2574" t="s">
        <v>204</v>
      </c>
      <c r="D2574" t="s">
        <v>97</v>
      </c>
      <c r="E2574" t="s">
        <v>57</v>
      </c>
      <c r="F2574" t="s">
        <v>58</v>
      </c>
      <c r="G2574" t="s">
        <v>27</v>
      </c>
      <c r="H2574" t="s">
        <v>68</v>
      </c>
      <c r="I2574" t="s">
        <v>74</v>
      </c>
      <c r="J2574" s="2">
        <v>4</v>
      </c>
      <c r="K2574" s="3">
        <v>1298.0999999999999</v>
      </c>
      <c r="L2574" s="3">
        <v>751.35</v>
      </c>
      <c r="M2574" s="4">
        <v>3.5000000000000003E-2</v>
      </c>
      <c r="N2574" s="3">
        <f t="shared" si="200"/>
        <v>5192.3999999999996</v>
      </c>
      <c r="O2574" s="3">
        <f t="shared" si="201"/>
        <v>5010.67</v>
      </c>
      <c r="P2574" s="3">
        <f t="shared" si="202"/>
        <v>3005.4</v>
      </c>
      <c r="Q2574" s="3">
        <f t="shared" si="203"/>
        <v>2005.27</v>
      </c>
      <c r="R2574" s="4">
        <f t="shared" si="204"/>
        <v>0.4002</v>
      </c>
      <c r="S2574" s="2">
        <v>2</v>
      </c>
      <c r="T2574" t="s">
        <v>46</v>
      </c>
      <c r="U2574">
        <v>4</v>
      </c>
    </row>
    <row r="2575" spans="1:22" x14ac:dyDescent="0.25">
      <c r="A2575" s="1">
        <v>46116</v>
      </c>
      <c r="B2575" t="s">
        <v>2763</v>
      </c>
      <c r="C2575" t="s">
        <v>23</v>
      </c>
      <c r="D2575" t="s">
        <v>126</v>
      </c>
      <c r="E2575" t="s">
        <v>57</v>
      </c>
      <c r="F2575" t="s">
        <v>26</v>
      </c>
      <c r="G2575" t="s">
        <v>27</v>
      </c>
      <c r="H2575" t="s">
        <v>86</v>
      </c>
      <c r="I2575" t="s">
        <v>39</v>
      </c>
      <c r="J2575" s="2">
        <v>7</v>
      </c>
      <c r="K2575" s="3">
        <v>1927.74</v>
      </c>
      <c r="L2575" s="3">
        <v>1151.46</v>
      </c>
      <c r="M2575" s="4">
        <v>1.6799999999999999E-2</v>
      </c>
      <c r="N2575" s="3">
        <f t="shared" si="200"/>
        <v>13494.18</v>
      </c>
      <c r="O2575" s="3">
        <f t="shared" si="201"/>
        <v>13267.48</v>
      </c>
      <c r="P2575" s="3">
        <f t="shared" si="202"/>
        <v>8060.22</v>
      </c>
      <c r="Q2575" s="3">
        <f t="shared" si="203"/>
        <v>5207.26</v>
      </c>
      <c r="R2575" s="4">
        <f t="shared" si="204"/>
        <v>0.39250000000000002</v>
      </c>
      <c r="S2575" s="2">
        <v>14</v>
      </c>
      <c r="T2575" t="s">
        <v>40</v>
      </c>
    </row>
    <row r="2576" spans="1:22" x14ac:dyDescent="0.25">
      <c r="A2576" s="1">
        <v>46062</v>
      </c>
      <c r="B2576" t="s">
        <v>2764</v>
      </c>
      <c r="C2576" t="s">
        <v>378</v>
      </c>
      <c r="D2576" t="s">
        <v>121</v>
      </c>
      <c r="E2576" t="s">
        <v>72</v>
      </c>
      <c r="F2576" t="s">
        <v>36</v>
      </c>
      <c r="G2576" t="s">
        <v>44</v>
      </c>
      <c r="H2576" t="s">
        <v>73</v>
      </c>
      <c r="I2576" t="s">
        <v>92</v>
      </c>
      <c r="J2576" s="2">
        <v>1</v>
      </c>
      <c r="K2576" s="3">
        <v>1626.48</v>
      </c>
      <c r="L2576" s="3">
        <v>1100.9100000000001</v>
      </c>
      <c r="M2576" s="4">
        <v>7.5399999999999995E-2</v>
      </c>
      <c r="N2576" s="3">
        <f t="shared" si="200"/>
        <v>1626.48</v>
      </c>
      <c r="O2576" s="3">
        <f t="shared" si="201"/>
        <v>1503.84</v>
      </c>
      <c r="P2576" s="3">
        <f t="shared" si="202"/>
        <v>1100.9100000000001</v>
      </c>
      <c r="Q2576" s="3">
        <f t="shared" si="203"/>
        <v>402.93</v>
      </c>
      <c r="R2576" s="4">
        <f t="shared" si="204"/>
        <v>0.26790000000000003</v>
      </c>
      <c r="S2576" s="2">
        <v>12</v>
      </c>
      <c r="T2576" t="s">
        <v>30</v>
      </c>
      <c r="U2576">
        <v>4</v>
      </c>
    </row>
    <row r="2577" spans="1:21" x14ac:dyDescent="0.25">
      <c r="A2577" s="1">
        <v>46114</v>
      </c>
      <c r="B2577" t="s">
        <v>2765</v>
      </c>
      <c r="C2577" t="s">
        <v>560</v>
      </c>
      <c r="D2577" t="s">
        <v>126</v>
      </c>
      <c r="E2577" t="s">
        <v>57</v>
      </c>
      <c r="F2577" t="s">
        <v>36</v>
      </c>
      <c r="G2577" t="s">
        <v>27</v>
      </c>
      <c r="H2577" t="s">
        <v>86</v>
      </c>
      <c r="I2577" t="s">
        <v>92</v>
      </c>
      <c r="J2577" s="2">
        <v>1</v>
      </c>
      <c r="K2577" s="3">
        <v>1888.34</v>
      </c>
      <c r="L2577" s="3">
        <v>1244.56</v>
      </c>
      <c r="M2577" s="4">
        <v>0.1197</v>
      </c>
      <c r="N2577" s="3">
        <f t="shared" si="200"/>
        <v>1888.34</v>
      </c>
      <c r="O2577" s="3">
        <f t="shared" si="201"/>
        <v>1662.31</v>
      </c>
      <c r="P2577" s="3">
        <f t="shared" si="202"/>
        <v>1244.56</v>
      </c>
      <c r="Q2577" s="3">
        <f t="shared" si="203"/>
        <v>417.75</v>
      </c>
      <c r="R2577" s="4">
        <f t="shared" si="204"/>
        <v>0.25130000000000002</v>
      </c>
      <c r="S2577" s="2">
        <v>4</v>
      </c>
      <c r="T2577" t="s">
        <v>40</v>
      </c>
    </row>
    <row r="2578" spans="1:21" x14ac:dyDescent="0.25">
      <c r="A2578" s="1">
        <v>46069</v>
      </c>
      <c r="B2578" t="s">
        <v>2766</v>
      </c>
      <c r="C2578" t="s">
        <v>174</v>
      </c>
      <c r="D2578" t="s">
        <v>43</v>
      </c>
      <c r="E2578" t="s">
        <v>25</v>
      </c>
      <c r="F2578" t="s">
        <v>64</v>
      </c>
      <c r="G2578" t="s">
        <v>27</v>
      </c>
      <c r="H2578" t="s">
        <v>68</v>
      </c>
      <c r="I2578" t="s">
        <v>94</v>
      </c>
      <c r="J2578" s="2">
        <v>8</v>
      </c>
      <c r="K2578" s="3">
        <v>1237.49</v>
      </c>
      <c r="L2578" s="3">
        <v>787.42</v>
      </c>
      <c r="M2578" s="4">
        <v>0</v>
      </c>
      <c r="N2578" s="3">
        <f t="shared" si="200"/>
        <v>9899.92</v>
      </c>
      <c r="O2578" s="3">
        <f t="shared" si="201"/>
        <v>9899.92</v>
      </c>
      <c r="P2578" s="3">
        <f t="shared" si="202"/>
        <v>6299.36</v>
      </c>
      <c r="Q2578" s="3">
        <f t="shared" si="203"/>
        <v>3600.56</v>
      </c>
      <c r="R2578" s="4">
        <f t="shared" si="204"/>
        <v>0.36370000000000002</v>
      </c>
      <c r="S2578" s="2">
        <v>13</v>
      </c>
      <c r="T2578" t="s">
        <v>30</v>
      </c>
      <c r="U2578">
        <v>3</v>
      </c>
    </row>
    <row r="2579" spans="1:21" x14ac:dyDescent="0.25">
      <c r="A2579" s="1">
        <v>46057</v>
      </c>
      <c r="B2579" t="s">
        <v>2767</v>
      </c>
      <c r="C2579" t="s">
        <v>297</v>
      </c>
      <c r="D2579" t="s">
        <v>126</v>
      </c>
      <c r="E2579" t="s">
        <v>57</v>
      </c>
      <c r="F2579" t="s">
        <v>58</v>
      </c>
      <c r="G2579" t="s">
        <v>44</v>
      </c>
      <c r="H2579" t="s">
        <v>124</v>
      </c>
      <c r="I2579" t="s">
        <v>77</v>
      </c>
      <c r="J2579" s="2">
        <v>2</v>
      </c>
      <c r="K2579" s="3">
        <v>5962.18</v>
      </c>
      <c r="L2579" s="3">
        <v>4476.7299999999996</v>
      </c>
      <c r="M2579" s="4">
        <v>3.5000000000000003E-2</v>
      </c>
      <c r="N2579" s="3">
        <f t="shared" si="200"/>
        <v>11924.36</v>
      </c>
      <c r="O2579" s="3">
        <f t="shared" si="201"/>
        <v>11507.01</v>
      </c>
      <c r="P2579" s="3">
        <f t="shared" si="202"/>
        <v>8953.4599999999991</v>
      </c>
      <c r="Q2579" s="3">
        <f t="shared" si="203"/>
        <v>2553.5500000000002</v>
      </c>
      <c r="R2579" s="4">
        <f t="shared" si="204"/>
        <v>0.22189999999999999</v>
      </c>
      <c r="S2579" s="2">
        <v>3</v>
      </c>
      <c r="T2579" t="s">
        <v>46</v>
      </c>
      <c r="U2579">
        <v>3</v>
      </c>
    </row>
    <row r="2580" spans="1:21" x14ac:dyDescent="0.25">
      <c r="A2580" s="1">
        <v>46151</v>
      </c>
      <c r="B2580" t="s">
        <v>2768</v>
      </c>
      <c r="C2580" t="s">
        <v>224</v>
      </c>
      <c r="D2580" t="s">
        <v>24</v>
      </c>
      <c r="E2580" t="s">
        <v>25</v>
      </c>
      <c r="F2580" t="s">
        <v>36</v>
      </c>
      <c r="G2580" t="s">
        <v>44</v>
      </c>
      <c r="H2580" t="s">
        <v>73</v>
      </c>
      <c r="I2580" t="s">
        <v>94</v>
      </c>
      <c r="J2580" s="2">
        <v>6</v>
      </c>
      <c r="K2580" s="3">
        <v>1668.38</v>
      </c>
      <c r="L2580" s="3">
        <v>1156.8900000000001</v>
      </c>
      <c r="M2580" s="4">
        <v>9.3700000000000006E-2</v>
      </c>
      <c r="N2580" s="3">
        <f t="shared" si="200"/>
        <v>10010.280000000001</v>
      </c>
      <c r="O2580" s="3">
        <f t="shared" si="201"/>
        <v>9072.32</v>
      </c>
      <c r="P2580" s="3">
        <f t="shared" si="202"/>
        <v>6941.34</v>
      </c>
      <c r="Q2580" s="3">
        <f t="shared" si="203"/>
        <v>2130.98</v>
      </c>
      <c r="R2580" s="4">
        <f t="shared" si="204"/>
        <v>0.2349</v>
      </c>
      <c r="S2580" s="2">
        <v>7</v>
      </c>
      <c r="T2580" t="s">
        <v>46</v>
      </c>
      <c r="U2580">
        <v>2</v>
      </c>
    </row>
    <row r="2581" spans="1:21" x14ac:dyDescent="0.25">
      <c r="A2581" s="1">
        <v>46047</v>
      </c>
      <c r="B2581" t="s">
        <v>2769</v>
      </c>
      <c r="C2581" t="s">
        <v>33</v>
      </c>
      <c r="D2581" t="s">
        <v>34</v>
      </c>
      <c r="E2581" t="s">
        <v>35</v>
      </c>
      <c r="F2581" t="s">
        <v>58</v>
      </c>
      <c r="G2581" t="s">
        <v>27</v>
      </c>
      <c r="H2581" t="s">
        <v>86</v>
      </c>
      <c r="I2581" t="s">
        <v>92</v>
      </c>
      <c r="J2581" s="2">
        <v>8</v>
      </c>
      <c r="K2581" s="3">
        <v>1804.03</v>
      </c>
      <c r="L2581" s="3">
        <v>1207.08</v>
      </c>
      <c r="M2581" s="4">
        <v>4.9000000000000002E-2</v>
      </c>
      <c r="N2581" s="3">
        <f t="shared" si="200"/>
        <v>14432.24</v>
      </c>
      <c r="O2581" s="3">
        <f t="shared" si="201"/>
        <v>13725.06</v>
      </c>
      <c r="P2581" s="3">
        <f t="shared" si="202"/>
        <v>9656.64</v>
      </c>
      <c r="Q2581" s="3">
        <f t="shared" si="203"/>
        <v>4068.42</v>
      </c>
      <c r="R2581" s="4">
        <f t="shared" si="204"/>
        <v>0.2964</v>
      </c>
      <c r="S2581" s="2">
        <v>14</v>
      </c>
      <c r="T2581" t="s">
        <v>30</v>
      </c>
      <c r="U2581">
        <v>4</v>
      </c>
    </row>
    <row r="2582" spans="1:21" x14ac:dyDescent="0.25">
      <c r="A2582" s="1">
        <v>46182</v>
      </c>
      <c r="B2582" t="s">
        <v>2770</v>
      </c>
      <c r="C2582" t="s">
        <v>243</v>
      </c>
      <c r="D2582" t="s">
        <v>43</v>
      </c>
      <c r="E2582" t="s">
        <v>25</v>
      </c>
      <c r="F2582" t="s">
        <v>36</v>
      </c>
      <c r="G2582" t="s">
        <v>37</v>
      </c>
      <c r="H2582" t="s">
        <v>38</v>
      </c>
      <c r="I2582" t="s">
        <v>74</v>
      </c>
      <c r="J2582" s="2">
        <v>1</v>
      </c>
      <c r="K2582" s="3">
        <v>440.14</v>
      </c>
      <c r="L2582" s="3">
        <v>203.13</v>
      </c>
      <c r="M2582" s="4">
        <v>0</v>
      </c>
      <c r="N2582" s="3">
        <f t="shared" si="200"/>
        <v>440.14</v>
      </c>
      <c r="O2582" s="3">
        <f t="shared" si="201"/>
        <v>440.14</v>
      </c>
      <c r="P2582" s="3">
        <f t="shared" si="202"/>
        <v>203.13</v>
      </c>
      <c r="Q2582" s="3">
        <f t="shared" si="203"/>
        <v>237.01</v>
      </c>
      <c r="R2582" s="4">
        <f t="shared" si="204"/>
        <v>0.53849999999999998</v>
      </c>
      <c r="S2582" s="2">
        <v>8</v>
      </c>
      <c r="T2582" t="s">
        <v>46</v>
      </c>
      <c r="U2582">
        <v>4</v>
      </c>
    </row>
    <row r="2583" spans="1:21" x14ac:dyDescent="0.25">
      <c r="A2583" s="1">
        <v>46048</v>
      </c>
      <c r="B2583" t="s">
        <v>2771</v>
      </c>
      <c r="C2583" t="s">
        <v>428</v>
      </c>
      <c r="D2583" t="s">
        <v>71</v>
      </c>
      <c r="E2583" t="s">
        <v>72</v>
      </c>
      <c r="F2583" t="s">
        <v>64</v>
      </c>
      <c r="G2583" t="s">
        <v>27</v>
      </c>
      <c r="H2583" t="s">
        <v>86</v>
      </c>
      <c r="I2583" t="s">
        <v>39</v>
      </c>
      <c r="J2583" s="2">
        <v>6</v>
      </c>
      <c r="K2583" s="3">
        <v>1784.29</v>
      </c>
      <c r="L2583" s="3">
        <v>1229.33</v>
      </c>
      <c r="M2583" s="4">
        <v>0</v>
      </c>
      <c r="N2583" s="3">
        <f t="shared" si="200"/>
        <v>10705.74</v>
      </c>
      <c r="O2583" s="3">
        <f t="shared" si="201"/>
        <v>10705.74</v>
      </c>
      <c r="P2583" s="3">
        <f t="shared" si="202"/>
        <v>7375.98</v>
      </c>
      <c r="Q2583" s="3">
        <f t="shared" si="203"/>
        <v>3329.76</v>
      </c>
      <c r="R2583" s="4">
        <f t="shared" si="204"/>
        <v>0.311</v>
      </c>
      <c r="S2583" s="2">
        <v>10</v>
      </c>
      <c r="T2583" t="s">
        <v>46</v>
      </c>
      <c r="U2583">
        <v>2</v>
      </c>
    </row>
    <row r="2584" spans="1:21" x14ac:dyDescent="0.25">
      <c r="A2584" s="1">
        <v>46094</v>
      </c>
      <c r="B2584" t="s">
        <v>2772</v>
      </c>
      <c r="C2584" t="s">
        <v>329</v>
      </c>
      <c r="D2584" t="s">
        <v>85</v>
      </c>
      <c r="E2584" t="s">
        <v>50</v>
      </c>
      <c r="F2584" t="s">
        <v>26</v>
      </c>
      <c r="G2584" t="s">
        <v>44</v>
      </c>
      <c r="H2584" t="s">
        <v>124</v>
      </c>
      <c r="I2584" t="s">
        <v>92</v>
      </c>
      <c r="J2584" s="2">
        <v>1</v>
      </c>
      <c r="K2584" s="3">
        <v>6051.69</v>
      </c>
      <c r="L2584" s="3">
        <v>4507.91</v>
      </c>
      <c r="M2584" s="4">
        <v>0</v>
      </c>
      <c r="N2584" s="3">
        <f t="shared" si="200"/>
        <v>6051.69</v>
      </c>
      <c r="O2584" s="3">
        <f t="shared" si="201"/>
        <v>6051.69</v>
      </c>
      <c r="P2584" s="3">
        <f t="shared" si="202"/>
        <v>4507.91</v>
      </c>
      <c r="Q2584" s="3">
        <f t="shared" si="203"/>
        <v>1543.78</v>
      </c>
      <c r="R2584" s="4">
        <f t="shared" si="204"/>
        <v>0.25509999999999999</v>
      </c>
      <c r="S2584" s="2">
        <v>3</v>
      </c>
      <c r="T2584" t="s">
        <v>46</v>
      </c>
      <c r="U2584">
        <v>3</v>
      </c>
    </row>
    <row r="2585" spans="1:21" x14ac:dyDescent="0.25">
      <c r="A2585" s="1">
        <v>46049</v>
      </c>
      <c r="B2585" t="s">
        <v>2773</v>
      </c>
      <c r="C2585" t="s">
        <v>381</v>
      </c>
      <c r="D2585" t="s">
        <v>63</v>
      </c>
      <c r="E2585" t="s">
        <v>35</v>
      </c>
      <c r="F2585" t="s">
        <v>64</v>
      </c>
      <c r="G2585" t="s">
        <v>51</v>
      </c>
      <c r="H2585" t="s">
        <v>52</v>
      </c>
      <c r="I2585" t="s">
        <v>39</v>
      </c>
      <c r="J2585" s="2">
        <v>3</v>
      </c>
      <c r="K2585" s="3">
        <v>256.64</v>
      </c>
      <c r="L2585" s="3">
        <v>116.17</v>
      </c>
      <c r="M2585" s="4">
        <v>4.0500000000000001E-2</v>
      </c>
      <c r="N2585" s="3">
        <f t="shared" si="200"/>
        <v>769.92</v>
      </c>
      <c r="O2585" s="3">
        <f t="shared" si="201"/>
        <v>738.74</v>
      </c>
      <c r="P2585" s="3">
        <f t="shared" si="202"/>
        <v>348.51</v>
      </c>
      <c r="Q2585" s="3">
        <f t="shared" si="203"/>
        <v>390.23</v>
      </c>
      <c r="R2585" s="4">
        <f t="shared" si="204"/>
        <v>0.5282</v>
      </c>
      <c r="S2585" s="2">
        <v>8</v>
      </c>
      <c r="T2585" t="s">
        <v>46</v>
      </c>
      <c r="U2585">
        <v>3</v>
      </c>
    </row>
    <row r="2586" spans="1:21" x14ac:dyDescent="0.25">
      <c r="A2586" s="1">
        <v>46123</v>
      </c>
      <c r="B2586" t="s">
        <v>2774</v>
      </c>
      <c r="C2586" t="s">
        <v>70</v>
      </c>
      <c r="D2586" t="s">
        <v>121</v>
      </c>
      <c r="E2586" t="s">
        <v>72</v>
      </c>
      <c r="F2586" t="s">
        <v>26</v>
      </c>
      <c r="G2586" t="s">
        <v>27</v>
      </c>
      <c r="H2586" t="s">
        <v>28</v>
      </c>
      <c r="I2586" t="s">
        <v>77</v>
      </c>
      <c r="J2586" s="2">
        <v>4</v>
      </c>
      <c r="K2586" s="3">
        <v>812.64</v>
      </c>
      <c r="L2586" s="3">
        <v>465.61</v>
      </c>
      <c r="M2586" s="4">
        <v>2.18E-2</v>
      </c>
      <c r="N2586" s="3">
        <f t="shared" si="200"/>
        <v>3250.56</v>
      </c>
      <c r="O2586" s="3">
        <f t="shared" si="201"/>
        <v>3179.7</v>
      </c>
      <c r="P2586" s="3">
        <f t="shared" si="202"/>
        <v>1862.44</v>
      </c>
      <c r="Q2586" s="3">
        <f t="shared" si="203"/>
        <v>1317.26</v>
      </c>
      <c r="R2586" s="4">
        <f t="shared" si="204"/>
        <v>0.4143</v>
      </c>
      <c r="S2586" s="2">
        <v>4</v>
      </c>
      <c r="T2586" t="s">
        <v>46</v>
      </c>
      <c r="U2586">
        <v>3</v>
      </c>
    </row>
    <row r="2587" spans="1:21" x14ac:dyDescent="0.25">
      <c r="A2587" s="1">
        <v>46190</v>
      </c>
      <c r="B2587" t="s">
        <v>2775</v>
      </c>
      <c r="C2587" t="s">
        <v>476</v>
      </c>
      <c r="D2587" t="s">
        <v>139</v>
      </c>
      <c r="E2587" t="s">
        <v>72</v>
      </c>
      <c r="F2587" t="s">
        <v>26</v>
      </c>
      <c r="G2587" t="s">
        <v>44</v>
      </c>
      <c r="H2587" t="s">
        <v>45</v>
      </c>
      <c r="I2587" t="s">
        <v>77</v>
      </c>
      <c r="J2587" s="2">
        <v>1</v>
      </c>
      <c r="K2587" s="3">
        <v>402.93</v>
      </c>
      <c r="L2587" s="3">
        <v>212.73</v>
      </c>
      <c r="M2587" s="4">
        <v>0</v>
      </c>
      <c r="N2587" s="3">
        <f t="shared" si="200"/>
        <v>402.93</v>
      </c>
      <c r="O2587" s="3">
        <f t="shared" si="201"/>
        <v>402.93</v>
      </c>
      <c r="P2587" s="3">
        <f t="shared" si="202"/>
        <v>212.73</v>
      </c>
      <c r="Q2587" s="3">
        <f t="shared" si="203"/>
        <v>190.2</v>
      </c>
      <c r="R2587" s="4">
        <f t="shared" si="204"/>
        <v>0.47199999999999998</v>
      </c>
      <c r="S2587" s="2">
        <v>7</v>
      </c>
      <c r="T2587" t="s">
        <v>46</v>
      </c>
      <c r="U2587">
        <v>2</v>
      </c>
    </row>
    <row r="2588" spans="1:21" x14ac:dyDescent="0.25">
      <c r="A2588" s="1">
        <v>46225</v>
      </c>
      <c r="B2588" t="s">
        <v>2776</v>
      </c>
      <c r="C2588" t="s">
        <v>386</v>
      </c>
      <c r="D2588" t="s">
        <v>24</v>
      </c>
      <c r="E2588" t="s">
        <v>25</v>
      </c>
      <c r="F2588" t="s">
        <v>26</v>
      </c>
      <c r="G2588" t="s">
        <v>44</v>
      </c>
      <c r="H2588" t="s">
        <v>73</v>
      </c>
      <c r="I2588" t="s">
        <v>53</v>
      </c>
      <c r="J2588" s="2">
        <v>4</v>
      </c>
      <c r="K2588" s="3">
        <v>1745.96</v>
      </c>
      <c r="L2588" s="3">
        <v>1128.94</v>
      </c>
      <c r="M2588" s="4">
        <v>0</v>
      </c>
      <c r="N2588" s="3">
        <f t="shared" si="200"/>
        <v>6983.84</v>
      </c>
      <c r="O2588" s="3">
        <f t="shared" si="201"/>
        <v>6983.84</v>
      </c>
      <c r="P2588" s="3">
        <f t="shared" si="202"/>
        <v>4515.76</v>
      </c>
      <c r="Q2588" s="3">
        <f t="shared" si="203"/>
        <v>2468.08</v>
      </c>
      <c r="R2588" s="4">
        <f t="shared" si="204"/>
        <v>0.35339999999999999</v>
      </c>
      <c r="S2588" s="2">
        <v>11</v>
      </c>
      <c r="T2588" t="s">
        <v>30</v>
      </c>
      <c r="U2588">
        <v>2</v>
      </c>
    </row>
    <row r="2589" spans="1:21" x14ac:dyDescent="0.25">
      <c r="A2589" s="1">
        <v>46135</v>
      </c>
      <c r="B2589" t="s">
        <v>2777</v>
      </c>
      <c r="C2589" t="s">
        <v>84</v>
      </c>
      <c r="D2589" t="s">
        <v>24</v>
      </c>
      <c r="E2589" t="s">
        <v>25</v>
      </c>
      <c r="F2589" t="s">
        <v>64</v>
      </c>
      <c r="G2589" t="s">
        <v>51</v>
      </c>
      <c r="H2589" t="s">
        <v>116</v>
      </c>
      <c r="I2589" t="s">
        <v>94</v>
      </c>
      <c r="J2589" s="2">
        <v>2</v>
      </c>
      <c r="K2589" s="3">
        <v>2636.92</v>
      </c>
      <c r="L2589" s="3">
        <v>1923.09</v>
      </c>
      <c r="M2589" s="4">
        <v>5.2600000000000001E-2</v>
      </c>
      <c r="N2589" s="3">
        <f t="shared" si="200"/>
        <v>5273.84</v>
      </c>
      <c r="O2589" s="3">
        <f t="shared" si="201"/>
        <v>4996.4399999999996</v>
      </c>
      <c r="P2589" s="3">
        <f t="shared" si="202"/>
        <v>3846.18</v>
      </c>
      <c r="Q2589" s="3">
        <f t="shared" si="203"/>
        <v>1150.26</v>
      </c>
      <c r="R2589" s="4">
        <f t="shared" si="204"/>
        <v>0.23019999999999999</v>
      </c>
      <c r="S2589" s="2">
        <v>6</v>
      </c>
      <c r="T2589" t="s">
        <v>46</v>
      </c>
      <c r="U2589">
        <v>5</v>
      </c>
    </row>
    <row r="2590" spans="1:21" x14ac:dyDescent="0.25">
      <c r="A2590" s="1">
        <v>46148</v>
      </c>
      <c r="B2590" t="s">
        <v>2778</v>
      </c>
      <c r="C2590" t="s">
        <v>375</v>
      </c>
      <c r="D2590" t="s">
        <v>63</v>
      </c>
      <c r="E2590" t="s">
        <v>35</v>
      </c>
      <c r="F2590" t="s">
        <v>58</v>
      </c>
      <c r="G2590" t="s">
        <v>51</v>
      </c>
      <c r="H2590" t="s">
        <v>52</v>
      </c>
      <c r="I2590" t="s">
        <v>60</v>
      </c>
      <c r="J2590" s="2">
        <v>4</v>
      </c>
      <c r="K2590" s="3">
        <v>255.55</v>
      </c>
      <c r="L2590" s="3">
        <v>115.52</v>
      </c>
      <c r="M2590" s="4">
        <v>3.5000000000000003E-2</v>
      </c>
      <c r="N2590" s="3">
        <f t="shared" si="200"/>
        <v>1022.2</v>
      </c>
      <c r="O2590" s="3">
        <f t="shared" si="201"/>
        <v>986.42</v>
      </c>
      <c r="P2590" s="3">
        <f t="shared" si="202"/>
        <v>462.08</v>
      </c>
      <c r="Q2590" s="3">
        <f t="shared" si="203"/>
        <v>524.34</v>
      </c>
      <c r="R2590" s="4">
        <f t="shared" si="204"/>
        <v>0.53159999999999996</v>
      </c>
      <c r="S2590" s="2">
        <v>3</v>
      </c>
      <c r="T2590" t="s">
        <v>46</v>
      </c>
      <c r="U2590">
        <v>5</v>
      </c>
    </row>
    <row r="2591" spans="1:21" x14ac:dyDescent="0.25">
      <c r="A2591" s="1">
        <v>46230</v>
      </c>
      <c r="B2591" t="s">
        <v>2779</v>
      </c>
      <c r="C2591" t="s">
        <v>150</v>
      </c>
      <c r="D2591" t="s">
        <v>43</v>
      </c>
      <c r="E2591" t="s">
        <v>25</v>
      </c>
      <c r="F2591" t="s">
        <v>58</v>
      </c>
      <c r="G2591" t="s">
        <v>27</v>
      </c>
      <c r="H2591" t="s">
        <v>86</v>
      </c>
      <c r="I2591" t="s">
        <v>87</v>
      </c>
      <c r="J2591" s="2">
        <v>7</v>
      </c>
      <c r="K2591" s="3">
        <v>1791.98</v>
      </c>
      <c r="L2591" s="3">
        <v>1270.69</v>
      </c>
      <c r="M2591" s="4">
        <v>7.7499999999999999E-2</v>
      </c>
      <c r="N2591" s="3">
        <f t="shared" si="200"/>
        <v>12543.86</v>
      </c>
      <c r="O2591" s="3">
        <f t="shared" si="201"/>
        <v>11571.71</v>
      </c>
      <c r="P2591" s="3">
        <f t="shared" si="202"/>
        <v>8894.83</v>
      </c>
      <c r="Q2591" s="3">
        <f t="shared" si="203"/>
        <v>2676.88</v>
      </c>
      <c r="R2591" s="4">
        <f t="shared" si="204"/>
        <v>0.23130000000000001</v>
      </c>
      <c r="S2591" s="2">
        <v>9</v>
      </c>
      <c r="T2591" t="s">
        <v>46</v>
      </c>
      <c r="U2591">
        <v>4</v>
      </c>
    </row>
    <row r="2592" spans="1:21" x14ac:dyDescent="0.25">
      <c r="A2592" s="1">
        <v>46041</v>
      </c>
      <c r="B2592" t="s">
        <v>2780</v>
      </c>
      <c r="C2592" t="s">
        <v>166</v>
      </c>
      <c r="D2592" t="s">
        <v>24</v>
      </c>
      <c r="E2592" t="s">
        <v>25</v>
      </c>
      <c r="F2592" t="s">
        <v>36</v>
      </c>
      <c r="G2592" t="s">
        <v>44</v>
      </c>
      <c r="H2592" t="s">
        <v>73</v>
      </c>
      <c r="I2592" t="s">
        <v>74</v>
      </c>
      <c r="J2592" s="2">
        <v>3</v>
      </c>
      <c r="K2592" s="3">
        <v>1608.33</v>
      </c>
      <c r="L2592" s="3">
        <v>1094.83</v>
      </c>
      <c r="M2592" s="4">
        <v>9.9000000000000008E-3</v>
      </c>
      <c r="N2592" s="3">
        <f t="shared" si="200"/>
        <v>4824.99</v>
      </c>
      <c r="O2592" s="3">
        <f t="shared" si="201"/>
        <v>4777.22</v>
      </c>
      <c r="P2592" s="3">
        <f t="shared" si="202"/>
        <v>3284.49</v>
      </c>
      <c r="Q2592" s="3">
        <f t="shared" si="203"/>
        <v>1492.73</v>
      </c>
      <c r="R2592" s="4">
        <f t="shared" si="204"/>
        <v>0.3125</v>
      </c>
      <c r="S2592" s="2">
        <v>3</v>
      </c>
      <c r="T2592" t="s">
        <v>46</v>
      </c>
      <c r="U2592">
        <v>3</v>
      </c>
    </row>
    <row r="2593" spans="1:21" x14ac:dyDescent="0.25">
      <c r="A2593" s="1">
        <v>46150</v>
      </c>
      <c r="B2593" t="s">
        <v>2781</v>
      </c>
      <c r="C2593" t="s">
        <v>358</v>
      </c>
      <c r="D2593" t="s">
        <v>207</v>
      </c>
      <c r="E2593" t="s">
        <v>35</v>
      </c>
      <c r="F2593" t="s">
        <v>58</v>
      </c>
      <c r="G2593" t="s">
        <v>27</v>
      </c>
      <c r="H2593" t="s">
        <v>86</v>
      </c>
      <c r="I2593" t="s">
        <v>87</v>
      </c>
      <c r="J2593" s="2">
        <v>6</v>
      </c>
      <c r="K2593" s="3">
        <v>1912.26</v>
      </c>
      <c r="L2593" s="3">
        <v>1223.1199999999999</v>
      </c>
      <c r="M2593" s="4">
        <v>6.5600000000000006E-2</v>
      </c>
      <c r="N2593" s="3">
        <f t="shared" si="200"/>
        <v>11473.56</v>
      </c>
      <c r="O2593" s="3">
        <f t="shared" si="201"/>
        <v>10720.89</v>
      </c>
      <c r="P2593" s="3">
        <f t="shared" si="202"/>
        <v>7338.72</v>
      </c>
      <c r="Q2593" s="3">
        <f t="shared" si="203"/>
        <v>3382.17</v>
      </c>
      <c r="R2593" s="4">
        <f t="shared" si="204"/>
        <v>0.3155</v>
      </c>
      <c r="S2593" s="2">
        <v>5</v>
      </c>
      <c r="T2593" t="s">
        <v>46</v>
      </c>
      <c r="U2593">
        <v>5</v>
      </c>
    </row>
    <row r="2594" spans="1:21" x14ac:dyDescent="0.25">
      <c r="A2594" s="1">
        <v>46121</v>
      </c>
      <c r="B2594" t="s">
        <v>2782</v>
      </c>
      <c r="C2594" t="s">
        <v>523</v>
      </c>
      <c r="D2594" t="s">
        <v>43</v>
      </c>
      <c r="E2594" t="s">
        <v>25</v>
      </c>
      <c r="F2594" t="s">
        <v>64</v>
      </c>
      <c r="G2594" t="s">
        <v>37</v>
      </c>
      <c r="H2594" t="s">
        <v>38</v>
      </c>
      <c r="I2594" t="s">
        <v>60</v>
      </c>
      <c r="J2594" s="2">
        <v>8</v>
      </c>
      <c r="K2594" s="3">
        <v>439.05</v>
      </c>
      <c r="L2594" s="3">
        <v>204.81</v>
      </c>
      <c r="M2594" s="4">
        <v>7.3700000000000002E-2</v>
      </c>
      <c r="N2594" s="3">
        <f t="shared" si="200"/>
        <v>3512.4</v>
      </c>
      <c r="O2594" s="3">
        <f t="shared" si="201"/>
        <v>3253.54</v>
      </c>
      <c r="P2594" s="3">
        <f t="shared" si="202"/>
        <v>1638.48</v>
      </c>
      <c r="Q2594" s="3">
        <f t="shared" si="203"/>
        <v>1615.06</v>
      </c>
      <c r="R2594" s="4">
        <f t="shared" si="204"/>
        <v>0.49640000000000001</v>
      </c>
      <c r="S2594" s="2">
        <v>4</v>
      </c>
      <c r="T2594" t="s">
        <v>46</v>
      </c>
      <c r="U2594">
        <v>4</v>
      </c>
    </row>
    <row r="2595" spans="1:21" x14ac:dyDescent="0.25">
      <c r="A2595" s="1">
        <v>46093</v>
      </c>
      <c r="B2595" t="s">
        <v>2783</v>
      </c>
      <c r="C2595" t="s">
        <v>609</v>
      </c>
      <c r="D2595" t="s">
        <v>34</v>
      </c>
      <c r="E2595" t="s">
        <v>35</v>
      </c>
      <c r="F2595" t="s">
        <v>64</v>
      </c>
      <c r="G2595" t="s">
        <v>27</v>
      </c>
      <c r="H2595" t="s">
        <v>28</v>
      </c>
      <c r="I2595" t="s">
        <v>94</v>
      </c>
      <c r="J2595" s="2">
        <v>8</v>
      </c>
      <c r="K2595" s="3">
        <v>790.91</v>
      </c>
      <c r="L2595" s="3">
        <v>463.27</v>
      </c>
      <c r="M2595" s="4">
        <v>0</v>
      </c>
      <c r="N2595" s="3">
        <f t="shared" si="200"/>
        <v>6327.28</v>
      </c>
      <c r="O2595" s="3">
        <f t="shared" si="201"/>
        <v>6327.28</v>
      </c>
      <c r="P2595" s="3">
        <f t="shared" si="202"/>
        <v>3706.16</v>
      </c>
      <c r="Q2595" s="3">
        <f t="shared" si="203"/>
        <v>2621.12</v>
      </c>
      <c r="R2595" s="4">
        <f t="shared" si="204"/>
        <v>0.4143</v>
      </c>
      <c r="S2595" s="2">
        <v>4</v>
      </c>
      <c r="T2595" t="s">
        <v>46</v>
      </c>
      <c r="U2595">
        <v>2</v>
      </c>
    </row>
    <row r="2596" spans="1:21" x14ac:dyDescent="0.25">
      <c r="A2596" s="1">
        <v>46082</v>
      </c>
      <c r="B2596" t="s">
        <v>2784</v>
      </c>
      <c r="C2596" t="s">
        <v>91</v>
      </c>
      <c r="D2596" t="s">
        <v>139</v>
      </c>
      <c r="E2596" t="s">
        <v>72</v>
      </c>
      <c r="F2596" t="s">
        <v>36</v>
      </c>
      <c r="G2596" t="s">
        <v>44</v>
      </c>
      <c r="H2596" t="s">
        <v>124</v>
      </c>
      <c r="I2596" t="s">
        <v>29</v>
      </c>
      <c r="J2596" s="2">
        <v>6</v>
      </c>
      <c r="K2596" s="3">
        <v>5866.83</v>
      </c>
      <c r="L2596" s="3">
        <v>4477.1499999999996</v>
      </c>
      <c r="M2596" s="4">
        <v>0</v>
      </c>
      <c r="N2596" s="3">
        <f t="shared" si="200"/>
        <v>35200.980000000003</v>
      </c>
      <c r="O2596" s="3">
        <f t="shared" si="201"/>
        <v>35200.980000000003</v>
      </c>
      <c r="P2596" s="3">
        <f t="shared" si="202"/>
        <v>26862.9</v>
      </c>
      <c r="Q2596" s="3">
        <f t="shared" si="203"/>
        <v>8338.08</v>
      </c>
      <c r="R2596" s="4">
        <f t="shared" si="204"/>
        <v>0.2369</v>
      </c>
      <c r="S2596" s="2">
        <v>2</v>
      </c>
      <c r="T2596" t="s">
        <v>46</v>
      </c>
      <c r="U2596">
        <v>3</v>
      </c>
    </row>
    <row r="2597" spans="1:21" x14ac:dyDescent="0.25">
      <c r="A2597" s="1">
        <v>46034</v>
      </c>
      <c r="B2597" t="s">
        <v>2785</v>
      </c>
      <c r="C2597" t="s">
        <v>523</v>
      </c>
      <c r="D2597" t="s">
        <v>126</v>
      </c>
      <c r="E2597" t="s">
        <v>57</v>
      </c>
      <c r="F2597" t="s">
        <v>36</v>
      </c>
      <c r="G2597" t="s">
        <v>51</v>
      </c>
      <c r="H2597" t="s">
        <v>116</v>
      </c>
      <c r="I2597" t="s">
        <v>60</v>
      </c>
      <c r="J2597" s="2">
        <v>6</v>
      </c>
      <c r="K2597" s="3">
        <v>2866.16</v>
      </c>
      <c r="L2597" s="3">
        <v>1811.01</v>
      </c>
      <c r="M2597" s="4">
        <v>0.1052</v>
      </c>
      <c r="N2597" s="3">
        <f t="shared" si="200"/>
        <v>17196.96</v>
      </c>
      <c r="O2597" s="3">
        <f t="shared" si="201"/>
        <v>15387.84</v>
      </c>
      <c r="P2597" s="3">
        <f t="shared" si="202"/>
        <v>10866.06</v>
      </c>
      <c r="Q2597" s="3">
        <f t="shared" si="203"/>
        <v>4521.78</v>
      </c>
      <c r="R2597" s="4">
        <f t="shared" si="204"/>
        <v>0.29389999999999999</v>
      </c>
      <c r="S2597" s="2">
        <v>4</v>
      </c>
      <c r="T2597" t="s">
        <v>46</v>
      </c>
      <c r="U2597">
        <v>5</v>
      </c>
    </row>
    <row r="2598" spans="1:21" x14ac:dyDescent="0.25">
      <c r="A2598" s="1">
        <v>46112</v>
      </c>
      <c r="B2598" t="s">
        <v>2786</v>
      </c>
      <c r="C2598" t="s">
        <v>100</v>
      </c>
      <c r="D2598" t="s">
        <v>130</v>
      </c>
      <c r="E2598" t="s">
        <v>72</v>
      </c>
      <c r="F2598" t="s">
        <v>26</v>
      </c>
      <c r="G2598" t="s">
        <v>44</v>
      </c>
      <c r="H2598" t="s">
        <v>124</v>
      </c>
      <c r="I2598" t="s">
        <v>92</v>
      </c>
      <c r="J2598" s="2">
        <v>7</v>
      </c>
      <c r="K2598" s="3">
        <v>5712.56</v>
      </c>
      <c r="L2598" s="3">
        <v>4689.0200000000004</v>
      </c>
      <c r="M2598" s="4">
        <v>0</v>
      </c>
      <c r="N2598" s="3">
        <f t="shared" si="200"/>
        <v>39987.919999999998</v>
      </c>
      <c r="O2598" s="3">
        <f t="shared" si="201"/>
        <v>39987.919999999998</v>
      </c>
      <c r="P2598" s="3">
        <f t="shared" si="202"/>
        <v>32823.14</v>
      </c>
      <c r="Q2598" s="3">
        <f t="shared" si="203"/>
        <v>7164.78</v>
      </c>
      <c r="R2598" s="4">
        <f t="shared" si="204"/>
        <v>0.1792</v>
      </c>
      <c r="S2598" s="2">
        <v>3</v>
      </c>
      <c r="T2598" t="s">
        <v>46</v>
      </c>
      <c r="U2598">
        <v>3</v>
      </c>
    </row>
    <row r="2599" spans="1:21" x14ac:dyDescent="0.25">
      <c r="A2599" s="1">
        <v>46024</v>
      </c>
      <c r="B2599" t="s">
        <v>2787</v>
      </c>
      <c r="C2599" t="s">
        <v>204</v>
      </c>
      <c r="D2599" t="s">
        <v>113</v>
      </c>
      <c r="E2599" t="s">
        <v>50</v>
      </c>
      <c r="F2599" t="s">
        <v>36</v>
      </c>
      <c r="G2599" t="s">
        <v>27</v>
      </c>
      <c r="H2599" t="s">
        <v>86</v>
      </c>
      <c r="I2599" t="s">
        <v>65</v>
      </c>
      <c r="J2599" s="2">
        <v>6</v>
      </c>
      <c r="K2599" s="3">
        <v>1865.87</v>
      </c>
      <c r="L2599" s="3">
        <v>1165.3399999999999</v>
      </c>
      <c r="M2599" s="4">
        <v>0.1187</v>
      </c>
      <c r="N2599" s="3">
        <f t="shared" si="200"/>
        <v>11195.22</v>
      </c>
      <c r="O2599" s="3">
        <f t="shared" si="201"/>
        <v>9866.35</v>
      </c>
      <c r="P2599" s="3">
        <f t="shared" si="202"/>
        <v>6992.04</v>
      </c>
      <c r="Q2599" s="3">
        <f t="shared" si="203"/>
        <v>2874.31</v>
      </c>
      <c r="R2599" s="4">
        <f t="shared" si="204"/>
        <v>0.2913</v>
      </c>
      <c r="S2599" s="2">
        <v>14</v>
      </c>
      <c r="T2599" t="s">
        <v>30</v>
      </c>
      <c r="U2599">
        <v>4</v>
      </c>
    </row>
    <row r="2600" spans="1:21" x14ac:dyDescent="0.25">
      <c r="A2600" s="1">
        <v>46024</v>
      </c>
      <c r="B2600" t="s">
        <v>2788</v>
      </c>
      <c r="C2600" t="s">
        <v>33</v>
      </c>
      <c r="D2600" t="s">
        <v>63</v>
      </c>
      <c r="E2600" t="s">
        <v>35</v>
      </c>
      <c r="F2600" t="s">
        <v>64</v>
      </c>
      <c r="G2600" t="s">
        <v>44</v>
      </c>
      <c r="H2600" t="s">
        <v>73</v>
      </c>
      <c r="I2600" t="s">
        <v>65</v>
      </c>
      <c r="J2600" s="2">
        <v>8</v>
      </c>
      <c r="K2600" s="3">
        <v>1780.67</v>
      </c>
      <c r="L2600" s="3">
        <v>1040.27</v>
      </c>
      <c r="M2600" s="4">
        <v>0.1215</v>
      </c>
      <c r="N2600" s="3">
        <f t="shared" si="200"/>
        <v>14245.36</v>
      </c>
      <c r="O2600" s="3">
        <f t="shared" si="201"/>
        <v>12514.55</v>
      </c>
      <c r="P2600" s="3">
        <f t="shared" si="202"/>
        <v>8322.16</v>
      </c>
      <c r="Q2600" s="3">
        <f t="shared" si="203"/>
        <v>4192.3900000000003</v>
      </c>
      <c r="R2600" s="4">
        <f t="shared" si="204"/>
        <v>0.33500000000000002</v>
      </c>
      <c r="S2600" s="2">
        <v>3</v>
      </c>
      <c r="T2600" t="s">
        <v>46</v>
      </c>
      <c r="U2600">
        <v>3</v>
      </c>
    </row>
    <row r="2601" spans="1:21" x14ac:dyDescent="0.25">
      <c r="A2601" s="1">
        <v>46168</v>
      </c>
      <c r="B2601" t="s">
        <v>2789</v>
      </c>
      <c r="C2601" t="s">
        <v>204</v>
      </c>
      <c r="D2601" t="s">
        <v>63</v>
      </c>
      <c r="E2601" t="s">
        <v>35</v>
      </c>
      <c r="F2601" t="s">
        <v>64</v>
      </c>
      <c r="G2601" t="s">
        <v>37</v>
      </c>
      <c r="H2601" t="s">
        <v>38</v>
      </c>
      <c r="I2601" t="s">
        <v>39</v>
      </c>
      <c r="J2601" s="2">
        <v>8</v>
      </c>
      <c r="K2601" s="3">
        <v>439.41</v>
      </c>
      <c r="L2601" s="3">
        <v>191.03</v>
      </c>
      <c r="M2601" s="4">
        <v>0</v>
      </c>
      <c r="N2601" s="3">
        <f t="shared" si="200"/>
        <v>3515.28</v>
      </c>
      <c r="O2601" s="3">
        <f t="shared" si="201"/>
        <v>3515.28</v>
      </c>
      <c r="P2601" s="3">
        <f t="shared" si="202"/>
        <v>1528.24</v>
      </c>
      <c r="Q2601" s="3">
        <f t="shared" si="203"/>
        <v>1987.04</v>
      </c>
      <c r="R2601" s="4">
        <f t="shared" si="204"/>
        <v>0.56530000000000002</v>
      </c>
      <c r="S2601" s="2">
        <v>14</v>
      </c>
      <c r="T2601" t="s">
        <v>30</v>
      </c>
      <c r="U2601">
        <v>2</v>
      </c>
    </row>
    <row r="2602" spans="1:21" x14ac:dyDescent="0.25">
      <c r="A2602" s="1">
        <v>46229</v>
      </c>
      <c r="B2602" t="s">
        <v>2790</v>
      </c>
      <c r="C2602" t="s">
        <v>321</v>
      </c>
      <c r="D2602" t="s">
        <v>101</v>
      </c>
      <c r="E2602" t="s">
        <v>35</v>
      </c>
      <c r="F2602" t="s">
        <v>64</v>
      </c>
      <c r="G2602" t="s">
        <v>51</v>
      </c>
      <c r="H2602" t="s">
        <v>59</v>
      </c>
      <c r="I2602" t="s">
        <v>39</v>
      </c>
      <c r="J2602" s="2">
        <v>3</v>
      </c>
      <c r="K2602" s="3">
        <v>2180.5100000000002</v>
      </c>
      <c r="L2602" s="3">
        <v>1360.21</v>
      </c>
      <c r="M2602" s="4">
        <v>4.36E-2</v>
      </c>
      <c r="N2602" s="3">
        <f t="shared" si="200"/>
        <v>6541.53</v>
      </c>
      <c r="O2602" s="3">
        <f t="shared" si="201"/>
        <v>6256.32</v>
      </c>
      <c r="P2602" s="3">
        <f t="shared" si="202"/>
        <v>4080.63</v>
      </c>
      <c r="Q2602" s="3">
        <f t="shared" si="203"/>
        <v>2175.69</v>
      </c>
      <c r="R2602" s="4">
        <f t="shared" si="204"/>
        <v>0.3478</v>
      </c>
      <c r="S2602" s="2">
        <v>4</v>
      </c>
      <c r="T2602" t="s">
        <v>46</v>
      </c>
      <c r="U2602">
        <v>4</v>
      </c>
    </row>
    <row r="2603" spans="1:21" x14ac:dyDescent="0.25">
      <c r="A2603" s="1">
        <v>46198</v>
      </c>
      <c r="B2603" t="s">
        <v>2791</v>
      </c>
      <c r="C2603" t="s">
        <v>112</v>
      </c>
      <c r="D2603" t="s">
        <v>56</v>
      </c>
      <c r="E2603" t="s">
        <v>57</v>
      </c>
      <c r="F2603" t="s">
        <v>36</v>
      </c>
      <c r="G2603" t="s">
        <v>37</v>
      </c>
      <c r="H2603" t="s">
        <v>38</v>
      </c>
      <c r="I2603" t="s">
        <v>53</v>
      </c>
      <c r="J2603" s="2">
        <v>8</v>
      </c>
      <c r="K2603" s="3">
        <v>431.42</v>
      </c>
      <c r="L2603" s="3">
        <v>191.82</v>
      </c>
      <c r="M2603" s="4">
        <v>2.8199999999999999E-2</v>
      </c>
      <c r="N2603" s="3">
        <f t="shared" si="200"/>
        <v>3451.36</v>
      </c>
      <c r="O2603" s="3">
        <f t="shared" si="201"/>
        <v>3354.03</v>
      </c>
      <c r="P2603" s="3">
        <f t="shared" si="202"/>
        <v>1534.56</v>
      </c>
      <c r="Q2603" s="3">
        <f t="shared" si="203"/>
        <v>1819.47</v>
      </c>
      <c r="R2603" s="4">
        <f t="shared" si="204"/>
        <v>0.54249999999999998</v>
      </c>
      <c r="S2603" s="2">
        <v>11</v>
      </c>
      <c r="T2603" t="s">
        <v>30</v>
      </c>
      <c r="U2603">
        <v>2</v>
      </c>
    </row>
    <row r="2604" spans="1:21" x14ac:dyDescent="0.25">
      <c r="A2604" s="1">
        <v>46177</v>
      </c>
      <c r="B2604" t="s">
        <v>2792</v>
      </c>
      <c r="C2604" t="s">
        <v>224</v>
      </c>
      <c r="D2604" t="s">
        <v>207</v>
      </c>
      <c r="E2604" t="s">
        <v>35</v>
      </c>
      <c r="F2604" t="s">
        <v>26</v>
      </c>
      <c r="G2604" t="s">
        <v>51</v>
      </c>
      <c r="H2604" t="s">
        <v>116</v>
      </c>
      <c r="I2604" t="s">
        <v>94</v>
      </c>
      <c r="J2604" s="2">
        <v>1</v>
      </c>
      <c r="K2604" s="3">
        <v>2635.36</v>
      </c>
      <c r="L2604" s="3">
        <v>1754.64</v>
      </c>
      <c r="M2604" s="4">
        <v>7.7499999999999999E-2</v>
      </c>
      <c r="N2604" s="3">
        <f t="shared" si="200"/>
        <v>2635.36</v>
      </c>
      <c r="O2604" s="3">
        <f t="shared" si="201"/>
        <v>2431.12</v>
      </c>
      <c r="P2604" s="3">
        <f t="shared" si="202"/>
        <v>1754.64</v>
      </c>
      <c r="Q2604" s="3">
        <f t="shared" si="203"/>
        <v>676.48</v>
      </c>
      <c r="R2604" s="4">
        <f t="shared" si="204"/>
        <v>0.27829999999999999</v>
      </c>
      <c r="S2604" s="2">
        <v>4</v>
      </c>
      <c r="T2604" t="s">
        <v>46</v>
      </c>
      <c r="U2604">
        <v>3</v>
      </c>
    </row>
    <row r="2605" spans="1:21" x14ac:dyDescent="0.25">
      <c r="A2605" s="1">
        <v>46058</v>
      </c>
      <c r="B2605" t="s">
        <v>2793</v>
      </c>
      <c r="C2605" t="s">
        <v>79</v>
      </c>
      <c r="D2605" t="s">
        <v>121</v>
      </c>
      <c r="E2605" t="s">
        <v>72</v>
      </c>
      <c r="F2605" t="s">
        <v>58</v>
      </c>
      <c r="G2605" t="s">
        <v>44</v>
      </c>
      <c r="H2605" t="s">
        <v>124</v>
      </c>
      <c r="I2605" t="s">
        <v>74</v>
      </c>
      <c r="J2605" s="2">
        <v>4</v>
      </c>
      <c r="K2605" s="3">
        <v>5728.26</v>
      </c>
      <c r="L2605" s="3">
        <v>4301.82</v>
      </c>
      <c r="M2605" s="4">
        <v>5.74E-2</v>
      </c>
      <c r="N2605" s="3">
        <f t="shared" si="200"/>
        <v>22913.040000000001</v>
      </c>
      <c r="O2605" s="3">
        <f t="shared" si="201"/>
        <v>21597.83</v>
      </c>
      <c r="P2605" s="3">
        <f t="shared" si="202"/>
        <v>17207.28</v>
      </c>
      <c r="Q2605" s="3">
        <f t="shared" si="203"/>
        <v>4390.55</v>
      </c>
      <c r="R2605" s="4">
        <f t="shared" si="204"/>
        <v>0.20330000000000001</v>
      </c>
      <c r="S2605" s="2">
        <v>8</v>
      </c>
      <c r="T2605" t="s">
        <v>46</v>
      </c>
      <c r="U2605">
        <v>3</v>
      </c>
    </row>
    <row r="2606" spans="1:21" x14ac:dyDescent="0.25">
      <c r="A2606" s="1">
        <v>46081</v>
      </c>
      <c r="B2606" t="s">
        <v>2794</v>
      </c>
      <c r="C2606" t="s">
        <v>144</v>
      </c>
      <c r="D2606" t="s">
        <v>24</v>
      </c>
      <c r="E2606" t="s">
        <v>25</v>
      </c>
      <c r="F2606" t="s">
        <v>64</v>
      </c>
      <c r="G2606" t="s">
        <v>27</v>
      </c>
      <c r="H2606" t="s">
        <v>68</v>
      </c>
      <c r="I2606" t="s">
        <v>65</v>
      </c>
      <c r="J2606" s="2">
        <v>1</v>
      </c>
      <c r="K2606" s="3">
        <v>1275.45</v>
      </c>
      <c r="L2606" s="3">
        <v>798.82</v>
      </c>
      <c r="M2606" s="4">
        <v>2.29E-2</v>
      </c>
      <c r="N2606" s="3">
        <f t="shared" si="200"/>
        <v>1275.45</v>
      </c>
      <c r="O2606" s="3">
        <f t="shared" si="201"/>
        <v>1246.24</v>
      </c>
      <c r="P2606" s="3">
        <f t="shared" si="202"/>
        <v>798.82</v>
      </c>
      <c r="Q2606" s="3">
        <f t="shared" si="203"/>
        <v>447.42</v>
      </c>
      <c r="R2606" s="4">
        <f t="shared" si="204"/>
        <v>0.35899999999999999</v>
      </c>
      <c r="S2606" s="2">
        <v>2</v>
      </c>
      <c r="T2606" t="s">
        <v>46</v>
      </c>
      <c r="U2606">
        <v>2</v>
      </c>
    </row>
    <row r="2607" spans="1:21" x14ac:dyDescent="0.25">
      <c r="A2607" s="1">
        <v>46194</v>
      </c>
      <c r="B2607" t="s">
        <v>2795</v>
      </c>
      <c r="C2607" t="s">
        <v>190</v>
      </c>
      <c r="D2607" t="s">
        <v>126</v>
      </c>
      <c r="E2607" t="s">
        <v>57</v>
      </c>
      <c r="F2607" t="s">
        <v>58</v>
      </c>
      <c r="G2607" t="s">
        <v>27</v>
      </c>
      <c r="H2607" t="s">
        <v>86</v>
      </c>
      <c r="I2607" t="s">
        <v>74</v>
      </c>
      <c r="J2607" s="2">
        <v>4</v>
      </c>
      <c r="K2607" s="3">
        <v>1872.7</v>
      </c>
      <c r="L2607" s="3">
        <v>1233.46</v>
      </c>
      <c r="M2607" s="4">
        <v>0.1326</v>
      </c>
      <c r="N2607" s="3">
        <f t="shared" si="200"/>
        <v>7490.8</v>
      </c>
      <c r="O2607" s="3">
        <f t="shared" si="201"/>
        <v>6497.52</v>
      </c>
      <c r="P2607" s="3">
        <f t="shared" si="202"/>
        <v>4933.84</v>
      </c>
      <c r="Q2607" s="3">
        <f t="shared" si="203"/>
        <v>1563.68</v>
      </c>
      <c r="R2607" s="4">
        <f t="shared" si="204"/>
        <v>0.2407</v>
      </c>
      <c r="S2607" s="2">
        <v>5</v>
      </c>
      <c r="T2607" t="s">
        <v>46</v>
      </c>
      <c r="U2607">
        <v>5</v>
      </c>
    </row>
    <row r="2608" spans="1:21" x14ac:dyDescent="0.25">
      <c r="A2608" s="1">
        <v>46174</v>
      </c>
      <c r="B2608" t="s">
        <v>2796</v>
      </c>
      <c r="C2608" t="s">
        <v>136</v>
      </c>
      <c r="D2608" t="s">
        <v>113</v>
      </c>
      <c r="E2608" t="s">
        <v>50</v>
      </c>
      <c r="F2608" t="s">
        <v>64</v>
      </c>
      <c r="G2608" t="s">
        <v>37</v>
      </c>
      <c r="H2608" t="s">
        <v>178</v>
      </c>
      <c r="I2608" t="s">
        <v>60</v>
      </c>
      <c r="J2608" s="2">
        <v>7</v>
      </c>
      <c r="K2608" s="3">
        <v>526.58000000000004</v>
      </c>
      <c r="L2608" s="3">
        <v>244.3</v>
      </c>
      <c r="M2608" s="4">
        <v>2.35E-2</v>
      </c>
      <c r="N2608" s="3">
        <f t="shared" si="200"/>
        <v>3686.06</v>
      </c>
      <c r="O2608" s="3">
        <f t="shared" si="201"/>
        <v>3599.44</v>
      </c>
      <c r="P2608" s="3">
        <f t="shared" si="202"/>
        <v>1710.1</v>
      </c>
      <c r="Q2608" s="3">
        <f t="shared" si="203"/>
        <v>1889.34</v>
      </c>
      <c r="R2608" s="4">
        <f t="shared" si="204"/>
        <v>0.52490000000000003</v>
      </c>
      <c r="S2608" s="2">
        <v>7</v>
      </c>
      <c r="T2608" t="s">
        <v>46</v>
      </c>
      <c r="U2608">
        <v>2</v>
      </c>
    </row>
    <row r="2609" spans="1:21" x14ac:dyDescent="0.25">
      <c r="A2609" s="1">
        <v>46065</v>
      </c>
      <c r="B2609" t="s">
        <v>2797</v>
      </c>
      <c r="C2609" t="s">
        <v>480</v>
      </c>
      <c r="D2609" t="s">
        <v>126</v>
      </c>
      <c r="E2609" t="s">
        <v>57</v>
      </c>
      <c r="F2609" t="s">
        <v>58</v>
      </c>
      <c r="G2609" t="s">
        <v>51</v>
      </c>
      <c r="H2609" t="s">
        <v>59</v>
      </c>
      <c r="I2609" t="s">
        <v>77</v>
      </c>
      <c r="J2609" s="2">
        <v>3</v>
      </c>
      <c r="K2609" s="3">
        <v>2246.7399999999998</v>
      </c>
      <c r="L2609" s="3">
        <v>1453.4</v>
      </c>
      <c r="M2609" s="4">
        <v>3.5000000000000003E-2</v>
      </c>
      <c r="N2609" s="3">
        <f t="shared" si="200"/>
        <v>6740.22</v>
      </c>
      <c r="O2609" s="3">
        <f t="shared" si="201"/>
        <v>6504.31</v>
      </c>
      <c r="P2609" s="3">
        <f t="shared" si="202"/>
        <v>4360.2</v>
      </c>
      <c r="Q2609" s="3">
        <f t="shared" si="203"/>
        <v>2144.11</v>
      </c>
      <c r="R2609" s="4">
        <f t="shared" si="204"/>
        <v>0.3296</v>
      </c>
      <c r="S2609" s="2">
        <v>8</v>
      </c>
      <c r="T2609" t="s">
        <v>46</v>
      </c>
      <c r="U2609">
        <v>2</v>
      </c>
    </row>
    <row r="2610" spans="1:21" x14ac:dyDescent="0.25">
      <c r="A2610" s="1">
        <v>46119</v>
      </c>
      <c r="B2610" t="s">
        <v>2798</v>
      </c>
      <c r="C2610" t="s">
        <v>182</v>
      </c>
      <c r="D2610" t="s">
        <v>49</v>
      </c>
      <c r="E2610" t="s">
        <v>50</v>
      </c>
      <c r="F2610" t="s">
        <v>58</v>
      </c>
      <c r="G2610" t="s">
        <v>27</v>
      </c>
      <c r="H2610" t="s">
        <v>68</v>
      </c>
      <c r="I2610" t="s">
        <v>92</v>
      </c>
      <c r="J2610" s="2">
        <v>3</v>
      </c>
      <c r="K2610" s="3">
        <v>1345.1</v>
      </c>
      <c r="L2610" s="3">
        <v>743.93</v>
      </c>
      <c r="M2610" s="4">
        <v>0.1239</v>
      </c>
      <c r="N2610" s="3">
        <f t="shared" si="200"/>
        <v>4035.3</v>
      </c>
      <c r="O2610" s="3">
        <f t="shared" si="201"/>
        <v>3535.33</v>
      </c>
      <c r="P2610" s="3">
        <f t="shared" si="202"/>
        <v>2231.79</v>
      </c>
      <c r="Q2610" s="3">
        <f t="shared" si="203"/>
        <v>1303.54</v>
      </c>
      <c r="R2610" s="4">
        <f t="shared" si="204"/>
        <v>0.36870000000000003</v>
      </c>
      <c r="S2610" s="2">
        <v>8</v>
      </c>
      <c r="T2610" t="s">
        <v>46</v>
      </c>
      <c r="U2610">
        <v>2</v>
      </c>
    </row>
    <row r="2611" spans="1:21" x14ac:dyDescent="0.25">
      <c r="A2611" s="1">
        <v>46228</v>
      </c>
      <c r="B2611" t="s">
        <v>2799</v>
      </c>
      <c r="C2611" t="s">
        <v>187</v>
      </c>
      <c r="D2611" t="s">
        <v>24</v>
      </c>
      <c r="E2611" t="s">
        <v>25</v>
      </c>
      <c r="F2611" t="s">
        <v>26</v>
      </c>
      <c r="G2611" t="s">
        <v>37</v>
      </c>
      <c r="H2611" t="s">
        <v>38</v>
      </c>
      <c r="I2611" t="s">
        <v>77</v>
      </c>
      <c r="J2611" s="2">
        <v>1</v>
      </c>
      <c r="K2611" s="3">
        <v>441.97</v>
      </c>
      <c r="L2611" s="3">
        <v>190.63</v>
      </c>
      <c r="M2611" s="4">
        <v>0.1231</v>
      </c>
      <c r="N2611" s="3">
        <f t="shared" si="200"/>
        <v>441.97</v>
      </c>
      <c r="O2611" s="3">
        <f t="shared" si="201"/>
        <v>387.56</v>
      </c>
      <c r="P2611" s="3">
        <f t="shared" si="202"/>
        <v>190.63</v>
      </c>
      <c r="Q2611" s="3">
        <f t="shared" si="203"/>
        <v>196.93</v>
      </c>
      <c r="R2611" s="4">
        <f t="shared" si="204"/>
        <v>0.5081</v>
      </c>
      <c r="S2611" s="2">
        <v>7</v>
      </c>
      <c r="T2611" t="s">
        <v>46</v>
      </c>
      <c r="U2611">
        <v>3</v>
      </c>
    </row>
    <row r="2612" spans="1:21" x14ac:dyDescent="0.25">
      <c r="A2612" s="1">
        <v>46163</v>
      </c>
      <c r="B2612" t="s">
        <v>2800</v>
      </c>
      <c r="C2612" t="s">
        <v>216</v>
      </c>
      <c r="D2612" t="s">
        <v>49</v>
      </c>
      <c r="E2612" t="s">
        <v>50</v>
      </c>
      <c r="F2612" t="s">
        <v>36</v>
      </c>
      <c r="G2612" t="s">
        <v>51</v>
      </c>
      <c r="H2612" t="s">
        <v>59</v>
      </c>
      <c r="I2612" t="s">
        <v>60</v>
      </c>
      <c r="J2612" s="2">
        <v>6</v>
      </c>
      <c r="K2612" s="3">
        <v>2247.13</v>
      </c>
      <c r="L2612" s="3">
        <v>1405.22</v>
      </c>
      <c r="M2612" s="4">
        <v>3.3999999999999998E-3</v>
      </c>
      <c r="N2612" s="3">
        <f t="shared" si="200"/>
        <v>13482.78</v>
      </c>
      <c r="O2612" s="3">
        <f t="shared" si="201"/>
        <v>13436.94</v>
      </c>
      <c r="P2612" s="3">
        <f t="shared" si="202"/>
        <v>8431.32</v>
      </c>
      <c r="Q2612" s="3">
        <f t="shared" si="203"/>
        <v>5005.62</v>
      </c>
      <c r="R2612" s="4">
        <f t="shared" si="204"/>
        <v>0.3725</v>
      </c>
      <c r="S2612" s="2">
        <v>13</v>
      </c>
      <c r="T2612" t="s">
        <v>30</v>
      </c>
      <c r="U2612">
        <v>5</v>
      </c>
    </row>
    <row r="2613" spans="1:21" x14ac:dyDescent="0.25">
      <c r="A2613" s="1">
        <v>46098</v>
      </c>
      <c r="B2613" t="s">
        <v>2801</v>
      </c>
      <c r="C2613" t="s">
        <v>150</v>
      </c>
      <c r="D2613" t="s">
        <v>43</v>
      </c>
      <c r="E2613" t="s">
        <v>25</v>
      </c>
      <c r="F2613" t="s">
        <v>36</v>
      </c>
      <c r="G2613" t="s">
        <v>27</v>
      </c>
      <c r="H2613" t="s">
        <v>28</v>
      </c>
      <c r="I2613" t="s">
        <v>65</v>
      </c>
      <c r="J2613" s="2">
        <v>3</v>
      </c>
      <c r="K2613" s="3">
        <v>787.16</v>
      </c>
      <c r="L2613" s="3">
        <v>475.04</v>
      </c>
      <c r="M2613" s="4">
        <v>8.1100000000000005E-2</v>
      </c>
      <c r="N2613" s="3">
        <f t="shared" si="200"/>
        <v>2361.48</v>
      </c>
      <c r="O2613" s="3">
        <f t="shared" si="201"/>
        <v>2169.96</v>
      </c>
      <c r="P2613" s="3">
        <f t="shared" si="202"/>
        <v>1425.12</v>
      </c>
      <c r="Q2613" s="3">
        <f t="shared" si="203"/>
        <v>744.84</v>
      </c>
      <c r="R2613" s="4">
        <f t="shared" si="204"/>
        <v>0.34329999999999999</v>
      </c>
      <c r="S2613" s="2">
        <v>10</v>
      </c>
      <c r="T2613" t="s">
        <v>46</v>
      </c>
      <c r="U2613">
        <v>5</v>
      </c>
    </row>
    <row r="2614" spans="1:21" x14ac:dyDescent="0.25">
      <c r="A2614" s="1">
        <v>46210</v>
      </c>
      <c r="B2614" t="s">
        <v>2802</v>
      </c>
      <c r="C2614" t="s">
        <v>370</v>
      </c>
      <c r="D2614" t="s">
        <v>56</v>
      </c>
      <c r="E2614" t="s">
        <v>57</v>
      </c>
      <c r="F2614" t="s">
        <v>26</v>
      </c>
      <c r="G2614" t="s">
        <v>27</v>
      </c>
      <c r="H2614" t="s">
        <v>68</v>
      </c>
      <c r="I2614" t="s">
        <v>60</v>
      </c>
      <c r="J2614" s="2">
        <v>5</v>
      </c>
      <c r="K2614" s="3">
        <v>1341.46</v>
      </c>
      <c r="L2614" s="3">
        <v>768.41</v>
      </c>
      <c r="M2614" s="4">
        <v>6.6900000000000001E-2</v>
      </c>
      <c r="N2614" s="3">
        <f t="shared" si="200"/>
        <v>6707.3</v>
      </c>
      <c r="O2614" s="3">
        <f t="shared" si="201"/>
        <v>6258.58</v>
      </c>
      <c r="P2614" s="3">
        <f t="shared" si="202"/>
        <v>3842.05</v>
      </c>
      <c r="Q2614" s="3">
        <f t="shared" si="203"/>
        <v>2416.5300000000002</v>
      </c>
      <c r="R2614" s="4">
        <f t="shared" si="204"/>
        <v>0.3861</v>
      </c>
      <c r="S2614" s="2">
        <v>14</v>
      </c>
      <c r="T2614" t="s">
        <v>30</v>
      </c>
      <c r="U2614">
        <v>5</v>
      </c>
    </row>
    <row r="2615" spans="1:21" x14ac:dyDescent="0.25">
      <c r="A2615" s="1">
        <v>46091</v>
      </c>
      <c r="B2615" t="s">
        <v>2803</v>
      </c>
      <c r="C2615" t="s">
        <v>464</v>
      </c>
      <c r="D2615" t="s">
        <v>97</v>
      </c>
      <c r="E2615" t="s">
        <v>57</v>
      </c>
      <c r="F2615" t="s">
        <v>58</v>
      </c>
      <c r="G2615" t="s">
        <v>51</v>
      </c>
      <c r="H2615" t="s">
        <v>59</v>
      </c>
      <c r="I2615" t="s">
        <v>29</v>
      </c>
      <c r="J2615" s="2">
        <v>3</v>
      </c>
      <c r="K2615" s="3">
        <v>2254.29</v>
      </c>
      <c r="L2615" s="3">
        <v>1374.47</v>
      </c>
      <c r="M2615" s="4">
        <v>3.5000000000000003E-2</v>
      </c>
      <c r="N2615" s="3">
        <f t="shared" si="200"/>
        <v>6762.87</v>
      </c>
      <c r="O2615" s="3">
        <f t="shared" si="201"/>
        <v>6526.17</v>
      </c>
      <c r="P2615" s="3">
        <f t="shared" si="202"/>
        <v>4123.41</v>
      </c>
      <c r="Q2615" s="3">
        <f t="shared" si="203"/>
        <v>2402.7600000000002</v>
      </c>
      <c r="R2615" s="4">
        <f t="shared" si="204"/>
        <v>0.36820000000000003</v>
      </c>
      <c r="S2615" s="2">
        <v>14</v>
      </c>
      <c r="T2615" t="s">
        <v>30</v>
      </c>
      <c r="U2615">
        <v>3</v>
      </c>
    </row>
    <row r="2616" spans="1:21" x14ac:dyDescent="0.25">
      <c r="A2616" s="1">
        <v>46217</v>
      </c>
      <c r="B2616" t="s">
        <v>2804</v>
      </c>
      <c r="C2616" t="s">
        <v>500</v>
      </c>
      <c r="D2616" t="s">
        <v>56</v>
      </c>
      <c r="E2616" t="s">
        <v>57</v>
      </c>
      <c r="F2616" t="s">
        <v>36</v>
      </c>
      <c r="G2616" t="s">
        <v>37</v>
      </c>
      <c r="H2616" t="s">
        <v>38</v>
      </c>
      <c r="I2616" t="s">
        <v>77</v>
      </c>
      <c r="J2616" s="2">
        <v>4</v>
      </c>
      <c r="K2616" s="3">
        <v>452.85</v>
      </c>
      <c r="L2616" s="3">
        <v>191.26</v>
      </c>
      <c r="M2616" s="4">
        <v>0.1211</v>
      </c>
      <c r="N2616" s="3">
        <f t="shared" si="200"/>
        <v>1811.4</v>
      </c>
      <c r="O2616" s="3">
        <f t="shared" si="201"/>
        <v>1592.04</v>
      </c>
      <c r="P2616" s="3">
        <f t="shared" si="202"/>
        <v>765.04</v>
      </c>
      <c r="Q2616" s="3">
        <f t="shared" si="203"/>
        <v>827</v>
      </c>
      <c r="R2616" s="4">
        <f t="shared" si="204"/>
        <v>0.51949999999999996</v>
      </c>
      <c r="S2616" s="2">
        <v>10</v>
      </c>
      <c r="T2616" t="s">
        <v>46</v>
      </c>
      <c r="U2616">
        <v>2</v>
      </c>
    </row>
    <row r="2617" spans="1:21" x14ac:dyDescent="0.25">
      <c r="A2617" s="1">
        <v>46149</v>
      </c>
      <c r="B2617" t="s">
        <v>2805</v>
      </c>
      <c r="C2617" t="s">
        <v>62</v>
      </c>
      <c r="D2617" t="s">
        <v>85</v>
      </c>
      <c r="E2617" t="s">
        <v>50</v>
      </c>
      <c r="F2617" t="s">
        <v>26</v>
      </c>
      <c r="G2617" t="s">
        <v>44</v>
      </c>
      <c r="H2617" t="s">
        <v>45</v>
      </c>
      <c r="I2617" t="s">
        <v>94</v>
      </c>
      <c r="J2617" s="2">
        <v>3</v>
      </c>
      <c r="K2617" s="3">
        <v>398.88</v>
      </c>
      <c r="L2617" s="3">
        <v>214.14</v>
      </c>
      <c r="M2617" s="4">
        <v>0.12280000000000001</v>
      </c>
      <c r="N2617" s="3">
        <f t="shared" si="200"/>
        <v>1196.6400000000001</v>
      </c>
      <c r="O2617" s="3">
        <f t="shared" si="201"/>
        <v>1049.69</v>
      </c>
      <c r="P2617" s="3">
        <f t="shared" si="202"/>
        <v>642.41999999999996</v>
      </c>
      <c r="Q2617" s="3">
        <f t="shared" si="203"/>
        <v>407.27</v>
      </c>
      <c r="R2617" s="4">
        <f t="shared" si="204"/>
        <v>0.38800000000000001</v>
      </c>
      <c r="S2617" s="2">
        <v>13</v>
      </c>
      <c r="T2617" t="s">
        <v>30</v>
      </c>
      <c r="U2617">
        <v>2</v>
      </c>
    </row>
    <row r="2618" spans="1:21" x14ac:dyDescent="0.25">
      <c r="A2618" s="1">
        <v>46035</v>
      </c>
      <c r="B2618" t="s">
        <v>2806</v>
      </c>
      <c r="C2618" t="s">
        <v>195</v>
      </c>
      <c r="D2618" t="s">
        <v>121</v>
      </c>
      <c r="E2618" t="s">
        <v>72</v>
      </c>
      <c r="F2618" t="s">
        <v>26</v>
      </c>
      <c r="G2618" t="s">
        <v>37</v>
      </c>
      <c r="H2618" t="s">
        <v>104</v>
      </c>
      <c r="I2618" t="s">
        <v>29</v>
      </c>
      <c r="J2618" s="2">
        <v>3</v>
      </c>
      <c r="K2618" s="3">
        <v>317.3</v>
      </c>
      <c r="L2618" s="3">
        <v>143.13</v>
      </c>
      <c r="M2618" s="4">
        <v>0</v>
      </c>
      <c r="N2618" s="3">
        <f t="shared" si="200"/>
        <v>951.9</v>
      </c>
      <c r="O2618" s="3">
        <f t="shared" si="201"/>
        <v>951.9</v>
      </c>
      <c r="P2618" s="3">
        <f t="shared" si="202"/>
        <v>429.39</v>
      </c>
      <c r="Q2618" s="3">
        <f t="shared" si="203"/>
        <v>522.51</v>
      </c>
      <c r="R2618" s="4">
        <f t="shared" si="204"/>
        <v>0.54890000000000005</v>
      </c>
      <c r="S2618" s="2">
        <v>8</v>
      </c>
      <c r="T2618" t="s">
        <v>46</v>
      </c>
      <c r="U2618">
        <v>5</v>
      </c>
    </row>
    <row r="2619" spans="1:21" x14ac:dyDescent="0.25">
      <c r="A2619" s="1">
        <v>46068</v>
      </c>
      <c r="B2619" t="s">
        <v>2807</v>
      </c>
      <c r="C2619" t="s">
        <v>308</v>
      </c>
      <c r="D2619" t="s">
        <v>43</v>
      </c>
      <c r="E2619" t="s">
        <v>25</v>
      </c>
      <c r="F2619" t="s">
        <v>58</v>
      </c>
      <c r="G2619" t="s">
        <v>27</v>
      </c>
      <c r="H2619" t="s">
        <v>86</v>
      </c>
      <c r="I2619" t="s">
        <v>60</v>
      </c>
      <c r="J2619" s="2">
        <v>8</v>
      </c>
      <c r="K2619" s="3">
        <v>1816.96</v>
      </c>
      <c r="L2619" s="3">
        <v>1253.48</v>
      </c>
      <c r="M2619" s="4">
        <v>0.105</v>
      </c>
      <c r="N2619" s="3">
        <f t="shared" si="200"/>
        <v>14535.68</v>
      </c>
      <c r="O2619" s="3">
        <f t="shared" si="201"/>
        <v>13009.43</v>
      </c>
      <c r="P2619" s="3">
        <f t="shared" si="202"/>
        <v>10027.84</v>
      </c>
      <c r="Q2619" s="3">
        <f t="shared" si="203"/>
        <v>2981.59</v>
      </c>
      <c r="R2619" s="4">
        <f t="shared" si="204"/>
        <v>0.22919999999999999</v>
      </c>
      <c r="S2619" s="2">
        <v>7</v>
      </c>
      <c r="T2619" t="s">
        <v>46</v>
      </c>
      <c r="U2619">
        <v>3</v>
      </c>
    </row>
    <row r="2620" spans="1:21" x14ac:dyDescent="0.25">
      <c r="A2620" s="1">
        <v>46162</v>
      </c>
      <c r="B2620" t="s">
        <v>2808</v>
      </c>
      <c r="C2620" t="s">
        <v>182</v>
      </c>
      <c r="D2620" t="s">
        <v>101</v>
      </c>
      <c r="E2620" t="s">
        <v>35</v>
      </c>
      <c r="F2620" t="s">
        <v>36</v>
      </c>
      <c r="G2620" t="s">
        <v>44</v>
      </c>
      <c r="H2620" t="s">
        <v>73</v>
      </c>
      <c r="I2620" t="s">
        <v>77</v>
      </c>
      <c r="J2620" s="2">
        <v>8</v>
      </c>
      <c r="K2620" s="3">
        <v>1623.85</v>
      </c>
      <c r="L2620" s="3">
        <v>1073.44</v>
      </c>
      <c r="M2620" s="4">
        <v>6.5199999999999994E-2</v>
      </c>
      <c r="N2620" s="3">
        <f t="shared" si="200"/>
        <v>12990.8</v>
      </c>
      <c r="O2620" s="3">
        <f t="shared" si="201"/>
        <v>12143.8</v>
      </c>
      <c r="P2620" s="3">
        <f t="shared" si="202"/>
        <v>8587.52</v>
      </c>
      <c r="Q2620" s="3">
        <f t="shared" si="203"/>
        <v>3556.28</v>
      </c>
      <c r="R2620" s="4">
        <f t="shared" si="204"/>
        <v>0.2928</v>
      </c>
      <c r="S2620" s="2">
        <v>5</v>
      </c>
      <c r="T2620" t="s">
        <v>46</v>
      </c>
      <c r="U2620">
        <v>5</v>
      </c>
    </row>
    <row r="2621" spans="1:21" x14ac:dyDescent="0.25">
      <c r="A2621" s="1">
        <v>46164</v>
      </c>
      <c r="B2621" t="s">
        <v>2809</v>
      </c>
      <c r="C2621" t="s">
        <v>247</v>
      </c>
      <c r="D2621" t="s">
        <v>126</v>
      </c>
      <c r="E2621" t="s">
        <v>57</v>
      </c>
      <c r="F2621" t="s">
        <v>26</v>
      </c>
      <c r="G2621" t="s">
        <v>51</v>
      </c>
      <c r="H2621" t="s">
        <v>116</v>
      </c>
      <c r="I2621" t="s">
        <v>29</v>
      </c>
      <c r="J2621" s="2">
        <v>8</v>
      </c>
      <c r="K2621" s="3">
        <v>2907.58</v>
      </c>
      <c r="L2621" s="3">
        <v>1842.29</v>
      </c>
      <c r="M2621" s="4">
        <v>0</v>
      </c>
      <c r="N2621" s="3">
        <f t="shared" si="200"/>
        <v>23260.639999999999</v>
      </c>
      <c r="O2621" s="3">
        <f t="shared" si="201"/>
        <v>23260.639999999999</v>
      </c>
      <c r="P2621" s="3">
        <f t="shared" si="202"/>
        <v>14738.32</v>
      </c>
      <c r="Q2621" s="3">
        <f t="shared" si="203"/>
        <v>8522.32</v>
      </c>
      <c r="R2621" s="4">
        <f t="shared" si="204"/>
        <v>0.3664</v>
      </c>
      <c r="S2621" s="2">
        <v>9</v>
      </c>
      <c r="T2621" t="s">
        <v>46</v>
      </c>
      <c r="U2621">
        <v>4</v>
      </c>
    </row>
    <row r="2622" spans="1:21" x14ac:dyDescent="0.25">
      <c r="A2622" s="1">
        <v>46217</v>
      </c>
      <c r="B2622" t="s">
        <v>2810</v>
      </c>
      <c r="C2622" t="s">
        <v>247</v>
      </c>
      <c r="D2622" t="s">
        <v>71</v>
      </c>
      <c r="E2622" t="s">
        <v>72</v>
      </c>
      <c r="F2622" t="s">
        <v>58</v>
      </c>
      <c r="G2622" t="s">
        <v>37</v>
      </c>
      <c r="H2622" t="s">
        <v>178</v>
      </c>
      <c r="I2622" t="s">
        <v>39</v>
      </c>
      <c r="J2622" s="2">
        <v>2</v>
      </c>
      <c r="K2622" s="3">
        <v>540.19000000000005</v>
      </c>
      <c r="L2622" s="3">
        <v>255.17</v>
      </c>
      <c r="M2622" s="4">
        <v>3.5000000000000003E-2</v>
      </c>
      <c r="N2622" s="3">
        <f t="shared" si="200"/>
        <v>1080.3800000000001</v>
      </c>
      <c r="O2622" s="3">
        <f t="shared" si="201"/>
        <v>1042.57</v>
      </c>
      <c r="P2622" s="3">
        <f t="shared" si="202"/>
        <v>510.34</v>
      </c>
      <c r="Q2622" s="3">
        <f t="shared" si="203"/>
        <v>532.23</v>
      </c>
      <c r="R2622" s="4">
        <f t="shared" si="204"/>
        <v>0.51049999999999995</v>
      </c>
      <c r="S2622" s="2">
        <v>2</v>
      </c>
      <c r="T2622" t="s">
        <v>46</v>
      </c>
      <c r="U2622">
        <v>4</v>
      </c>
    </row>
    <row r="2623" spans="1:21" x14ac:dyDescent="0.25">
      <c r="A2623" s="1">
        <v>46147</v>
      </c>
      <c r="B2623" t="s">
        <v>2811</v>
      </c>
      <c r="C2623" t="s">
        <v>220</v>
      </c>
      <c r="D2623" t="s">
        <v>63</v>
      </c>
      <c r="E2623" t="s">
        <v>35</v>
      </c>
      <c r="F2623" t="s">
        <v>58</v>
      </c>
      <c r="G2623" t="s">
        <v>44</v>
      </c>
      <c r="H2623" t="s">
        <v>45</v>
      </c>
      <c r="I2623" t="s">
        <v>94</v>
      </c>
      <c r="J2623" s="2">
        <v>8</v>
      </c>
      <c r="K2623" s="3">
        <v>369.05</v>
      </c>
      <c r="L2623" s="3">
        <v>207.65</v>
      </c>
      <c r="M2623" s="4">
        <v>0.1421</v>
      </c>
      <c r="N2623" s="3">
        <f t="shared" si="200"/>
        <v>2952.4</v>
      </c>
      <c r="O2623" s="3">
        <f t="shared" si="201"/>
        <v>2532.86</v>
      </c>
      <c r="P2623" s="3">
        <f t="shared" si="202"/>
        <v>1661.2</v>
      </c>
      <c r="Q2623" s="3">
        <f t="shared" si="203"/>
        <v>871.66</v>
      </c>
      <c r="R2623" s="4">
        <f t="shared" si="204"/>
        <v>0.34410000000000002</v>
      </c>
      <c r="S2623" s="2">
        <v>11</v>
      </c>
      <c r="T2623" t="s">
        <v>30</v>
      </c>
      <c r="U2623">
        <v>2</v>
      </c>
    </row>
    <row r="2624" spans="1:21" x14ac:dyDescent="0.25">
      <c r="A2624" s="1">
        <v>46195</v>
      </c>
      <c r="B2624" t="s">
        <v>2812</v>
      </c>
      <c r="C2624" t="s">
        <v>456</v>
      </c>
      <c r="D2624" t="s">
        <v>126</v>
      </c>
      <c r="E2624" t="s">
        <v>57</v>
      </c>
      <c r="F2624" t="s">
        <v>58</v>
      </c>
      <c r="G2624" t="s">
        <v>51</v>
      </c>
      <c r="H2624" t="s">
        <v>52</v>
      </c>
      <c r="I2624" t="s">
        <v>74</v>
      </c>
      <c r="J2624" s="2">
        <v>2</v>
      </c>
      <c r="K2624" s="3">
        <v>251</v>
      </c>
      <c r="L2624" s="3">
        <v>116.18</v>
      </c>
      <c r="M2624" s="4">
        <v>3.5000000000000003E-2</v>
      </c>
      <c r="N2624" s="3">
        <f t="shared" si="200"/>
        <v>502</v>
      </c>
      <c r="O2624" s="3">
        <f t="shared" si="201"/>
        <v>484.43</v>
      </c>
      <c r="P2624" s="3">
        <f t="shared" si="202"/>
        <v>232.36</v>
      </c>
      <c r="Q2624" s="3">
        <f t="shared" si="203"/>
        <v>252.07</v>
      </c>
      <c r="R2624" s="4">
        <f t="shared" si="204"/>
        <v>0.52029999999999998</v>
      </c>
      <c r="S2624" s="2">
        <v>12</v>
      </c>
      <c r="T2624" t="s">
        <v>30</v>
      </c>
      <c r="U2624">
        <v>3</v>
      </c>
    </row>
    <row r="2625" spans="1:22" x14ac:dyDescent="0.25">
      <c r="A2625" s="1">
        <v>46030</v>
      </c>
      <c r="B2625" t="s">
        <v>2813</v>
      </c>
      <c r="C2625" t="s">
        <v>275</v>
      </c>
      <c r="D2625" t="s">
        <v>121</v>
      </c>
      <c r="E2625" t="s">
        <v>72</v>
      </c>
      <c r="F2625" t="s">
        <v>26</v>
      </c>
      <c r="G2625" t="s">
        <v>27</v>
      </c>
      <c r="H2625" t="s">
        <v>86</v>
      </c>
      <c r="I2625" t="s">
        <v>39</v>
      </c>
      <c r="J2625" s="2">
        <v>4</v>
      </c>
      <c r="K2625" s="3">
        <v>1917.1</v>
      </c>
      <c r="L2625" s="3">
        <v>1256.3</v>
      </c>
      <c r="M2625" s="4">
        <v>0</v>
      </c>
      <c r="N2625" s="3">
        <f t="shared" si="200"/>
        <v>7668.4</v>
      </c>
      <c r="O2625" s="3">
        <f t="shared" si="201"/>
        <v>7668.4</v>
      </c>
      <c r="P2625" s="3">
        <f t="shared" si="202"/>
        <v>5025.2</v>
      </c>
      <c r="Q2625" s="3">
        <f t="shared" si="203"/>
        <v>2643.2</v>
      </c>
      <c r="R2625" s="4">
        <f t="shared" si="204"/>
        <v>0.34470000000000001</v>
      </c>
      <c r="S2625" s="2">
        <v>4</v>
      </c>
      <c r="T2625" t="s">
        <v>46</v>
      </c>
      <c r="U2625">
        <v>2</v>
      </c>
    </row>
    <row r="2626" spans="1:22" x14ac:dyDescent="0.25">
      <c r="A2626" s="1">
        <v>46040</v>
      </c>
      <c r="B2626" t="s">
        <v>2814</v>
      </c>
      <c r="C2626" t="s">
        <v>120</v>
      </c>
      <c r="D2626" t="s">
        <v>71</v>
      </c>
      <c r="E2626" t="s">
        <v>72</v>
      </c>
      <c r="F2626" t="s">
        <v>58</v>
      </c>
      <c r="G2626" t="s">
        <v>27</v>
      </c>
      <c r="H2626" t="s">
        <v>86</v>
      </c>
      <c r="I2626" t="s">
        <v>92</v>
      </c>
      <c r="J2626" s="2">
        <v>4</v>
      </c>
      <c r="K2626" s="3">
        <v>1805.32</v>
      </c>
      <c r="L2626" s="3">
        <v>1190.19</v>
      </c>
      <c r="M2626" s="4">
        <v>6.4799999999999996E-2</v>
      </c>
      <c r="N2626" s="3">
        <f t="shared" ref="N2626:N2689" si="205">ROUND(J2626*K2626,2)</f>
        <v>7221.28</v>
      </c>
      <c r="O2626" s="3">
        <f t="shared" ref="O2626:O2689" si="206">ROUND(N2626*(1-M2626),2)</f>
        <v>6753.34</v>
      </c>
      <c r="P2626" s="3">
        <f t="shared" ref="P2626:P2689" si="207">ROUND(J2626*L2626,2)</f>
        <v>4760.76</v>
      </c>
      <c r="Q2626" s="3">
        <f t="shared" ref="Q2626:Q2689" si="208">ROUND(O2626-P2626,2)</f>
        <v>1992.58</v>
      </c>
      <c r="R2626" s="4">
        <f t="shared" ref="R2626:R2689" si="209">IF(O2626=0,0,ROUND(Q2626/O2626,4))</f>
        <v>0.29509999999999997</v>
      </c>
      <c r="S2626" s="2">
        <v>2</v>
      </c>
      <c r="T2626" t="s">
        <v>46</v>
      </c>
      <c r="U2626">
        <v>5</v>
      </c>
    </row>
    <row r="2627" spans="1:22" x14ac:dyDescent="0.25">
      <c r="A2627" s="1">
        <v>46118</v>
      </c>
      <c r="B2627" t="s">
        <v>2815</v>
      </c>
      <c r="C2627" t="s">
        <v>100</v>
      </c>
      <c r="D2627" t="s">
        <v>130</v>
      </c>
      <c r="E2627" t="s">
        <v>72</v>
      </c>
      <c r="F2627" t="s">
        <v>26</v>
      </c>
      <c r="G2627" t="s">
        <v>37</v>
      </c>
      <c r="H2627" t="s">
        <v>104</v>
      </c>
      <c r="I2627" t="s">
        <v>39</v>
      </c>
      <c r="J2627" s="2">
        <v>7</v>
      </c>
      <c r="K2627" s="3">
        <v>324.52</v>
      </c>
      <c r="L2627" s="3">
        <v>134.43</v>
      </c>
      <c r="M2627" s="4">
        <v>0</v>
      </c>
      <c r="N2627" s="3">
        <f t="shared" si="205"/>
        <v>2271.64</v>
      </c>
      <c r="O2627" s="3">
        <f t="shared" si="206"/>
        <v>2271.64</v>
      </c>
      <c r="P2627" s="3">
        <f t="shared" si="207"/>
        <v>941.01</v>
      </c>
      <c r="Q2627" s="3">
        <f t="shared" si="208"/>
        <v>1330.63</v>
      </c>
      <c r="R2627" s="4">
        <f t="shared" si="209"/>
        <v>0.58579999999999999</v>
      </c>
      <c r="S2627" s="2">
        <v>12</v>
      </c>
      <c r="T2627" t="s">
        <v>30</v>
      </c>
      <c r="U2627">
        <v>4</v>
      </c>
    </row>
    <row r="2628" spans="1:22" x14ac:dyDescent="0.25">
      <c r="A2628" s="1">
        <v>46092</v>
      </c>
      <c r="B2628" t="s">
        <v>2816</v>
      </c>
      <c r="C2628" t="s">
        <v>115</v>
      </c>
      <c r="D2628" t="s">
        <v>97</v>
      </c>
      <c r="E2628" t="s">
        <v>57</v>
      </c>
      <c r="F2628" t="s">
        <v>58</v>
      </c>
      <c r="G2628" t="s">
        <v>51</v>
      </c>
      <c r="H2628" t="s">
        <v>116</v>
      </c>
      <c r="I2628" t="s">
        <v>77</v>
      </c>
      <c r="J2628" s="2">
        <v>2</v>
      </c>
      <c r="K2628" s="3">
        <v>2698.55</v>
      </c>
      <c r="L2628" s="3">
        <v>1828.24</v>
      </c>
      <c r="M2628" s="4">
        <v>3.5000000000000003E-2</v>
      </c>
      <c r="N2628" s="3">
        <f t="shared" si="205"/>
        <v>5397.1</v>
      </c>
      <c r="O2628" s="3">
        <f t="shared" si="206"/>
        <v>5208.2</v>
      </c>
      <c r="P2628" s="3">
        <f t="shared" si="207"/>
        <v>3656.48</v>
      </c>
      <c r="Q2628" s="3">
        <f t="shared" si="208"/>
        <v>1551.72</v>
      </c>
      <c r="R2628" s="4">
        <f t="shared" si="209"/>
        <v>0.2979</v>
      </c>
      <c r="S2628" s="2">
        <v>10</v>
      </c>
      <c r="T2628" t="s">
        <v>46</v>
      </c>
      <c r="U2628">
        <v>2</v>
      </c>
    </row>
    <row r="2629" spans="1:22" x14ac:dyDescent="0.25">
      <c r="A2629" s="1">
        <v>46103</v>
      </c>
      <c r="B2629" t="s">
        <v>2817</v>
      </c>
      <c r="C2629" t="s">
        <v>153</v>
      </c>
      <c r="D2629" t="s">
        <v>71</v>
      </c>
      <c r="E2629" t="s">
        <v>72</v>
      </c>
      <c r="F2629" t="s">
        <v>58</v>
      </c>
      <c r="G2629" t="s">
        <v>44</v>
      </c>
      <c r="H2629" t="s">
        <v>73</v>
      </c>
      <c r="I2629" t="s">
        <v>77</v>
      </c>
      <c r="J2629" s="2">
        <v>6</v>
      </c>
      <c r="K2629" s="3">
        <v>1773.62</v>
      </c>
      <c r="L2629" s="3">
        <v>1077.2</v>
      </c>
      <c r="M2629" s="4">
        <v>3.5000000000000003E-2</v>
      </c>
      <c r="N2629" s="3">
        <f t="shared" si="205"/>
        <v>10641.72</v>
      </c>
      <c r="O2629" s="3">
        <f t="shared" si="206"/>
        <v>10269.26</v>
      </c>
      <c r="P2629" s="3">
        <f t="shared" si="207"/>
        <v>6463.2</v>
      </c>
      <c r="Q2629" s="3">
        <f t="shared" si="208"/>
        <v>3806.06</v>
      </c>
      <c r="R2629" s="4">
        <f t="shared" si="209"/>
        <v>0.37059999999999998</v>
      </c>
      <c r="S2629" s="2">
        <v>13</v>
      </c>
      <c r="T2629" t="s">
        <v>30</v>
      </c>
      <c r="U2629">
        <v>5</v>
      </c>
    </row>
    <row r="2630" spans="1:22" x14ac:dyDescent="0.25">
      <c r="A2630" s="1">
        <v>46085</v>
      </c>
      <c r="B2630" t="s">
        <v>2818</v>
      </c>
      <c r="C2630" t="s">
        <v>187</v>
      </c>
      <c r="D2630" t="s">
        <v>34</v>
      </c>
      <c r="E2630" t="s">
        <v>35</v>
      </c>
      <c r="F2630" t="s">
        <v>58</v>
      </c>
      <c r="G2630" t="s">
        <v>37</v>
      </c>
      <c r="H2630" t="s">
        <v>104</v>
      </c>
      <c r="I2630" t="s">
        <v>65</v>
      </c>
      <c r="J2630" s="2">
        <v>2</v>
      </c>
      <c r="K2630" s="3">
        <v>307.92</v>
      </c>
      <c r="L2630" s="3">
        <v>131.47</v>
      </c>
      <c r="M2630" s="4">
        <v>3.5000000000000003E-2</v>
      </c>
      <c r="N2630" s="3">
        <f t="shared" si="205"/>
        <v>615.84</v>
      </c>
      <c r="O2630" s="3">
        <f t="shared" si="206"/>
        <v>594.29</v>
      </c>
      <c r="P2630" s="3">
        <f t="shared" si="207"/>
        <v>262.94</v>
      </c>
      <c r="Q2630" s="3">
        <f t="shared" si="208"/>
        <v>331.35</v>
      </c>
      <c r="R2630" s="4">
        <f t="shared" si="209"/>
        <v>0.55759999999999998</v>
      </c>
      <c r="S2630" s="2">
        <v>33</v>
      </c>
      <c r="T2630" t="s">
        <v>30</v>
      </c>
      <c r="U2630">
        <v>1</v>
      </c>
      <c r="V2630" t="s">
        <v>208</v>
      </c>
    </row>
    <row r="2631" spans="1:22" x14ac:dyDescent="0.25">
      <c r="A2631" s="1">
        <v>46126</v>
      </c>
      <c r="B2631" t="s">
        <v>2819</v>
      </c>
      <c r="C2631" t="s">
        <v>527</v>
      </c>
      <c r="D2631" t="s">
        <v>101</v>
      </c>
      <c r="E2631" t="s">
        <v>35</v>
      </c>
      <c r="F2631" t="s">
        <v>64</v>
      </c>
      <c r="G2631" t="s">
        <v>51</v>
      </c>
      <c r="H2631" t="s">
        <v>59</v>
      </c>
      <c r="I2631" t="s">
        <v>74</v>
      </c>
      <c r="J2631" s="2">
        <v>2</v>
      </c>
      <c r="K2631" s="3">
        <v>2309.64</v>
      </c>
      <c r="L2631" s="3">
        <v>1428.98</v>
      </c>
      <c r="M2631" s="4">
        <v>0.12690000000000001</v>
      </c>
      <c r="N2631" s="3">
        <f t="shared" si="205"/>
        <v>4619.28</v>
      </c>
      <c r="O2631" s="3">
        <f t="shared" si="206"/>
        <v>4033.09</v>
      </c>
      <c r="P2631" s="3">
        <f t="shared" si="207"/>
        <v>2857.96</v>
      </c>
      <c r="Q2631" s="3">
        <f t="shared" si="208"/>
        <v>1175.1300000000001</v>
      </c>
      <c r="R2631" s="4">
        <f t="shared" si="209"/>
        <v>0.29139999999999999</v>
      </c>
      <c r="S2631" s="2">
        <v>3</v>
      </c>
      <c r="T2631" t="s">
        <v>46</v>
      </c>
      <c r="U2631">
        <v>4</v>
      </c>
    </row>
    <row r="2632" spans="1:22" x14ac:dyDescent="0.25">
      <c r="A2632" s="1">
        <v>46062</v>
      </c>
      <c r="B2632" t="s">
        <v>2820</v>
      </c>
      <c r="C2632" t="s">
        <v>89</v>
      </c>
      <c r="D2632" t="s">
        <v>56</v>
      </c>
      <c r="E2632" t="s">
        <v>57</v>
      </c>
      <c r="F2632" t="s">
        <v>58</v>
      </c>
      <c r="G2632" t="s">
        <v>37</v>
      </c>
      <c r="H2632" t="s">
        <v>38</v>
      </c>
      <c r="I2632" t="s">
        <v>74</v>
      </c>
      <c r="J2632" s="2">
        <v>6</v>
      </c>
      <c r="K2632" s="3">
        <v>410.5</v>
      </c>
      <c r="L2632" s="3">
        <v>197.51</v>
      </c>
      <c r="M2632" s="4">
        <v>3.5000000000000003E-2</v>
      </c>
      <c r="N2632" s="3">
        <f t="shared" si="205"/>
        <v>2463</v>
      </c>
      <c r="O2632" s="3">
        <f t="shared" si="206"/>
        <v>2376.8000000000002</v>
      </c>
      <c r="P2632" s="3">
        <f t="shared" si="207"/>
        <v>1185.06</v>
      </c>
      <c r="Q2632" s="3">
        <f t="shared" si="208"/>
        <v>1191.74</v>
      </c>
      <c r="R2632" s="4">
        <f t="shared" si="209"/>
        <v>0.50139999999999996</v>
      </c>
      <c r="S2632" s="2">
        <v>4</v>
      </c>
      <c r="T2632" t="s">
        <v>46</v>
      </c>
      <c r="U2632">
        <v>5</v>
      </c>
    </row>
    <row r="2633" spans="1:22" x14ac:dyDescent="0.25">
      <c r="A2633" s="1">
        <v>46060</v>
      </c>
      <c r="B2633" t="s">
        <v>2082</v>
      </c>
      <c r="C2633" t="s">
        <v>560</v>
      </c>
      <c r="D2633" t="s">
        <v>113</v>
      </c>
      <c r="E2633" t="s">
        <v>50</v>
      </c>
      <c r="F2633" t="s">
        <v>58</v>
      </c>
      <c r="G2633" t="s">
        <v>44</v>
      </c>
      <c r="H2633" t="s">
        <v>73</v>
      </c>
      <c r="I2633" t="s">
        <v>53</v>
      </c>
      <c r="J2633" s="2">
        <v>6</v>
      </c>
      <c r="K2633" s="3">
        <v>1702.12</v>
      </c>
      <c r="L2633" s="3">
        <v>1040.6099999999999</v>
      </c>
      <c r="M2633" s="4">
        <v>3.5000000000000003E-2</v>
      </c>
      <c r="N2633" s="3">
        <f t="shared" si="205"/>
        <v>10212.719999999999</v>
      </c>
      <c r="O2633" s="3">
        <f t="shared" si="206"/>
        <v>9855.27</v>
      </c>
      <c r="P2633" s="3">
        <f t="shared" si="207"/>
        <v>6243.66</v>
      </c>
      <c r="Q2633" s="3">
        <f t="shared" si="208"/>
        <v>3611.61</v>
      </c>
      <c r="R2633" s="4">
        <f t="shared" si="209"/>
        <v>0.36649999999999999</v>
      </c>
      <c r="S2633" s="2">
        <v>11</v>
      </c>
      <c r="T2633" t="s">
        <v>30</v>
      </c>
      <c r="U2633">
        <v>4</v>
      </c>
    </row>
    <row r="2634" spans="1:22" x14ac:dyDescent="0.25">
      <c r="A2634" s="1">
        <v>46072</v>
      </c>
      <c r="B2634" t="s">
        <v>2821</v>
      </c>
      <c r="C2634" t="s">
        <v>216</v>
      </c>
      <c r="D2634" t="s">
        <v>126</v>
      </c>
      <c r="E2634" t="s">
        <v>57</v>
      </c>
      <c r="F2634" t="s">
        <v>64</v>
      </c>
      <c r="G2634" t="s">
        <v>37</v>
      </c>
      <c r="H2634" t="s">
        <v>104</v>
      </c>
      <c r="I2634" t="s">
        <v>60</v>
      </c>
      <c r="J2634" s="2">
        <v>5</v>
      </c>
      <c r="K2634" s="3">
        <v>309.89999999999998</v>
      </c>
      <c r="L2634" s="3">
        <v>141.72999999999999</v>
      </c>
      <c r="M2634" s="4">
        <v>2.4500000000000001E-2</v>
      </c>
      <c r="N2634" s="3">
        <f t="shared" si="205"/>
        <v>1549.5</v>
      </c>
      <c r="O2634" s="3">
        <f t="shared" si="206"/>
        <v>1511.54</v>
      </c>
      <c r="P2634" s="3">
        <f t="shared" si="207"/>
        <v>708.65</v>
      </c>
      <c r="Q2634" s="3">
        <f t="shared" si="208"/>
        <v>802.89</v>
      </c>
      <c r="R2634" s="4">
        <f t="shared" si="209"/>
        <v>0.53120000000000001</v>
      </c>
      <c r="S2634" s="2">
        <v>8</v>
      </c>
      <c r="T2634" t="s">
        <v>46</v>
      </c>
      <c r="U2634">
        <v>5</v>
      </c>
    </row>
    <row r="2635" spans="1:22" x14ac:dyDescent="0.25">
      <c r="A2635" s="1">
        <v>46041</v>
      </c>
      <c r="B2635" t="s">
        <v>2822</v>
      </c>
      <c r="C2635" t="s">
        <v>456</v>
      </c>
      <c r="D2635" t="s">
        <v>71</v>
      </c>
      <c r="E2635" t="s">
        <v>72</v>
      </c>
      <c r="F2635" t="s">
        <v>36</v>
      </c>
      <c r="G2635" t="s">
        <v>44</v>
      </c>
      <c r="H2635" t="s">
        <v>45</v>
      </c>
      <c r="I2635" t="s">
        <v>60</v>
      </c>
      <c r="J2635" s="2">
        <v>2</v>
      </c>
      <c r="K2635" s="3">
        <v>404.39</v>
      </c>
      <c r="L2635" s="3">
        <v>211.45</v>
      </c>
      <c r="M2635" s="4">
        <v>0</v>
      </c>
      <c r="N2635" s="3">
        <f t="shared" si="205"/>
        <v>808.78</v>
      </c>
      <c r="O2635" s="3">
        <f t="shared" si="206"/>
        <v>808.78</v>
      </c>
      <c r="P2635" s="3">
        <f t="shared" si="207"/>
        <v>422.9</v>
      </c>
      <c r="Q2635" s="3">
        <f t="shared" si="208"/>
        <v>385.88</v>
      </c>
      <c r="R2635" s="4">
        <f t="shared" si="209"/>
        <v>0.47710000000000002</v>
      </c>
      <c r="S2635" s="2">
        <v>4</v>
      </c>
      <c r="T2635" t="s">
        <v>46</v>
      </c>
      <c r="U2635">
        <v>5</v>
      </c>
    </row>
    <row r="2636" spans="1:22" x14ac:dyDescent="0.25">
      <c r="A2636" s="1">
        <v>46193</v>
      </c>
      <c r="B2636" t="s">
        <v>2823</v>
      </c>
      <c r="C2636" t="s">
        <v>235</v>
      </c>
      <c r="D2636" t="s">
        <v>56</v>
      </c>
      <c r="E2636" t="s">
        <v>57</v>
      </c>
      <c r="F2636" t="s">
        <v>26</v>
      </c>
      <c r="G2636" t="s">
        <v>27</v>
      </c>
      <c r="H2636" t="s">
        <v>86</v>
      </c>
      <c r="I2636" t="s">
        <v>77</v>
      </c>
      <c r="J2636" s="2">
        <v>4</v>
      </c>
      <c r="K2636" s="3">
        <v>1936.48</v>
      </c>
      <c r="L2636" s="3">
        <v>1222.9100000000001</v>
      </c>
      <c r="M2636" s="4">
        <v>1.8800000000000001E-2</v>
      </c>
      <c r="N2636" s="3">
        <f t="shared" si="205"/>
        <v>7745.92</v>
      </c>
      <c r="O2636" s="3">
        <f t="shared" si="206"/>
        <v>7600.3</v>
      </c>
      <c r="P2636" s="3">
        <f t="shared" si="207"/>
        <v>4891.6400000000003</v>
      </c>
      <c r="Q2636" s="3">
        <f t="shared" si="208"/>
        <v>2708.66</v>
      </c>
      <c r="R2636" s="4">
        <f t="shared" si="209"/>
        <v>0.35639999999999999</v>
      </c>
      <c r="S2636" s="2">
        <v>2</v>
      </c>
      <c r="T2636" t="s">
        <v>46</v>
      </c>
      <c r="U2636">
        <v>4</v>
      </c>
    </row>
    <row r="2637" spans="1:22" x14ac:dyDescent="0.25">
      <c r="A2637" s="1">
        <v>46215</v>
      </c>
      <c r="B2637" t="s">
        <v>2824</v>
      </c>
      <c r="C2637" t="s">
        <v>170</v>
      </c>
      <c r="D2637" t="s">
        <v>49</v>
      </c>
      <c r="E2637" t="s">
        <v>50</v>
      </c>
      <c r="F2637" t="s">
        <v>64</v>
      </c>
      <c r="G2637" t="s">
        <v>27</v>
      </c>
      <c r="H2637" t="s">
        <v>86</v>
      </c>
      <c r="I2637" t="s">
        <v>60</v>
      </c>
      <c r="J2637" s="2">
        <v>3</v>
      </c>
      <c r="K2637" s="3">
        <v>1938.75</v>
      </c>
      <c r="L2637" s="3">
        <v>1193.1400000000001</v>
      </c>
      <c r="M2637" s="4">
        <v>0</v>
      </c>
      <c r="N2637" s="3">
        <f t="shared" si="205"/>
        <v>5816.25</v>
      </c>
      <c r="O2637" s="3">
        <f t="shared" si="206"/>
        <v>5816.25</v>
      </c>
      <c r="P2637" s="3">
        <f t="shared" si="207"/>
        <v>3579.42</v>
      </c>
      <c r="Q2637" s="3">
        <f t="shared" si="208"/>
        <v>2236.83</v>
      </c>
      <c r="R2637" s="4">
        <f t="shared" si="209"/>
        <v>0.3846</v>
      </c>
      <c r="S2637" s="2">
        <v>14</v>
      </c>
      <c r="T2637" t="s">
        <v>30</v>
      </c>
      <c r="U2637">
        <v>5</v>
      </c>
    </row>
    <row r="2638" spans="1:22" x14ac:dyDescent="0.25">
      <c r="A2638" s="1">
        <v>46142</v>
      </c>
      <c r="B2638" t="s">
        <v>2825</v>
      </c>
      <c r="C2638" t="s">
        <v>349</v>
      </c>
      <c r="D2638" t="s">
        <v>71</v>
      </c>
      <c r="E2638" t="s">
        <v>72</v>
      </c>
      <c r="F2638" t="s">
        <v>64</v>
      </c>
      <c r="G2638" t="s">
        <v>44</v>
      </c>
      <c r="H2638" t="s">
        <v>73</v>
      </c>
      <c r="I2638" t="s">
        <v>94</v>
      </c>
      <c r="J2638" s="2">
        <v>4</v>
      </c>
      <c r="K2638" s="3">
        <v>1777.09</v>
      </c>
      <c r="L2638" s="3">
        <v>1095.6500000000001</v>
      </c>
      <c r="M2638" s="4">
        <v>6.08E-2</v>
      </c>
      <c r="N2638" s="3">
        <f t="shared" si="205"/>
        <v>7108.36</v>
      </c>
      <c r="O2638" s="3">
        <f t="shared" si="206"/>
        <v>6676.17</v>
      </c>
      <c r="P2638" s="3">
        <f t="shared" si="207"/>
        <v>4382.6000000000004</v>
      </c>
      <c r="Q2638" s="3">
        <f t="shared" si="208"/>
        <v>2293.5700000000002</v>
      </c>
      <c r="R2638" s="4">
        <f t="shared" si="209"/>
        <v>0.34350000000000003</v>
      </c>
      <c r="S2638" s="2">
        <v>7</v>
      </c>
      <c r="T2638" t="s">
        <v>46</v>
      </c>
      <c r="U2638">
        <v>4</v>
      </c>
    </row>
    <row r="2639" spans="1:22" x14ac:dyDescent="0.25">
      <c r="A2639" s="1">
        <v>46044</v>
      </c>
      <c r="B2639" t="s">
        <v>2826</v>
      </c>
      <c r="C2639" t="s">
        <v>609</v>
      </c>
      <c r="D2639" t="s">
        <v>126</v>
      </c>
      <c r="E2639" t="s">
        <v>57</v>
      </c>
      <c r="F2639" t="s">
        <v>58</v>
      </c>
      <c r="G2639" t="s">
        <v>27</v>
      </c>
      <c r="H2639" t="s">
        <v>68</v>
      </c>
      <c r="I2639" t="s">
        <v>39</v>
      </c>
      <c r="J2639" s="2">
        <v>5</v>
      </c>
      <c r="K2639" s="3">
        <v>1261.47</v>
      </c>
      <c r="L2639" s="3">
        <v>790.43</v>
      </c>
      <c r="M2639" s="4">
        <v>5.3900000000000003E-2</v>
      </c>
      <c r="N2639" s="3">
        <f t="shared" si="205"/>
        <v>6307.35</v>
      </c>
      <c r="O2639" s="3">
        <f t="shared" si="206"/>
        <v>5967.38</v>
      </c>
      <c r="P2639" s="3">
        <f t="shared" si="207"/>
        <v>3952.15</v>
      </c>
      <c r="Q2639" s="3">
        <f t="shared" si="208"/>
        <v>2015.23</v>
      </c>
      <c r="R2639" s="4">
        <f t="shared" si="209"/>
        <v>0.3377</v>
      </c>
      <c r="S2639" s="2">
        <v>8</v>
      </c>
      <c r="T2639" t="s">
        <v>46</v>
      </c>
      <c r="U2639">
        <v>2</v>
      </c>
    </row>
    <row r="2640" spans="1:22" x14ac:dyDescent="0.25">
      <c r="A2640" s="1">
        <v>46076</v>
      </c>
      <c r="B2640" t="s">
        <v>2827</v>
      </c>
      <c r="C2640" t="s">
        <v>329</v>
      </c>
      <c r="D2640" t="s">
        <v>56</v>
      </c>
      <c r="E2640" t="s">
        <v>57</v>
      </c>
      <c r="F2640" t="s">
        <v>58</v>
      </c>
      <c r="G2640" t="s">
        <v>51</v>
      </c>
      <c r="H2640" t="s">
        <v>116</v>
      </c>
      <c r="I2640" t="s">
        <v>92</v>
      </c>
      <c r="J2640" s="2">
        <v>1</v>
      </c>
      <c r="K2640" s="3">
        <v>2810.43</v>
      </c>
      <c r="L2640" s="3">
        <v>1840.26</v>
      </c>
      <c r="M2640" s="4">
        <v>3.5000000000000003E-2</v>
      </c>
      <c r="N2640" s="3">
        <f t="shared" si="205"/>
        <v>2810.43</v>
      </c>
      <c r="O2640" s="3">
        <f t="shared" si="206"/>
        <v>2712.06</v>
      </c>
      <c r="P2640" s="3">
        <f t="shared" si="207"/>
        <v>1840.26</v>
      </c>
      <c r="Q2640" s="3">
        <f t="shared" si="208"/>
        <v>871.8</v>
      </c>
      <c r="R2640" s="4">
        <f t="shared" si="209"/>
        <v>0.32150000000000001</v>
      </c>
      <c r="S2640" s="2">
        <v>3</v>
      </c>
      <c r="T2640" t="s">
        <v>46</v>
      </c>
      <c r="U2640">
        <v>5</v>
      </c>
    </row>
    <row r="2641" spans="1:21" x14ac:dyDescent="0.25">
      <c r="A2641" s="1">
        <v>46049</v>
      </c>
      <c r="B2641" t="s">
        <v>2828</v>
      </c>
      <c r="C2641" t="s">
        <v>118</v>
      </c>
      <c r="D2641" t="s">
        <v>130</v>
      </c>
      <c r="E2641" t="s">
        <v>72</v>
      </c>
      <c r="F2641" t="s">
        <v>58</v>
      </c>
      <c r="G2641" t="s">
        <v>51</v>
      </c>
      <c r="H2641" t="s">
        <v>52</v>
      </c>
      <c r="I2641" t="s">
        <v>94</v>
      </c>
      <c r="J2641" s="2">
        <v>5</v>
      </c>
      <c r="K2641" s="3">
        <v>253.14</v>
      </c>
      <c r="L2641" s="3">
        <v>121.83</v>
      </c>
      <c r="M2641" s="4">
        <v>3.5000000000000003E-2</v>
      </c>
      <c r="N2641" s="3">
        <f t="shared" si="205"/>
        <v>1265.7</v>
      </c>
      <c r="O2641" s="3">
        <f t="shared" si="206"/>
        <v>1221.4000000000001</v>
      </c>
      <c r="P2641" s="3">
        <f t="shared" si="207"/>
        <v>609.15</v>
      </c>
      <c r="Q2641" s="3">
        <f t="shared" si="208"/>
        <v>612.25</v>
      </c>
      <c r="R2641" s="4">
        <f t="shared" si="209"/>
        <v>0.50129999999999997</v>
      </c>
      <c r="S2641" s="2">
        <v>4</v>
      </c>
      <c r="T2641" t="s">
        <v>46</v>
      </c>
      <c r="U2641">
        <v>5</v>
      </c>
    </row>
    <row r="2642" spans="1:21" x14ac:dyDescent="0.25">
      <c r="A2642" s="1">
        <v>46059</v>
      </c>
      <c r="B2642" t="s">
        <v>2829</v>
      </c>
      <c r="C2642" t="s">
        <v>155</v>
      </c>
      <c r="D2642" t="s">
        <v>85</v>
      </c>
      <c r="E2642" t="s">
        <v>50</v>
      </c>
      <c r="F2642" t="s">
        <v>64</v>
      </c>
      <c r="G2642" t="s">
        <v>44</v>
      </c>
      <c r="H2642" t="s">
        <v>73</v>
      </c>
      <c r="I2642" t="s">
        <v>77</v>
      </c>
      <c r="J2642" s="2">
        <v>6</v>
      </c>
      <c r="K2642" s="3">
        <v>1595.95</v>
      </c>
      <c r="L2642" s="3">
        <v>1068.33</v>
      </c>
      <c r="M2642" s="4">
        <v>6.0000000000000001E-3</v>
      </c>
      <c r="N2642" s="3">
        <f t="shared" si="205"/>
        <v>9575.7000000000007</v>
      </c>
      <c r="O2642" s="3">
        <f t="shared" si="206"/>
        <v>9518.25</v>
      </c>
      <c r="P2642" s="3">
        <f t="shared" si="207"/>
        <v>6409.98</v>
      </c>
      <c r="Q2642" s="3">
        <f t="shared" si="208"/>
        <v>3108.27</v>
      </c>
      <c r="R2642" s="4">
        <f t="shared" si="209"/>
        <v>0.3266</v>
      </c>
      <c r="S2642" s="2">
        <v>14</v>
      </c>
      <c r="T2642" t="s">
        <v>30</v>
      </c>
      <c r="U2642">
        <v>3</v>
      </c>
    </row>
    <row r="2643" spans="1:21" x14ac:dyDescent="0.25">
      <c r="A2643" s="1">
        <v>46059</v>
      </c>
      <c r="B2643" t="s">
        <v>2830</v>
      </c>
      <c r="C2643" t="s">
        <v>129</v>
      </c>
      <c r="D2643" t="s">
        <v>113</v>
      </c>
      <c r="E2643" t="s">
        <v>50</v>
      </c>
      <c r="F2643" t="s">
        <v>36</v>
      </c>
      <c r="G2643" t="s">
        <v>27</v>
      </c>
      <c r="H2643" t="s">
        <v>86</v>
      </c>
      <c r="I2643" t="s">
        <v>87</v>
      </c>
      <c r="J2643" s="2">
        <v>1</v>
      </c>
      <c r="K2643" s="3">
        <v>1957.97</v>
      </c>
      <c r="L2643" s="3">
        <v>1147.2</v>
      </c>
      <c r="M2643" s="4">
        <v>4.9799999999999997E-2</v>
      </c>
      <c r="N2643" s="3">
        <f t="shared" si="205"/>
        <v>1957.97</v>
      </c>
      <c r="O2643" s="3">
        <f t="shared" si="206"/>
        <v>1860.46</v>
      </c>
      <c r="P2643" s="3">
        <f t="shared" si="207"/>
        <v>1147.2</v>
      </c>
      <c r="Q2643" s="3">
        <f t="shared" si="208"/>
        <v>713.26</v>
      </c>
      <c r="R2643" s="4">
        <f t="shared" si="209"/>
        <v>0.38340000000000002</v>
      </c>
      <c r="S2643" s="2">
        <v>2</v>
      </c>
      <c r="T2643" t="s">
        <v>46</v>
      </c>
      <c r="U2643">
        <v>4</v>
      </c>
    </row>
    <row r="2644" spans="1:21" x14ac:dyDescent="0.25">
      <c r="A2644" s="1">
        <v>46052</v>
      </c>
      <c r="B2644" t="s">
        <v>2831</v>
      </c>
      <c r="C2644" t="s">
        <v>218</v>
      </c>
      <c r="D2644" t="s">
        <v>63</v>
      </c>
      <c r="E2644" t="s">
        <v>35</v>
      </c>
      <c r="F2644" t="s">
        <v>26</v>
      </c>
      <c r="G2644" t="s">
        <v>44</v>
      </c>
      <c r="H2644" t="s">
        <v>45</v>
      </c>
      <c r="I2644" t="s">
        <v>29</v>
      </c>
      <c r="J2644" s="2">
        <v>7</v>
      </c>
      <c r="K2644" s="3">
        <v>378.08</v>
      </c>
      <c r="L2644" s="3">
        <v>220.49</v>
      </c>
      <c r="M2644" s="4">
        <v>0</v>
      </c>
      <c r="N2644" s="3">
        <f t="shared" si="205"/>
        <v>2646.56</v>
      </c>
      <c r="O2644" s="3">
        <f t="shared" si="206"/>
        <v>2646.56</v>
      </c>
      <c r="P2644" s="3">
        <f t="shared" si="207"/>
        <v>1543.43</v>
      </c>
      <c r="Q2644" s="3">
        <f t="shared" si="208"/>
        <v>1103.1300000000001</v>
      </c>
      <c r="R2644" s="4">
        <f t="shared" si="209"/>
        <v>0.4168</v>
      </c>
      <c r="S2644" s="2">
        <v>11</v>
      </c>
      <c r="T2644" t="s">
        <v>30</v>
      </c>
      <c r="U2644">
        <v>4</v>
      </c>
    </row>
    <row r="2645" spans="1:21" x14ac:dyDescent="0.25">
      <c r="A2645" s="1">
        <v>46186</v>
      </c>
      <c r="B2645" t="s">
        <v>2832</v>
      </c>
      <c r="C2645" t="s">
        <v>480</v>
      </c>
      <c r="D2645" t="s">
        <v>24</v>
      </c>
      <c r="E2645" t="s">
        <v>25</v>
      </c>
      <c r="F2645" t="s">
        <v>58</v>
      </c>
      <c r="G2645" t="s">
        <v>37</v>
      </c>
      <c r="H2645" t="s">
        <v>104</v>
      </c>
      <c r="I2645" t="s">
        <v>39</v>
      </c>
      <c r="J2645" s="2">
        <v>7</v>
      </c>
      <c r="K2645" s="3">
        <v>305.23</v>
      </c>
      <c r="L2645" s="3">
        <v>144.24</v>
      </c>
      <c r="M2645" s="4">
        <v>4.48E-2</v>
      </c>
      <c r="N2645" s="3">
        <f t="shared" si="205"/>
        <v>2136.61</v>
      </c>
      <c r="O2645" s="3">
        <f t="shared" si="206"/>
        <v>2040.89</v>
      </c>
      <c r="P2645" s="3">
        <f t="shared" si="207"/>
        <v>1009.68</v>
      </c>
      <c r="Q2645" s="3">
        <f t="shared" si="208"/>
        <v>1031.21</v>
      </c>
      <c r="R2645" s="4">
        <f t="shared" si="209"/>
        <v>0.50529999999999997</v>
      </c>
      <c r="S2645" s="2">
        <v>7</v>
      </c>
      <c r="T2645" t="s">
        <v>46</v>
      </c>
      <c r="U2645">
        <v>2</v>
      </c>
    </row>
    <row r="2646" spans="1:21" x14ac:dyDescent="0.25">
      <c r="A2646" s="1">
        <v>46212</v>
      </c>
      <c r="B2646" t="s">
        <v>2833</v>
      </c>
      <c r="C2646" t="s">
        <v>62</v>
      </c>
      <c r="D2646" t="s">
        <v>71</v>
      </c>
      <c r="E2646" t="s">
        <v>72</v>
      </c>
      <c r="F2646" t="s">
        <v>64</v>
      </c>
      <c r="G2646" t="s">
        <v>51</v>
      </c>
      <c r="H2646" t="s">
        <v>52</v>
      </c>
      <c r="I2646" t="s">
        <v>29</v>
      </c>
      <c r="J2646" s="2">
        <v>4</v>
      </c>
      <c r="K2646" s="3">
        <v>253.59</v>
      </c>
      <c r="L2646" s="3">
        <v>123.7</v>
      </c>
      <c r="M2646" s="4">
        <v>0</v>
      </c>
      <c r="N2646" s="3">
        <f t="shared" si="205"/>
        <v>1014.36</v>
      </c>
      <c r="O2646" s="3">
        <f t="shared" si="206"/>
        <v>1014.36</v>
      </c>
      <c r="P2646" s="3">
        <f t="shared" si="207"/>
        <v>494.8</v>
      </c>
      <c r="Q2646" s="3">
        <f t="shared" si="208"/>
        <v>519.55999999999995</v>
      </c>
      <c r="R2646" s="4">
        <f t="shared" si="209"/>
        <v>0.51219999999999999</v>
      </c>
      <c r="S2646" s="2">
        <v>11</v>
      </c>
      <c r="T2646" t="s">
        <v>30</v>
      </c>
      <c r="U2646">
        <v>4</v>
      </c>
    </row>
    <row r="2647" spans="1:21" x14ac:dyDescent="0.25">
      <c r="A2647" s="1">
        <v>46112</v>
      </c>
      <c r="B2647" t="s">
        <v>2834</v>
      </c>
      <c r="C2647" t="s">
        <v>275</v>
      </c>
      <c r="D2647" t="s">
        <v>56</v>
      </c>
      <c r="E2647" t="s">
        <v>57</v>
      </c>
      <c r="F2647" t="s">
        <v>26</v>
      </c>
      <c r="G2647" t="s">
        <v>27</v>
      </c>
      <c r="H2647" t="s">
        <v>86</v>
      </c>
      <c r="I2647" t="s">
        <v>74</v>
      </c>
      <c r="J2647" s="2">
        <v>3</v>
      </c>
      <c r="K2647" s="3">
        <v>1921.99</v>
      </c>
      <c r="L2647" s="3">
        <v>1168.56</v>
      </c>
      <c r="M2647" s="4">
        <v>0</v>
      </c>
      <c r="N2647" s="3">
        <f t="shared" si="205"/>
        <v>5765.97</v>
      </c>
      <c r="O2647" s="3">
        <f t="shared" si="206"/>
        <v>5765.97</v>
      </c>
      <c r="P2647" s="3">
        <f t="shared" si="207"/>
        <v>3505.68</v>
      </c>
      <c r="Q2647" s="3">
        <f t="shared" si="208"/>
        <v>2260.29</v>
      </c>
      <c r="R2647" s="4">
        <f t="shared" si="209"/>
        <v>0.39200000000000002</v>
      </c>
      <c r="S2647" s="2">
        <v>11</v>
      </c>
      <c r="T2647" t="s">
        <v>30</v>
      </c>
      <c r="U2647">
        <v>5</v>
      </c>
    </row>
    <row r="2648" spans="1:21" x14ac:dyDescent="0.25">
      <c r="A2648" s="1">
        <v>46089</v>
      </c>
      <c r="B2648" t="s">
        <v>2835</v>
      </c>
      <c r="C2648" t="s">
        <v>172</v>
      </c>
      <c r="D2648" t="s">
        <v>49</v>
      </c>
      <c r="E2648" t="s">
        <v>50</v>
      </c>
      <c r="F2648" t="s">
        <v>26</v>
      </c>
      <c r="G2648" t="s">
        <v>51</v>
      </c>
      <c r="H2648" t="s">
        <v>116</v>
      </c>
      <c r="I2648" t="s">
        <v>77</v>
      </c>
      <c r="J2648" s="2">
        <v>2</v>
      </c>
      <c r="K2648" s="3">
        <v>2926.86</v>
      </c>
      <c r="L2648" s="3">
        <v>1824.1</v>
      </c>
      <c r="M2648" s="4">
        <v>5.7000000000000002E-2</v>
      </c>
      <c r="N2648" s="3">
        <f t="shared" si="205"/>
        <v>5853.72</v>
      </c>
      <c r="O2648" s="3">
        <f t="shared" si="206"/>
        <v>5520.06</v>
      </c>
      <c r="P2648" s="3">
        <f t="shared" si="207"/>
        <v>3648.2</v>
      </c>
      <c r="Q2648" s="3">
        <f t="shared" si="208"/>
        <v>1871.86</v>
      </c>
      <c r="R2648" s="4">
        <f t="shared" si="209"/>
        <v>0.33910000000000001</v>
      </c>
      <c r="S2648" s="2">
        <v>4</v>
      </c>
      <c r="T2648" t="s">
        <v>40</v>
      </c>
    </row>
    <row r="2649" spans="1:21" x14ac:dyDescent="0.25">
      <c r="A2649" s="1">
        <v>46163</v>
      </c>
      <c r="B2649" t="s">
        <v>2836</v>
      </c>
      <c r="C2649" t="s">
        <v>138</v>
      </c>
      <c r="D2649" t="s">
        <v>97</v>
      </c>
      <c r="E2649" t="s">
        <v>57</v>
      </c>
      <c r="F2649" t="s">
        <v>58</v>
      </c>
      <c r="G2649" t="s">
        <v>37</v>
      </c>
      <c r="H2649" t="s">
        <v>178</v>
      </c>
      <c r="I2649" t="s">
        <v>92</v>
      </c>
      <c r="J2649" s="2">
        <v>7</v>
      </c>
      <c r="K2649" s="3">
        <v>512.76</v>
      </c>
      <c r="L2649" s="3">
        <v>245.26</v>
      </c>
      <c r="M2649" s="4">
        <v>0.11070000000000001</v>
      </c>
      <c r="N2649" s="3">
        <f t="shared" si="205"/>
        <v>3589.32</v>
      </c>
      <c r="O2649" s="3">
        <f t="shared" si="206"/>
        <v>3191.98</v>
      </c>
      <c r="P2649" s="3">
        <f t="shared" si="207"/>
        <v>1716.82</v>
      </c>
      <c r="Q2649" s="3">
        <f t="shared" si="208"/>
        <v>1475.16</v>
      </c>
      <c r="R2649" s="4">
        <f t="shared" si="209"/>
        <v>0.46210000000000001</v>
      </c>
      <c r="S2649" s="2">
        <v>5</v>
      </c>
      <c r="T2649" t="s">
        <v>46</v>
      </c>
      <c r="U2649">
        <v>3</v>
      </c>
    </row>
    <row r="2650" spans="1:21" x14ac:dyDescent="0.25">
      <c r="A2650" s="1">
        <v>46128</v>
      </c>
      <c r="B2650" t="s">
        <v>2837</v>
      </c>
      <c r="C2650" t="s">
        <v>195</v>
      </c>
      <c r="D2650" t="s">
        <v>49</v>
      </c>
      <c r="E2650" t="s">
        <v>50</v>
      </c>
      <c r="F2650" t="s">
        <v>36</v>
      </c>
      <c r="G2650" t="s">
        <v>27</v>
      </c>
      <c r="H2650" t="s">
        <v>28</v>
      </c>
      <c r="I2650" t="s">
        <v>60</v>
      </c>
      <c r="J2650" s="2">
        <v>6</v>
      </c>
      <c r="K2650" s="3">
        <v>773.82</v>
      </c>
      <c r="L2650" s="3">
        <v>471.34</v>
      </c>
      <c r="M2650" s="4">
        <v>0</v>
      </c>
      <c r="N2650" s="3">
        <f t="shared" si="205"/>
        <v>4642.92</v>
      </c>
      <c r="O2650" s="3">
        <f t="shared" si="206"/>
        <v>4642.92</v>
      </c>
      <c r="P2650" s="3">
        <f t="shared" si="207"/>
        <v>2828.04</v>
      </c>
      <c r="Q2650" s="3">
        <f t="shared" si="208"/>
        <v>1814.88</v>
      </c>
      <c r="R2650" s="4">
        <f t="shared" si="209"/>
        <v>0.39090000000000003</v>
      </c>
      <c r="S2650" s="2">
        <v>10</v>
      </c>
      <c r="T2650" t="s">
        <v>46</v>
      </c>
      <c r="U2650">
        <v>5</v>
      </c>
    </row>
    <row r="2651" spans="1:21" x14ac:dyDescent="0.25">
      <c r="A2651" s="1">
        <v>46217</v>
      </c>
      <c r="B2651" t="s">
        <v>2838</v>
      </c>
      <c r="C2651" t="s">
        <v>84</v>
      </c>
      <c r="D2651" t="s">
        <v>207</v>
      </c>
      <c r="E2651" t="s">
        <v>35</v>
      </c>
      <c r="F2651" t="s">
        <v>58</v>
      </c>
      <c r="G2651" t="s">
        <v>44</v>
      </c>
      <c r="H2651" t="s">
        <v>73</v>
      </c>
      <c r="I2651" t="s">
        <v>39</v>
      </c>
      <c r="J2651" s="2">
        <v>3</v>
      </c>
      <c r="K2651" s="3">
        <v>1590.3</v>
      </c>
      <c r="L2651" s="3">
        <v>1052.75</v>
      </c>
      <c r="M2651" s="4">
        <v>5.6300000000000003E-2</v>
      </c>
      <c r="N2651" s="3">
        <f t="shared" si="205"/>
        <v>4770.8999999999996</v>
      </c>
      <c r="O2651" s="3">
        <f t="shared" si="206"/>
        <v>4502.3</v>
      </c>
      <c r="P2651" s="3">
        <f t="shared" si="207"/>
        <v>3158.25</v>
      </c>
      <c r="Q2651" s="3">
        <f t="shared" si="208"/>
        <v>1344.05</v>
      </c>
      <c r="R2651" s="4">
        <f t="shared" si="209"/>
        <v>0.29849999999999999</v>
      </c>
      <c r="S2651" s="2">
        <v>10</v>
      </c>
      <c r="T2651" t="s">
        <v>46</v>
      </c>
      <c r="U2651">
        <v>4</v>
      </c>
    </row>
    <row r="2652" spans="1:21" x14ac:dyDescent="0.25">
      <c r="A2652" s="1">
        <v>46129</v>
      </c>
      <c r="B2652" t="s">
        <v>2839</v>
      </c>
      <c r="C2652" t="s">
        <v>231</v>
      </c>
      <c r="D2652" t="s">
        <v>97</v>
      </c>
      <c r="E2652" t="s">
        <v>57</v>
      </c>
      <c r="F2652" t="s">
        <v>26</v>
      </c>
      <c r="G2652" t="s">
        <v>44</v>
      </c>
      <c r="H2652" t="s">
        <v>73</v>
      </c>
      <c r="I2652" t="s">
        <v>60</v>
      </c>
      <c r="J2652" s="2">
        <v>7</v>
      </c>
      <c r="K2652" s="3">
        <v>1747.44</v>
      </c>
      <c r="L2652" s="3">
        <v>1055.92</v>
      </c>
      <c r="M2652" s="4">
        <v>0</v>
      </c>
      <c r="N2652" s="3">
        <f t="shared" si="205"/>
        <v>12232.08</v>
      </c>
      <c r="O2652" s="3">
        <f t="shared" si="206"/>
        <v>12232.08</v>
      </c>
      <c r="P2652" s="3">
        <f t="shared" si="207"/>
        <v>7391.44</v>
      </c>
      <c r="Q2652" s="3">
        <f t="shared" si="208"/>
        <v>4840.6400000000003</v>
      </c>
      <c r="R2652" s="4">
        <f t="shared" si="209"/>
        <v>0.3957</v>
      </c>
      <c r="S2652" s="2">
        <v>3</v>
      </c>
      <c r="T2652" t="s">
        <v>46</v>
      </c>
      <c r="U2652">
        <v>4</v>
      </c>
    </row>
    <row r="2653" spans="1:21" x14ac:dyDescent="0.25">
      <c r="A2653" s="1">
        <v>46129</v>
      </c>
      <c r="B2653" t="s">
        <v>2840</v>
      </c>
      <c r="C2653" t="s">
        <v>384</v>
      </c>
      <c r="D2653" t="s">
        <v>85</v>
      </c>
      <c r="E2653" t="s">
        <v>50</v>
      </c>
      <c r="F2653" t="s">
        <v>58</v>
      </c>
      <c r="G2653" t="s">
        <v>37</v>
      </c>
      <c r="H2653" t="s">
        <v>104</v>
      </c>
      <c r="I2653" t="s">
        <v>74</v>
      </c>
      <c r="J2653" s="2">
        <v>8</v>
      </c>
      <c r="K2653" s="3">
        <v>327.66000000000003</v>
      </c>
      <c r="L2653" s="3">
        <v>140.58000000000001</v>
      </c>
      <c r="M2653" s="4">
        <v>3.5000000000000003E-2</v>
      </c>
      <c r="N2653" s="3">
        <f t="shared" si="205"/>
        <v>2621.2800000000002</v>
      </c>
      <c r="O2653" s="3">
        <f t="shared" si="206"/>
        <v>2529.54</v>
      </c>
      <c r="P2653" s="3">
        <f t="shared" si="207"/>
        <v>1124.6400000000001</v>
      </c>
      <c r="Q2653" s="3">
        <f t="shared" si="208"/>
        <v>1404.9</v>
      </c>
      <c r="R2653" s="4">
        <f t="shared" si="209"/>
        <v>0.5554</v>
      </c>
      <c r="S2653" s="2">
        <v>4</v>
      </c>
      <c r="T2653" t="s">
        <v>46</v>
      </c>
      <c r="U2653">
        <v>5</v>
      </c>
    </row>
    <row r="2654" spans="1:21" x14ac:dyDescent="0.25">
      <c r="A2654" s="1">
        <v>46145</v>
      </c>
      <c r="B2654" t="s">
        <v>2841</v>
      </c>
      <c r="C2654" t="s">
        <v>235</v>
      </c>
      <c r="D2654" t="s">
        <v>101</v>
      </c>
      <c r="E2654" t="s">
        <v>35</v>
      </c>
      <c r="F2654" t="s">
        <v>64</v>
      </c>
      <c r="G2654" t="s">
        <v>51</v>
      </c>
      <c r="H2654" t="s">
        <v>52</v>
      </c>
      <c r="I2654" t="s">
        <v>87</v>
      </c>
      <c r="J2654" s="2">
        <v>8</v>
      </c>
      <c r="K2654" s="3">
        <v>262.60000000000002</v>
      </c>
      <c r="L2654" s="3">
        <v>117.14</v>
      </c>
      <c r="M2654" s="4">
        <v>0</v>
      </c>
      <c r="N2654" s="3">
        <f t="shared" si="205"/>
        <v>2100.8000000000002</v>
      </c>
      <c r="O2654" s="3">
        <f t="shared" si="206"/>
        <v>2100.8000000000002</v>
      </c>
      <c r="P2654" s="3">
        <f t="shared" si="207"/>
        <v>937.12</v>
      </c>
      <c r="Q2654" s="3">
        <f t="shared" si="208"/>
        <v>1163.68</v>
      </c>
      <c r="R2654" s="4">
        <f t="shared" si="209"/>
        <v>0.55389999999999995</v>
      </c>
      <c r="S2654" s="2">
        <v>12</v>
      </c>
      <c r="T2654" t="s">
        <v>30</v>
      </c>
      <c r="U2654">
        <v>4</v>
      </c>
    </row>
    <row r="2655" spans="1:21" x14ac:dyDescent="0.25">
      <c r="A2655" s="1">
        <v>46041</v>
      </c>
      <c r="B2655" t="s">
        <v>2842</v>
      </c>
      <c r="C2655" t="s">
        <v>153</v>
      </c>
      <c r="D2655" t="s">
        <v>85</v>
      </c>
      <c r="E2655" t="s">
        <v>50</v>
      </c>
      <c r="F2655" t="s">
        <v>58</v>
      </c>
      <c r="G2655" t="s">
        <v>44</v>
      </c>
      <c r="H2655" t="s">
        <v>45</v>
      </c>
      <c r="I2655" t="s">
        <v>60</v>
      </c>
      <c r="J2655" s="2">
        <v>1</v>
      </c>
      <c r="K2655" s="3">
        <v>392.42</v>
      </c>
      <c r="L2655" s="3">
        <v>208.55</v>
      </c>
      <c r="M2655" s="4">
        <v>0.13819999999999999</v>
      </c>
      <c r="N2655" s="3">
        <f t="shared" si="205"/>
        <v>392.42</v>
      </c>
      <c r="O2655" s="3">
        <f t="shared" si="206"/>
        <v>338.19</v>
      </c>
      <c r="P2655" s="3">
        <f t="shared" si="207"/>
        <v>208.55</v>
      </c>
      <c r="Q2655" s="3">
        <f t="shared" si="208"/>
        <v>129.63999999999999</v>
      </c>
      <c r="R2655" s="4">
        <f t="shared" si="209"/>
        <v>0.38329999999999997</v>
      </c>
      <c r="S2655" s="2">
        <v>4</v>
      </c>
      <c r="T2655" t="s">
        <v>46</v>
      </c>
      <c r="U2655">
        <v>2</v>
      </c>
    </row>
    <row r="2656" spans="1:21" x14ac:dyDescent="0.25">
      <c r="A2656" s="1">
        <v>46199</v>
      </c>
      <c r="B2656" t="s">
        <v>2843</v>
      </c>
      <c r="C2656" t="s">
        <v>187</v>
      </c>
      <c r="D2656" t="s">
        <v>43</v>
      </c>
      <c r="E2656" t="s">
        <v>25</v>
      </c>
      <c r="F2656" t="s">
        <v>36</v>
      </c>
      <c r="G2656" t="s">
        <v>44</v>
      </c>
      <c r="H2656" t="s">
        <v>124</v>
      </c>
      <c r="I2656" t="s">
        <v>74</v>
      </c>
      <c r="J2656" s="2">
        <v>7</v>
      </c>
      <c r="K2656" s="3">
        <v>5664.43</v>
      </c>
      <c r="L2656" s="3">
        <v>4578.42</v>
      </c>
      <c r="M2656" s="4">
        <v>7.0900000000000005E-2</v>
      </c>
      <c r="N2656" s="3">
        <f t="shared" si="205"/>
        <v>39651.01</v>
      </c>
      <c r="O2656" s="3">
        <f t="shared" si="206"/>
        <v>36839.75</v>
      </c>
      <c r="P2656" s="3">
        <f t="shared" si="207"/>
        <v>32048.94</v>
      </c>
      <c r="Q2656" s="3">
        <f t="shared" si="208"/>
        <v>4790.8100000000004</v>
      </c>
      <c r="R2656" s="4">
        <f t="shared" si="209"/>
        <v>0.13</v>
      </c>
      <c r="S2656" s="2">
        <v>12</v>
      </c>
      <c r="T2656" t="s">
        <v>30</v>
      </c>
      <c r="U2656">
        <v>5</v>
      </c>
    </row>
    <row r="2657" spans="1:21" x14ac:dyDescent="0.25">
      <c r="A2657" s="1">
        <v>46074</v>
      </c>
      <c r="B2657" t="s">
        <v>2844</v>
      </c>
      <c r="C2657" t="s">
        <v>201</v>
      </c>
      <c r="D2657" t="s">
        <v>34</v>
      </c>
      <c r="E2657" t="s">
        <v>35</v>
      </c>
      <c r="F2657" t="s">
        <v>36</v>
      </c>
      <c r="G2657" t="s">
        <v>44</v>
      </c>
      <c r="H2657" t="s">
        <v>45</v>
      </c>
      <c r="I2657" t="s">
        <v>94</v>
      </c>
      <c r="J2657" s="2">
        <v>6</v>
      </c>
      <c r="K2657" s="3">
        <v>403.69</v>
      </c>
      <c r="L2657" s="3">
        <v>211.57</v>
      </c>
      <c r="M2657" s="4">
        <v>0</v>
      </c>
      <c r="N2657" s="3">
        <f t="shared" si="205"/>
        <v>2422.14</v>
      </c>
      <c r="O2657" s="3">
        <f t="shared" si="206"/>
        <v>2422.14</v>
      </c>
      <c r="P2657" s="3">
        <f t="shared" si="207"/>
        <v>1269.42</v>
      </c>
      <c r="Q2657" s="3">
        <f t="shared" si="208"/>
        <v>1152.72</v>
      </c>
      <c r="R2657" s="4">
        <f t="shared" si="209"/>
        <v>0.47589999999999999</v>
      </c>
      <c r="S2657" s="2">
        <v>10</v>
      </c>
      <c r="T2657" t="s">
        <v>46</v>
      </c>
      <c r="U2657">
        <v>3</v>
      </c>
    </row>
    <row r="2658" spans="1:21" x14ac:dyDescent="0.25">
      <c r="A2658" s="1">
        <v>46232</v>
      </c>
      <c r="B2658" t="s">
        <v>2845</v>
      </c>
      <c r="C2658" t="s">
        <v>523</v>
      </c>
      <c r="D2658" t="s">
        <v>101</v>
      </c>
      <c r="E2658" t="s">
        <v>35</v>
      </c>
      <c r="F2658" t="s">
        <v>26</v>
      </c>
      <c r="G2658" t="s">
        <v>37</v>
      </c>
      <c r="H2658" t="s">
        <v>38</v>
      </c>
      <c r="I2658" t="s">
        <v>74</v>
      </c>
      <c r="J2658" s="2">
        <v>6</v>
      </c>
      <c r="K2658" s="3">
        <v>428.81</v>
      </c>
      <c r="L2658" s="3">
        <v>183.47</v>
      </c>
      <c r="M2658" s="4">
        <v>7.5200000000000003E-2</v>
      </c>
      <c r="N2658" s="3">
        <f t="shared" si="205"/>
        <v>2572.86</v>
      </c>
      <c r="O2658" s="3">
        <f t="shared" si="206"/>
        <v>2379.38</v>
      </c>
      <c r="P2658" s="3">
        <f t="shared" si="207"/>
        <v>1100.82</v>
      </c>
      <c r="Q2658" s="3">
        <f t="shared" si="208"/>
        <v>1278.56</v>
      </c>
      <c r="R2658" s="4">
        <f t="shared" si="209"/>
        <v>0.53739999999999999</v>
      </c>
      <c r="S2658" s="2">
        <v>8</v>
      </c>
      <c r="T2658" t="s">
        <v>46</v>
      </c>
      <c r="U2658">
        <v>3</v>
      </c>
    </row>
    <row r="2659" spans="1:21" x14ac:dyDescent="0.25">
      <c r="A2659" s="1">
        <v>46059</v>
      </c>
      <c r="B2659" t="s">
        <v>2846</v>
      </c>
      <c r="C2659" t="s">
        <v>48</v>
      </c>
      <c r="D2659" t="s">
        <v>24</v>
      </c>
      <c r="E2659" t="s">
        <v>25</v>
      </c>
      <c r="F2659" t="s">
        <v>26</v>
      </c>
      <c r="G2659" t="s">
        <v>51</v>
      </c>
      <c r="H2659" t="s">
        <v>59</v>
      </c>
      <c r="I2659" t="s">
        <v>77</v>
      </c>
      <c r="J2659" s="2">
        <v>5</v>
      </c>
      <c r="K2659" s="3">
        <v>2222.36</v>
      </c>
      <c r="L2659" s="3">
        <v>1489.27</v>
      </c>
      <c r="M2659" s="4">
        <v>0.1106</v>
      </c>
      <c r="N2659" s="3">
        <f t="shared" si="205"/>
        <v>11111.8</v>
      </c>
      <c r="O2659" s="3">
        <f t="shared" si="206"/>
        <v>9882.83</v>
      </c>
      <c r="P2659" s="3">
        <f t="shared" si="207"/>
        <v>7446.35</v>
      </c>
      <c r="Q2659" s="3">
        <f t="shared" si="208"/>
        <v>2436.48</v>
      </c>
      <c r="R2659" s="4">
        <f t="shared" si="209"/>
        <v>0.2465</v>
      </c>
      <c r="S2659" s="2">
        <v>6</v>
      </c>
      <c r="T2659" t="s">
        <v>46</v>
      </c>
      <c r="U2659">
        <v>5</v>
      </c>
    </row>
    <row r="2660" spans="1:21" x14ac:dyDescent="0.25">
      <c r="A2660" s="1">
        <v>46117</v>
      </c>
      <c r="B2660" t="s">
        <v>2847</v>
      </c>
      <c r="C2660" t="s">
        <v>96</v>
      </c>
      <c r="D2660" t="s">
        <v>43</v>
      </c>
      <c r="E2660" t="s">
        <v>25</v>
      </c>
      <c r="F2660" t="s">
        <v>58</v>
      </c>
      <c r="G2660" t="s">
        <v>27</v>
      </c>
      <c r="H2660" t="s">
        <v>86</v>
      </c>
      <c r="I2660" t="s">
        <v>92</v>
      </c>
      <c r="J2660" s="2">
        <v>8</v>
      </c>
      <c r="K2660" s="3">
        <v>1891.05</v>
      </c>
      <c r="L2660" s="3">
        <v>1193.81</v>
      </c>
      <c r="M2660" s="4">
        <v>3.5000000000000003E-2</v>
      </c>
      <c r="N2660" s="3">
        <f t="shared" si="205"/>
        <v>15128.4</v>
      </c>
      <c r="O2660" s="3">
        <f t="shared" si="206"/>
        <v>14598.91</v>
      </c>
      <c r="P2660" s="3">
        <f t="shared" si="207"/>
        <v>9550.48</v>
      </c>
      <c r="Q2660" s="3">
        <f t="shared" si="208"/>
        <v>5048.43</v>
      </c>
      <c r="R2660" s="4">
        <f t="shared" si="209"/>
        <v>0.3458</v>
      </c>
      <c r="S2660" s="2">
        <v>14</v>
      </c>
      <c r="T2660" t="s">
        <v>30</v>
      </c>
      <c r="U2660">
        <v>4</v>
      </c>
    </row>
    <row r="2661" spans="1:21" x14ac:dyDescent="0.25">
      <c r="A2661" s="1">
        <v>46159</v>
      </c>
      <c r="B2661" t="s">
        <v>2848</v>
      </c>
      <c r="C2661" t="s">
        <v>384</v>
      </c>
      <c r="D2661" t="s">
        <v>56</v>
      </c>
      <c r="E2661" t="s">
        <v>57</v>
      </c>
      <c r="F2661" t="s">
        <v>36</v>
      </c>
      <c r="G2661" t="s">
        <v>37</v>
      </c>
      <c r="H2661" t="s">
        <v>104</v>
      </c>
      <c r="I2661" t="s">
        <v>39</v>
      </c>
      <c r="J2661" s="2">
        <v>1</v>
      </c>
      <c r="K2661" s="3">
        <v>337.71</v>
      </c>
      <c r="L2661" s="3">
        <v>141.19999999999999</v>
      </c>
      <c r="M2661" s="4">
        <v>7.9200000000000007E-2</v>
      </c>
      <c r="N2661" s="3">
        <f t="shared" si="205"/>
        <v>337.71</v>
      </c>
      <c r="O2661" s="3">
        <f t="shared" si="206"/>
        <v>310.95999999999998</v>
      </c>
      <c r="P2661" s="3">
        <f t="shared" si="207"/>
        <v>141.19999999999999</v>
      </c>
      <c r="Q2661" s="3">
        <f t="shared" si="208"/>
        <v>169.76</v>
      </c>
      <c r="R2661" s="4">
        <f t="shared" si="209"/>
        <v>0.54590000000000005</v>
      </c>
      <c r="S2661" s="2">
        <v>7</v>
      </c>
      <c r="T2661" t="s">
        <v>40</v>
      </c>
    </row>
    <row r="2662" spans="1:21" x14ac:dyDescent="0.25">
      <c r="A2662" s="1">
        <v>46208</v>
      </c>
      <c r="B2662" t="s">
        <v>2849</v>
      </c>
      <c r="C2662" t="s">
        <v>428</v>
      </c>
      <c r="D2662" t="s">
        <v>126</v>
      </c>
      <c r="E2662" t="s">
        <v>57</v>
      </c>
      <c r="F2662" t="s">
        <v>36</v>
      </c>
      <c r="G2662" t="s">
        <v>44</v>
      </c>
      <c r="H2662" t="s">
        <v>124</v>
      </c>
      <c r="I2662" t="s">
        <v>74</v>
      </c>
      <c r="J2662" s="2">
        <v>6</v>
      </c>
      <c r="K2662" s="3">
        <v>6105.98</v>
      </c>
      <c r="L2662" s="3">
        <v>4287.54</v>
      </c>
      <c r="M2662" s="4">
        <v>5.0000000000000001E-4</v>
      </c>
      <c r="N2662" s="3">
        <f t="shared" si="205"/>
        <v>36635.879999999997</v>
      </c>
      <c r="O2662" s="3">
        <f t="shared" si="206"/>
        <v>36617.56</v>
      </c>
      <c r="P2662" s="3">
        <f t="shared" si="207"/>
        <v>25725.24</v>
      </c>
      <c r="Q2662" s="3">
        <f t="shared" si="208"/>
        <v>10892.32</v>
      </c>
      <c r="R2662" s="4">
        <f t="shared" si="209"/>
        <v>0.29749999999999999</v>
      </c>
      <c r="S2662" s="2">
        <v>13</v>
      </c>
      <c r="T2662" t="s">
        <v>30</v>
      </c>
      <c r="U2662">
        <v>2</v>
      </c>
    </row>
    <row r="2663" spans="1:21" x14ac:dyDescent="0.25">
      <c r="A2663" s="1">
        <v>46100</v>
      </c>
      <c r="B2663" t="s">
        <v>2850</v>
      </c>
      <c r="C2663" t="s">
        <v>180</v>
      </c>
      <c r="D2663" t="s">
        <v>97</v>
      </c>
      <c r="E2663" t="s">
        <v>57</v>
      </c>
      <c r="F2663" t="s">
        <v>64</v>
      </c>
      <c r="G2663" t="s">
        <v>27</v>
      </c>
      <c r="H2663" t="s">
        <v>86</v>
      </c>
      <c r="I2663" t="s">
        <v>92</v>
      </c>
      <c r="J2663" s="2">
        <v>5</v>
      </c>
      <c r="K2663" s="3">
        <v>1848.11</v>
      </c>
      <c r="L2663" s="3">
        <v>1212.56</v>
      </c>
      <c r="M2663" s="4">
        <v>9.2399999999999996E-2</v>
      </c>
      <c r="N2663" s="3">
        <f t="shared" si="205"/>
        <v>9240.5499999999993</v>
      </c>
      <c r="O2663" s="3">
        <f t="shared" si="206"/>
        <v>8386.7199999999993</v>
      </c>
      <c r="P2663" s="3">
        <f t="shared" si="207"/>
        <v>6062.8</v>
      </c>
      <c r="Q2663" s="3">
        <f t="shared" si="208"/>
        <v>2323.92</v>
      </c>
      <c r="R2663" s="4">
        <f t="shared" si="209"/>
        <v>0.27710000000000001</v>
      </c>
      <c r="S2663" s="2">
        <v>5</v>
      </c>
      <c r="T2663" t="s">
        <v>46</v>
      </c>
      <c r="U2663">
        <v>3</v>
      </c>
    </row>
    <row r="2664" spans="1:21" x14ac:dyDescent="0.25">
      <c r="A2664" s="1">
        <v>46168</v>
      </c>
      <c r="B2664" t="s">
        <v>2851</v>
      </c>
      <c r="C2664" t="s">
        <v>271</v>
      </c>
      <c r="D2664" t="s">
        <v>63</v>
      </c>
      <c r="E2664" t="s">
        <v>35</v>
      </c>
      <c r="F2664" t="s">
        <v>26</v>
      </c>
      <c r="G2664" t="s">
        <v>44</v>
      </c>
      <c r="H2664" t="s">
        <v>124</v>
      </c>
      <c r="I2664" t="s">
        <v>87</v>
      </c>
      <c r="J2664" s="2">
        <v>5</v>
      </c>
      <c r="K2664" s="3">
        <v>5888.93</v>
      </c>
      <c r="L2664" s="3">
        <v>4168.6000000000004</v>
      </c>
      <c r="M2664" s="4">
        <v>0</v>
      </c>
      <c r="N2664" s="3">
        <f t="shared" si="205"/>
        <v>29444.65</v>
      </c>
      <c r="O2664" s="3">
        <f t="shared" si="206"/>
        <v>29444.65</v>
      </c>
      <c r="P2664" s="3">
        <f t="shared" si="207"/>
        <v>20843</v>
      </c>
      <c r="Q2664" s="3">
        <f t="shared" si="208"/>
        <v>8601.65</v>
      </c>
      <c r="R2664" s="4">
        <f t="shared" si="209"/>
        <v>0.29210000000000003</v>
      </c>
      <c r="S2664" s="2">
        <v>8</v>
      </c>
      <c r="T2664" t="s">
        <v>46</v>
      </c>
      <c r="U2664">
        <v>3</v>
      </c>
    </row>
    <row r="2665" spans="1:21" x14ac:dyDescent="0.25">
      <c r="A2665" s="1">
        <v>46122</v>
      </c>
      <c r="B2665" t="s">
        <v>2852</v>
      </c>
      <c r="C2665" t="s">
        <v>103</v>
      </c>
      <c r="D2665" t="s">
        <v>101</v>
      </c>
      <c r="E2665" t="s">
        <v>35</v>
      </c>
      <c r="F2665" t="s">
        <v>64</v>
      </c>
      <c r="G2665" t="s">
        <v>51</v>
      </c>
      <c r="H2665" t="s">
        <v>116</v>
      </c>
      <c r="I2665" t="s">
        <v>74</v>
      </c>
      <c r="J2665" s="2">
        <v>7</v>
      </c>
      <c r="K2665" s="3">
        <v>2630.3</v>
      </c>
      <c r="L2665" s="3">
        <v>1837.28</v>
      </c>
      <c r="M2665" s="4">
        <v>0</v>
      </c>
      <c r="N2665" s="3">
        <f t="shared" si="205"/>
        <v>18412.099999999999</v>
      </c>
      <c r="O2665" s="3">
        <f t="shared" si="206"/>
        <v>18412.099999999999</v>
      </c>
      <c r="P2665" s="3">
        <f t="shared" si="207"/>
        <v>12860.96</v>
      </c>
      <c r="Q2665" s="3">
        <f t="shared" si="208"/>
        <v>5551.14</v>
      </c>
      <c r="R2665" s="4">
        <f t="shared" si="209"/>
        <v>0.30149999999999999</v>
      </c>
      <c r="S2665" s="2">
        <v>6</v>
      </c>
      <c r="T2665" t="s">
        <v>46</v>
      </c>
      <c r="U2665">
        <v>4</v>
      </c>
    </row>
    <row r="2666" spans="1:21" x14ac:dyDescent="0.25">
      <c r="A2666" s="1">
        <v>46066</v>
      </c>
      <c r="B2666" t="s">
        <v>2853</v>
      </c>
      <c r="C2666" t="s">
        <v>349</v>
      </c>
      <c r="D2666" t="s">
        <v>207</v>
      </c>
      <c r="E2666" t="s">
        <v>35</v>
      </c>
      <c r="F2666" t="s">
        <v>64</v>
      </c>
      <c r="G2666" t="s">
        <v>51</v>
      </c>
      <c r="H2666" t="s">
        <v>116</v>
      </c>
      <c r="I2666" t="s">
        <v>87</v>
      </c>
      <c r="J2666" s="2">
        <v>3</v>
      </c>
      <c r="K2666" s="3">
        <v>2644.73</v>
      </c>
      <c r="L2666" s="3">
        <v>1747.6</v>
      </c>
      <c r="M2666" s="4">
        <v>0</v>
      </c>
      <c r="N2666" s="3">
        <f t="shared" si="205"/>
        <v>7934.19</v>
      </c>
      <c r="O2666" s="3">
        <f t="shared" si="206"/>
        <v>7934.19</v>
      </c>
      <c r="P2666" s="3">
        <f t="shared" si="207"/>
        <v>5242.8</v>
      </c>
      <c r="Q2666" s="3">
        <f t="shared" si="208"/>
        <v>2691.39</v>
      </c>
      <c r="R2666" s="4">
        <f t="shared" si="209"/>
        <v>0.3392</v>
      </c>
      <c r="S2666" s="2">
        <v>9</v>
      </c>
      <c r="T2666" t="s">
        <v>46</v>
      </c>
      <c r="U2666">
        <v>2</v>
      </c>
    </row>
    <row r="2667" spans="1:21" x14ac:dyDescent="0.25">
      <c r="A2667" s="1">
        <v>46190</v>
      </c>
      <c r="B2667" t="s">
        <v>2854</v>
      </c>
      <c r="C2667" t="s">
        <v>590</v>
      </c>
      <c r="D2667" t="s">
        <v>101</v>
      </c>
      <c r="E2667" t="s">
        <v>35</v>
      </c>
      <c r="F2667" t="s">
        <v>36</v>
      </c>
      <c r="G2667" t="s">
        <v>27</v>
      </c>
      <c r="H2667" t="s">
        <v>28</v>
      </c>
      <c r="I2667" t="s">
        <v>87</v>
      </c>
      <c r="J2667" s="2">
        <v>7</v>
      </c>
      <c r="K2667" s="3">
        <v>835.77</v>
      </c>
      <c r="L2667" s="3">
        <v>469.9</v>
      </c>
      <c r="M2667" s="4">
        <v>5.2299999999999999E-2</v>
      </c>
      <c r="N2667" s="3">
        <f t="shared" si="205"/>
        <v>5850.39</v>
      </c>
      <c r="O2667" s="3">
        <f t="shared" si="206"/>
        <v>5544.41</v>
      </c>
      <c r="P2667" s="3">
        <f t="shared" si="207"/>
        <v>3289.3</v>
      </c>
      <c r="Q2667" s="3">
        <f t="shared" si="208"/>
        <v>2255.11</v>
      </c>
      <c r="R2667" s="4">
        <f t="shared" si="209"/>
        <v>0.40670000000000001</v>
      </c>
      <c r="S2667" s="2">
        <v>9</v>
      </c>
      <c r="T2667" t="s">
        <v>46</v>
      </c>
      <c r="U2667">
        <v>4</v>
      </c>
    </row>
    <row r="2668" spans="1:21" x14ac:dyDescent="0.25">
      <c r="A2668" s="1">
        <v>46063</v>
      </c>
      <c r="B2668" t="s">
        <v>2855</v>
      </c>
      <c r="C2668" t="s">
        <v>266</v>
      </c>
      <c r="D2668" t="s">
        <v>207</v>
      </c>
      <c r="E2668" t="s">
        <v>35</v>
      </c>
      <c r="F2668" t="s">
        <v>64</v>
      </c>
      <c r="G2668" t="s">
        <v>27</v>
      </c>
      <c r="H2668" t="s">
        <v>68</v>
      </c>
      <c r="I2668" t="s">
        <v>53</v>
      </c>
      <c r="J2668" s="2">
        <v>4</v>
      </c>
      <c r="K2668" s="3">
        <v>1282.72</v>
      </c>
      <c r="L2668" s="3">
        <v>774.31</v>
      </c>
      <c r="M2668" s="4">
        <v>6.59E-2</v>
      </c>
      <c r="N2668" s="3">
        <f t="shared" si="205"/>
        <v>5130.88</v>
      </c>
      <c r="O2668" s="3">
        <f t="shared" si="206"/>
        <v>4792.76</v>
      </c>
      <c r="P2668" s="3">
        <f t="shared" si="207"/>
        <v>3097.24</v>
      </c>
      <c r="Q2668" s="3">
        <f t="shared" si="208"/>
        <v>1695.52</v>
      </c>
      <c r="R2668" s="4">
        <f t="shared" si="209"/>
        <v>0.3538</v>
      </c>
      <c r="S2668" s="2">
        <v>14</v>
      </c>
      <c r="T2668" t="s">
        <v>30</v>
      </c>
      <c r="U2668">
        <v>4</v>
      </c>
    </row>
    <row r="2669" spans="1:21" x14ac:dyDescent="0.25">
      <c r="A2669" s="1">
        <v>46106</v>
      </c>
      <c r="B2669" t="s">
        <v>2856</v>
      </c>
      <c r="C2669" t="s">
        <v>190</v>
      </c>
      <c r="D2669" t="s">
        <v>34</v>
      </c>
      <c r="E2669" t="s">
        <v>35</v>
      </c>
      <c r="F2669" t="s">
        <v>26</v>
      </c>
      <c r="G2669" t="s">
        <v>44</v>
      </c>
      <c r="H2669" t="s">
        <v>45</v>
      </c>
      <c r="I2669" t="s">
        <v>92</v>
      </c>
      <c r="J2669" s="2">
        <v>5</v>
      </c>
      <c r="K2669" s="3">
        <v>369.54</v>
      </c>
      <c r="L2669" s="3">
        <v>217.61</v>
      </c>
      <c r="M2669" s="4">
        <v>1.1000000000000001E-3</v>
      </c>
      <c r="N2669" s="3">
        <f t="shared" si="205"/>
        <v>1847.7</v>
      </c>
      <c r="O2669" s="3">
        <f t="shared" si="206"/>
        <v>1845.67</v>
      </c>
      <c r="P2669" s="3">
        <f t="shared" si="207"/>
        <v>1088.05</v>
      </c>
      <c r="Q2669" s="3">
        <f t="shared" si="208"/>
        <v>757.62</v>
      </c>
      <c r="R2669" s="4">
        <f t="shared" si="209"/>
        <v>0.41049999999999998</v>
      </c>
      <c r="S2669" s="2">
        <v>5</v>
      </c>
      <c r="T2669" t="s">
        <v>46</v>
      </c>
      <c r="U2669">
        <v>3</v>
      </c>
    </row>
    <row r="2670" spans="1:21" x14ac:dyDescent="0.25">
      <c r="A2670" s="1">
        <v>46216</v>
      </c>
      <c r="B2670" t="s">
        <v>2857</v>
      </c>
      <c r="C2670" t="s">
        <v>500</v>
      </c>
      <c r="D2670" t="s">
        <v>85</v>
      </c>
      <c r="E2670" t="s">
        <v>50</v>
      </c>
      <c r="F2670" t="s">
        <v>58</v>
      </c>
      <c r="G2670" t="s">
        <v>27</v>
      </c>
      <c r="H2670" t="s">
        <v>86</v>
      </c>
      <c r="I2670" t="s">
        <v>60</v>
      </c>
      <c r="J2670" s="2">
        <v>1</v>
      </c>
      <c r="K2670" s="3">
        <v>1782.22</v>
      </c>
      <c r="L2670" s="3">
        <v>1174.0899999999999</v>
      </c>
      <c r="M2670" s="4">
        <v>4.19E-2</v>
      </c>
      <c r="N2670" s="3">
        <f t="shared" si="205"/>
        <v>1782.22</v>
      </c>
      <c r="O2670" s="3">
        <f t="shared" si="206"/>
        <v>1707.54</v>
      </c>
      <c r="P2670" s="3">
        <f t="shared" si="207"/>
        <v>1174.0899999999999</v>
      </c>
      <c r="Q2670" s="3">
        <f t="shared" si="208"/>
        <v>533.45000000000005</v>
      </c>
      <c r="R2670" s="4">
        <f t="shared" si="209"/>
        <v>0.31240000000000001</v>
      </c>
      <c r="S2670" s="2">
        <v>14</v>
      </c>
      <c r="T2670" t="s">
        <v>30</v>
      </c>
      <c r="U2670">
        <v>3</v>
      </c>
    </row>
    <row r="2671" spans="1:21" x14ac:dyDescent="0.25">
      <c r="A2671" s="1">
        <v>46061</v>
      </c>
      <c r="B2671" t="s">
        <v>2858</v>
      </c>
      <c r="C2671" t="s">
        <v>500</v>
      </c>
      <c r="D2671" t="s">
        <v>63</v>
      </c>
      <c r="E2671" t="s">
        <v>35</v>
      </c>
      <c r="F2671" t="s">
        <v>64</v>
      </c>
      <c r="G2671" t="s">
        <v>37</v>
      </c>
      <c r="H2671" t="s">
        <v>104</v>
      </c>
      <c r="I2671" t="s">
        <v>60</v>
      </c>
      <c r="J2671" s="2">
        <v>5</v>
      </c>
      <c r="K2671" s="3">
        <v>308.77999999999997</v>
      </c>
      <c r="L2671" s="3">
        <v>133.88</v>
      </c>
      <c r="M2671" s="4">
        <v>0</v>
      </c>
      <c r="N2671" s="3">
        <f t="shared" si="205"/>
        <v>1543.9</v>
      </c>
      <c r="O2671" s="3">
        <f t="shared" si="206"/>
        <v>1543.9</v>
      </c>
      <c r="P2671" s="3">
        <f t="shared" si="207"/>
        <v>669.4</v>
      </c>
      <c r="Q2671" s="3">
        <f t="shared" si="208"/>
        <v>874.5</v>
      </c>
      <c r="R2671" s="4">
        <f t="shared" si="209"/>
        <v>0.56640000000000001</v>
      </c>
      <c r="S2671" s="2">
        <v>12</v>
      </c>
      <c r="T2671" t="s">
        <v>30</v>
      </c>
      <c r="U2671">
        <v>5</v>
      </c>
    </row>
    <row r="2672" spans="1:21" x14ac:dyDescent="0.25">
      <c r="A2672" s="1">
        <v>46201</v>
      </c>
      <c r="B2672" t="s">
        <v>2859</v>
      </c>
      <c r="C2672" t="s">
        <v>480</v>
      </c>
      <c r="D2672" t="s">
        <v>207</v>
      </c>
      <c r="E2672" t="s">
        <v>35</v>
      </c>
      <c r="F2672" t="s">
        <v>64</v>
      </c>
      <c r="G2672" t="s">
        <v>44</v>
      </c>
      <c r="H2672" t="s">
        <v>45</v>
      </c>
      <c r="I2672" t="s">
        <v>74</v>
      </c>
      <c r="J2672" s="2">
        <v>8</v>
      </c>
      <c r="K2672" s="3">
        <v>409.48</v>
      </c>
      <c r="L2672" s="3">
        <v>216.4</v>
      </c>
      <c r="M2672" s="4">
        <v>0</v>
      </c>
      <c r="N2672" s="3">
        <f t="shared" si="205"/>
        <v>3275.84</v>
      </c>
      <c r="O2672" s="3">
        <f t="shared" si="206"/>
        <v>3275.84</v>
      </c>
      <c r="P2672" s="3">
        <f t="shared" si="207"/>
        <v>1731.2</v>
      </c>
      <c r="Q2672" s="3">
        <f t="shared" si="208"/>
        <v>1544.64</v>
      </c>
      <c r="R2672" s="4">
        <f t="shared" si="209"/>
        <v>0.47149999999999997</v>
      </c>
      <c r="S2672" s="2">
        <v>6</v>
      </c>
      <c r="T2672" t="s">
        <v>46</v>
      </c>
      <c r="U2672">
        <v>5</v>
      </c>
    </row>
    <row r="2673" spans="1:21" x14ac:dyDescent="0.25">
      <c r="A2673" s="1">
        <v>46040</v>
      </c>
      <c r="B2673" t="s">
        <v>2860</v>
      </c>
      <c r="C2673" t="s">
        <v>180</v>
      </c>
      <c r="D2673" t="s">
        <v>85</v>
      </c>
      <c r="E2673" t="s">
        <v>50</v>
      </c>
      <c r="F2673" t="s">
        <v>36</v>
      </c>
      <c r="G2673" t="s">
        <v>51</v>
      </c>
      <c r="H2673" t="s">
        <v>116</v>
      </c>
      <c r="I2673" t="s">
        <v>39</v>
      </c>
      <c r="J2673" s="2">
        <v>7</v>
      </c>
      <c r="K2673" s="3">
        <v>2883.86</v>
      </c>
      <c r="L2673" s="3">
        <v>1740.69</v>
      </c>
      <c r="M2673" s="4">
        <v>9.4000000000000004E-3</v>
      </c>
      <c r="N2673" s="3">
        <f t="shared" si="205"/>
        <v>20187.02</v>
      </c>
      <c r="O2673" s="3">
        <f t="shared" si="206"/>
        <v>19997.259999999998</v>
      </c>
      <c r="P2673" s="3">
        <f t="shared" si="207"/>
        <v>12184.83</v>
      </c>
      <c r="Q2673" s="3">
        <f t="shared" si="208"/>
        <v>7812.43</v>
      </c>
      <c r="R2673" s="4">
        <f t="shared" si="209"/>
        <v>0.39069999999999999</v>
      </c>
      <c r="S2673" s="2">
        <v>12</v>
      </c>
      <c r="T2673" t="s">
        <v>30</v>
      </c>
      <c r="U2673">
        <v>3</v>
      </c>
    </row>
    <row r="2674" spans="1:21" x14ac:dyDescent="0.25">
      <c r="A2674" s="1">
        <v>46057</v>
      </c>
      <c r="B2674" t="s">
        <v>2861</v>
      </c>
      <c r="C2674" t="s">
        <v>233</v>
      </c>
      <c r="D2674" t="s">
        <v>97</v>
      </c>
      <c r="E2674" t="s">
        <v>57</v>
      </c>
      <c r="F2674" t="s">
        <v>58</v>
      </c>
      <c r="G2674" t="s">
        <v>37</v>
      </c>
      <c r="H2674" t="s">
        <v>104</v>
      </c>
      <c r="I2674" t="s">
        <v>92</v>
      </c>
      <c r="J2674" s="2">
        <v>8</v>
      </c>
      <c r="K2674" s="3">
        <v>320.99</v>
      </c>
      <c r="L2674" s="3">
        <v>139.49</v>
      </c>
      <c r="M2674" s="4">
        <v>7.6200000000000004E-2</v>
      </c>
      <c r="N2674" s="3">
        <f t="shared" si="205"/>
        <v>2567.92</v>
      </c>
      <c r="O2674" s="3">
        <f t="shared" si="206"/>
        <v>2372.2399999999998</v>
      </c>
      <c r="P2674" s="3">
        <f t="shared" si="207"/>
        <v>1115.92</v>
      </c>
      <c r="Q2674" s="3">
        <f t="shared" si="208"/>
        <v>1256.32</v>
      </c>
      <c r="R2674" s="4">
        <f t="shared" si="209"/>
        <v>0.52959999999999996</v>
      </c>
      <c r="S2674" s="2">
        <v>2</v>
      </c>
      <c r="T2674" t="s">
        <v>40</v>
      </c>
    </row>
    <row r="2675" spans="1:21" x14ac:dyDescent="0.25">
      <c r="A2675" s="1">
        <v>46232</v>
      </c>
      <c r="B2675" t="s">
        <v>2862</v>
      </c>
      <c r="C2675" t="s">
        <v>150</v>
      </c>
      <c r="D2675" t="s">
        <v>56</v>
      </c>
      <c r="E2675" t="s">
        <v>57</v>
      </c>
      <c r="F2675" t="s">
        <v>26</v>
      </c>
      <c r="G2675" t="s">
        <v>44</v>
      </c>
      <c r="H2675" t="s">
        <v>45</v>
      </c>
      <c r="I2675" t="s">
        <v>92</v>
      </c>
      <c r="J2675" s="2">
        <v>5</v>
      </c>
      <c r="K2675" s="3">
        <v>388.52</v>
      </c>
      <c r="L2675" s="3">
        <v>213.08</v>
      </c>
      <c r="M2675" s="4">
        <v>6.0400000000000002E-2</v>
      </c>
      <c r="N2675" s="3">
        <f t="shared" si="205"/>
        <v>1942.6</v>
      </c>
      <c r="O2675" s="3">
        <f t="shared" si="206"/>
        <v>1825.27</v>
      </c>
      <c r="P2675" s="3">
        <f t="shared" si="207"/>
        <v>1065.4000000000001</v>
      </c>
      <c r="Q2675" s="3">
        <f t="shared" si="208"/>
        <v>759.87</v>
      </c>
      <c r="R2675" s="4">
        <f t="shared" si="209"/>
        <v>0.4163</v>
      </c>
      <c r="S2675" s="2">
        <v>14</v>
      </c>
      <c r="T2675" t="s">
        <v>30</v>
      </c>
      <c r="U2675">
        <v>3</v>
      </c>
    </row>
    <row r="2676" spans="1:21" x14ac:dyDescent="0.25">
      <c r="A2676" s="1">
        <v>46207</v>
      </c>
      <c r="B2676" t="s">
        <v>2863</v>
      </c>
      <c r="C2676" t="s">
        <v>520</v>
      </c>
      <c r="D2676" t="s">
        <v>121</v>
      </c>
      <c r="E2676" t="s">
        <v>72</v>
      </c>
      <c r="F2676" t="s">
        <v>36</v>
      </c>
      <c r="G2676" t="s">
        <v>44</v>
      </c>
      <c r="H2676" t="s">
        <v>124</v>
      </c>
      <c r="I2676" t="s">
        <v>60</v>
      </c>
      <c r="J2676" s="2">
        <v>7</v>
      </c>
      <c r="K2676" s="3">
        <v>6003.45</v>
      </c>
      <c r="L2676" s="3">
        <v>4615.6099999999997</v>
      </c>
      <c r="M2676" s="4">
        <v>0</v>
      </c>
      <c r="N2676" s="3">
        <f t="shared" si="205"/>
        <v>42024.15</v>
      </c>
      <c r="O2676" s="3">
        <f t="shared" si="206"/>
        <v>42024.15</v>
      </c>
      <c r="P2676" s="3">
        <f t="shared" si="207"/>
        <v>32309.27</v>
      </c>
      <c r="Q2676" s="3">
        <f t="shared" si="208"/>
        <v>9714.8799999999992</v>
      </c>
      <c r="R2676" s="4">
        <f t="shared" si="209"/>
        <v>0.23119999999999999</v>
      </c>
      <c r="S2676" s="2">
        <v>4</v>
      </c>
      <c r="T2676" t="s">
        <v>46</v>
      </c>
      <c r="U2676">
        <v>5</v>
      </c>
    </row>
    <row r="2677" spans="1:21" x14ac:dyDescent="0.25">
      <c r="A2677" s="1">
        <v>46097</v>
      </c>
      <c r="B2677" t="s">
        <v>2864</v>
      </c>
      <c r="C2677" t="s">
        <v>288</v>
      </c>
      <c r="D2677" t="s">
        <v>56</v>
      </c>
      <c r="E2677" t="s">
        <v>57</v>
      </c>
      <c r="F2677" t="s">
        <v>36</v>
      </c>
      <c r="G2677" t="s">
        <v>44</v>
      </c>
      <c r="H2677" t="s">
        <v>73</v>
      </c>
      <c r="I2677" t="s">
        <v>53</v>
      </c>
      <c r="J2677" s="2">
        <v>2</v>
      </c>
      <c r="K2677" s="3">
        <v>1648.35</v>
      </c>
      <c r="L2677" s="3">
        <v>1039.1500000000001</v>
      </c>
      <c r="M2677" s="4">
        <v>3.1800000000000002E-2</v>
      </c>
      <c r="N2677" s="3">
        <f t="shared" si="205"/>
        <v>3296.7</v>
      </c>
      <c r="O2677" s="3">
        <f t="shared" si="206"/>
        <v>3191.86</v>
      </c>
      <c r="P2677" s="3">
        <f t="shared" si="207"/>
        <v>2078.3000000000002</v>
      </c>
      <c r="Q2677" s="3">
        <f t="shared" si="208"/>
        <v>1113.56</v>
      </c>
      <c r="R2677" s="4">
        <f t="shared" si="209"/>
        <v>0.34889999999999999</v>
      </c>
      <c r="S2677" s="2">
        <v>6</v>
      </c>
      <c r="T2677" t="s">
        <v>46</v>
      </c>
      <c r="U2677">
        <v>4</v>
      </c>
    </row>
    <row r="2678" spans="1:21" x14ac:dyDescent="0.25">
      <c r="A2678" s="1">
        <v>46209</v>
      </c>
      <c r="B2678" t="s">
        <v>2865</v>
      </c>
      <c r="C2678" t="s">
        <v>106</v>
      </c>
      <c r="D2678" t="s">
        <v>207</v>
      </c>
      <c r="E2678" t="s">
        <v>35</v>
      </c>
      <c r="F2678" t="s">
        <v>58</v>
      </c>
      <c r="G2678" t="s">
        <v>27</v>
      </c>
      <c r="H2678" t="s">
        <v>86</v>
      </c>
      <c r="I2678" t="s">
        <v>60</v>
      </c>
      <c r="J2678" s="2">
        <v>1</v>
      </c>
      <c r="K2678" s="3">
        <v>1787.71</v>
      </c>
      <c r="L2678" s="3">
        <v>1218.52</v>
      </c>
      <c r="M2678" s="4">
        <v>0.12759999999999999</v>
      </c>
      <c r="N2678" s="3">
        <f t="shared" si="205"/>
        <v>1787.71</v>
      </c>
      <c r="O2678" s="3">
        <f t="shared" si="206"/>
        <v>1559.6</v>
      </c>
      <c r="P2678" s="3">
        <f t="shared" si="207"/>
        <v>1218.52</v>
      </c>
      <c r="Q2678" s="3">
        <f t="shared" si="208"/>
        <v>341.08</v>
      </c>
      <c r="R2678" s="4">
        <f t="shared" si="209"/>
        <v>0.21870000000000001</v>
      </c>
      <c r="S2678" s="2">
        <v>6</v>
      </c>
      <c r="T2678" t="s">
        <v>46</v>
      </c>
      <c r="U2678">
        <v>5</v>
      </c>
    </row>
    <row r="2679" spans="1:21" x14ac:dyDescent="0.25">
      <c r="A2679" s="1">
        <v>46219</v>
      </c>
      <c r="B2679" t="s">
        <v>2866</v>
      </c>
      <c r="C2679" t="s">
        <v>321</v>
      </c>
      <c r="D2679" t="s">
        <v>71</v>
      </c>
      <c r="E2679" t="s">
        <v>72</v>
      </c>
      <c r="F2679" t="s">
        <v>36</v>
      </c>
      <c r="G2679" t="s">
        <v>27</v>
      </c>
      <c r="H2679" t="s">
        <v>86</v>
      </c>
      <c r="I2679" t="s">
        <v>74</v>
      </c>
      <c r="J2679" s="2">
        <v>6</v>
      </c>
      <c r="K2679" s="3">
        <v>1896.64</v>
      </c>
      <c r="L2679" s="3">
        <v>1228.03</v>
      </c>
      <c r="M2679" s="4">
        <v>0</v>
      </c>
      <c r="N2679" s="3">
        <f t="shared" si="205"/>
        <v>11379.84</v>
      </c>
      <c r="O2679" s="3">
        <f t="shared" si="206"/>
        <v>11379.84</v>
      </c>
      <c r="P2679" s="3">
        <f t="shared" si="207"/>
        <v>7368.18</v>
      </c>
      <c r="Q2679" s="3">
        <f t="shared" si="208"/>
        <v>4011.66</v>
      </c>
      <c r="R2679" s="4">
        <f t="shared" si="209"/>
        <v>0.35249999999999998</v>
      </c>
      <c r="S2679" s="2">
        <v>3</v>
      </c>
      <c r="T2679" t="s">
        <v>46</v>
      </c>
      <c r="U2679">
        <v>5</v>
      </c>
    </row>
    <row r="2680" spans="1:21" x14ac:dyDescent="0.25">
      <c r="A2680" s="1">
        <v>46047</v>
      </c>
      <c r="B2680" t="s">
        <v>2867</v>
      </c>
      <c r="C2680" t="s">
        <v>62</v>
      </c>
      <c r="D2680" t="s">
        <v>49</v>
      </c>
      <c r="E2680" t="s">
        <v>50</v>
      </c>
      <c r="F2680" t="s">
        <v>26</v>
      </c>
      <c r="G2680" t="s">
        <v>37</v>
      </c>
      <c r="H2680" t="s">
        <v>178</v>
      </c>
      <c r="I2680" t="s">
        <v>77</v>
      </c>
      <c r="J2680" s="2">
        <v>7</v>
      </c>
      <c r="K2680" s="3">
        <v>535.21</v>
      </c>
      <c r="L2680" s="3">
        <v>245.42</v>
      </c>
      <c r="M2680" s="4">
        <v>0</v>
      </c>
      <c r="N2680" s="3">
        <f t="shared" si="205"/>
        <v>3746.47</v>
      </c>
      <c r="O2680" s="3">
        <f t="shared" si="206"/>
        <v>3746.47</v>
      </c>
      <c r="P2680" s="3">
        <f t="shared" si="207"/>
        <v>1717.94</v>
      </c>
      <c r="Q2680" s="3">
        <f t="shared" si="208"/>
        <v>2028.53</v>
      </c>
      <c r="R2680" s="4">
        <f t="shared" si="209"/>
        <v>0.54149999999999998</v>
      </c>
      <c r="S2680" s="2">
        <v>12</v>
      </c>
      <c r="T2680" t="s">
        <v>30</v>
      </c>
      <c r="U2680">
        <v>2</v>
      </c>
    </row>
    <row r="2681" spans="1:21" x14ac:dyDescent="0.25">
      <c r="A2681" s="1">
        <v>46221</v>
      </c>
      <c r="B2681" t="s">
        <v>2868</v>
      </c>
      <c r="C2681" t="s">
        <v>447</v>
      </c>
      <c r="D2681" t="s">
        <v>34</v>
      </c>
      <c r="E2681" t="s">
        <v>35</v>
      </c>
      <c r="F2681" t="s">
        <v>64</v>
      </c>
      <c r="G2681" t="s">
        <v>44</v>
      </c>
      <c r="H2681" t="s">
        <v>124</v>
      </c>
      <c r="I2681" t="s">
        <v>87</v>
      </c>
      <c r="J2681" s="2">
        <v>5</v>
      </c>
      <c r="K2681" s="3">
        <v>6093.98</v>
      </c>
      <c r="L2681" s="3">
        <v>4172.51</v>
      </c>
      <c r="M2681" s="4">
        <v>0</v>
      </c>
      <c r="N2681" s="3">
        <f t="shared" si="205"/>
        <v>30469.9</v>
      </c>
      <c r="O2681" s="3">
        <f t="shared" si="206"/>
        <v>30469.9</v>
      </c>
      <c r="P2681" s="3">
        <f t="shared" si="207"/>
        <v>20862.55</v>
      </c>
      <c r="Q2681" s="3">
        <f t="shared" si="208"/>
        <v>9607.35</v>
      </c>
      <c r="R2681" s="4">
        <f t="shared" si="209"/>
        <v>0.31530000000000002</v>
      </c>
      <c r="S2681" s="2">
        <v>8</v>
      </c>
      <c r="T2681" t="s">
        <v>46</v>
      </c>
      <c r="U2681">
        <v>2</v>
      </c>
    </row>
    <row r="2682" spans="1:21" x14ac:dyDescent="0.25">
      <c r="A2682" s="1">
        <v>46194</v>
      </c>
      <c r="B2682" t="s">
        <v>2869</v>
      </c>
      <c r="C2682" t="s">
        <v>271</v>
      </c>
      <c r="D2682" t="s">
        <v>24</v>
      </c>
      <c r="E2682" t="s">
        <v>25</v>
      </c>
      <c r="F2682" t="s">
        <v>26</v>
      </c>
      <c r="G2682" t="s">
        <v>44</v>
      </c>
      <c r="H2682" t="s">
        <v>124</v>
      </c>
      <c r="I2682" t="s">
        <v>39</v>
      </c>
      <c r="J2682" s="2">
        <v>5</v>
      </c>
      <c r="K2682" s="3">
        <v>6049.36</v>
      </c>
      <c r="L2682" s="3">
        <v>4665.24</v>
      </c>
      <c r="M2682" s="4">
        <v>0.1119</v>
      </c>
      <c r="N2682" s="3">
        <f t="shared" si="205"/>
        <v>30246.799999999999</v>
      </c>
      <c r="O2682" s="3">
        <f t="shared" si="206"/>
        <v>26862.18</v>
      </c>
      <c r="P2682" s="3">
        <f t="shared" si="207"/>
        <v>23326.2</v>
      </c>
      <c r="Q2682" s="3">
        <f t="shared" si="208"/>
        <v>3535.98</v>
      </c>
      <c r="R2682" s="4">
        <f t="shared" si="209"/>
        <v>0.13159999999999999</v>
      </c>
      <c r="S2682" s="2">
        <v>12</v>
      </c>
      <c r="T2682" t="s">
        <v>30</v>
      </c>
      <c r="U2682">
        <v>3</v>
      </c>
    </row>
    <row r="2683" spans="1:21" x14ac:dyDescent="0.25">
      <c r="A2683" s="1">
        <v>46084</v>
      </c>
      <c r="B2683" t="s">
        <v>2870</v>
      </c>
      <c r="C2683" t="s">
        <v>195</v>
      </c>
      <c r="D2683" t="s">
        <v>85</v>
      </c>
      <c r="E2683" t="s">
        <v>50</v>
      </c>
      <c r="F2683" t="s">
        <v>36</v>
      </c>
      <c r="G2683" t="s">
        <v>44</v>
      </c>
      <c r="H2683" t="s">
        <v>73</v>
      </c>
      <c r="I2683" t="s">
        <v>94</v>
      </c>
      <c r="J2683" s="2">
        <v>5</v>
      </c>
      <c r="K2683" s="3">
        <v>1743.9</v>
      </c>
      <c r="L2683" s="3">
        <v>1122.45</v>
      </c>
      <c r="M2683" s="4">
        <v>0</v>
      </c>
      <c r="N2683" s="3">
        <f t="shared" si="205"/>
        <v>8719.5</v>
      </c>
      <c r="O2683" s="3">
        <f t="shared" si="206"/>
        <v>8719.5</v>
      </c>
      <c r="P2683" s="3">
        <f t="shared" si="207"/>
        <v>5612.25</v>
      </c>
      <c r="Q2683" s="3">
        <f t="shared" si="208"/>
        <v>3107.25</v>
      </c>
      <c r="R2683" s="4">
        <f t="shared" si="209"/>
        <v>0.35639999999999999</v>
      </c>
      <c r="S2683" s="2">
        <v>5</v>
      </c>
      <c r="T2683" t="s">
        <v>46</v>
      </c>
      <c r="U2683">
        <v>4</v>
      </c>
    </row>
    <row r="2684" spans="1:21" x14ac:dyDescent="0.25">
      <c r="A2684" s="1">
        <v>46209</v>
      </c>
      <c r="B2684" t="s">
        <v>2871</v>
      </c>
      <c r="C2684" t="s">
        <v>164</v>
      </c>
      <c r="D2684" t="s">
        <v>43</v>
      </c>
      <c r="E2684" t="s">
        <v>25</v>
      </c>
      <c r="F2684" t="s">
        <v>64</v>
      </c>
      <c r="G2684" t="s">
        <v>51</v>
      </c>
      <c r="H2684" t="s">
        <v>59</v>
      </c>
      <c r="I2684" t="s">
        <v>53</v>
      </c>
      <c r="J2684" s="2">
        <v>3</v>
      </c>
      <c r="K2684" s="3">
        <v>2123.29</v>
      </c>
      <c r="L2684" s="3">
        <v>1496.85</v>
      </c>
      <c r="M2684" s="4">
        <v>0.1057</v>
      </c>
      <c r="N2684" s="3">
        <f t="shared" si="205"/>
        <v>6369.87</v>
      </c>
      <c r="O2684" s="3">
        <f t="shared" si="206"/>
        <v>5696.57</v>
      </c>
      <c r="P2684" s="3">
        <f t="shared" si="207"/>
        <v>4490.55</v>
      </c>
      <c r="Q2684" s="3">
        <f t="shared" si="208"/>
        <v>1206.02</v>
      </c>
      <c r="R2684" s="4">
        <f t="shared" si="209"/>
        <v>0.2117</v>
      </c>
      <c r="S2684" s="2">
        <v>8</v>
      </c>
      <c r="T2684" t="s">
        <v>46</v>
      </c>
      <c r="U2684">
        <v>5</v>
      </c>
    </row>
    <row r="2685" spans="1:21" x14ac:dyDescent="0.25">
      <c r="A2685" s="1">
        <v>46043</v>
      </c>
      <c r="B2685" t="s">
        <v>2872</v>
      </c>
      <c r="C2685" t="s">
        <v>134</v>
      </c>
      <c r="D2685" t="s">
        <v>63</v>
      </c>
      <c r="E2685" t="s">
        <v>35</v>
      </c>
      <c r="F2685" t="s">
        <v>26</v>
      </c>
      <c r="G2685" t="s">
        <v>27</v>
      </c>
      <c r="H2685" t="s">
        <v>28</v>
      </c>
      <c r="I2685" t="s">
        <v>39</v>
      </c>
      <c r="J2685" s="2">
        <v>1</v>
      </c>
      <c r="K2685" s="3">
        <v>833.98</v>
      </c>
      <c r="L2685" s="3">
        <v>442.87</v>
      </c>
      <c r="M2685" s="4">
        <v>9.2999999999999999E-2</v>
      </c>
      <c r="N2685" s="3">
        <f t="shared" si="205"/>
        <v>833.98</v>
      </c>
      <c r="O2685" s="3">
        <f t="shared" si="206"/>
        <v>756.42</v>
      </c>
      <c r="P2685" s="3">
        <f t="shared" si="207"/>
        <v>442.87</v>
      </c>
      <c r="Q2685" s="3">
        <f t="shared" si="208"/>
        <v>313.55</v>
      </c>
      <c r="R2685" s="4">
        <f t="shared" si="209"/>
        <v>0.41449999999999998</v>
      </c>
      <c r="S2685" s="2">
        <v>8</v>
      </c>
      <c r="T2685" t="s">
        <v>46</v>
      </c>
      <c r="U2685">
        <v>5</v>
      </c>
    </row>
    <row r="2686" spans="1:21" x14ac:dyDescent="0.25">
      <c r="A2686" s="1">
        <v>46197</v>
      </c>
      <c r="B2686" t="s">
        <v>2873</v>
      </c>
      <c r="C2686" t="s">
        <v>331</v>
      </c>
      <c r="D2686" t="s">
        <v>24</v>
      </c>
      <c r="E2686" t="s">
        <v>25</v>
      </c>
      <c r="F2686" t="s">
        <v>36</v>
      </c>
      <c r="G2686" t="s">
        <v>51</v>
      </c>
      <c r="H2686" t="s">
        <v>52</v>
      </c>
      <c r="I2686" t="s">
        <v>53</v>
      </c>
      <c r="J2686" s="2">
        <v>3</v>
      </c>
      <c r="K2686" s="3">
        <v>252.15</v>
      </c>
      <c r="L2686" s="3">
        <v>119.21</v>
      </c>
      <c r="M2686" s="4">
        <v>5.9499999999999997E-2</v>
      </c>
      <c r="N2686" s="3">
        <f t="shared" si="205"/>
        <v>756.45</v>
      </c>
      <c r="O2686" s="3">
        <f t="shared" si="206"/>
        <v>711.44</v>
      </c>
      <c r="P2686" s="3">
        <f t="shared" si="207"/>
        <v>357.63</v>
      </c>
      <c r="Q2686" s="3">
        <f t="shared" si="208"/>
        <v>353.81</v>
      </c>
      <c r="R2686" s="4">
        <f t="shared" si="209"/>
        <v>0.49730000000000002</v>
      </c>
      <c r="S2686" s="2">
        <v>7</v>
      </c>
      <c r="T2686" t="s">
        <v>46</v>
      </c>
      <c r="U2686">
        <v>2</v>
      </c>
    </row>
    <row r="2687" spans="1:21" x14ac:dyDescent="0.25">
      <c r="A2687" s="1">
        <v>46081</v>
      </c>
      <c r="B2687" t="s">
        <v>2874</v>
      </c>
      <c r="C2687" t="s">
        <v>162</v>
      </c>
      <c r="D2687" t="s">
        <v>113</v>
      </c>
      <c r="E2687" t="s">
        <v>50</v>
      </c>
      <c r="F2687" t="s">
        <v>58</v>
      </c>
      <c r="G2687" t="s">
        <v>37</v>
      </c>
      <c r="H2687" t="s">
        <v>104</v>
      </c>
      <c r="I2687" t="s">
        <v>60</v>
      </c>
      <c r="J2687" s="2">
        <v>6</v>
      </c>
      <c r="K2687" s="3">
        <v>328.05</v>
      </c>
      <c r="L2687" s="3">
        <v>140.94</v>
      </c>
      <c r="M2687" s="4">
        <v>4.9399999999999999E-2</v>
      </c>
      <c r="N2687" s="3">
        <f t="shared" si="205"/>
        <v>1968.3</v>
      </c>
      <c r="O2687" s="3">
        <f t="shared" si="206"/>
        <v>1871.07</v>
      </c>
      <c r="P2687" s="3">
        <f t="shared" si="207"/>
        <v>845.64</v>
      </c>
      <c r="Q2687" s="3">
        <f t="shared" si="208"/>
        <v>1025.43</v>
      </c>
      <c r="R2687" s="4">
        <f t="shared" si="209"/>
        <v>0.54800000000000004</v>
      </c>
      <c r="S2687" s="2">
        <v>7</v>
      </c>
      <c r="T2687" t="s">
        <v>46</v>
      </c>
      <c r="U2687">
        <v>5</v>
      </c>
    </row>
    <row r="2688" spans="1:21" x14ac:dyDescent="0.25">
      <c r="A2688" s="1">
        <v>46204</v>
      </c>
      <c r="B2688" t="s">
        <v>2875</v>
      </c>
      <c r="C2688" t="s">
        <v>204</v>
      </c>
      <c r="D2688" t="s">
        <v>207</v>
      </c>
      <c r="E2688" t="s">
        <v>35</v>
      </c>
      <c r="F2688" t="s">
        <v>36</v>
      </c>
      <c r="G2688" t="s">
        <v>51</v>
      </c>
      <c r="H2688" t="s">
        <v>59</v>
      </c>
      <c r="I2688" t="s">
        <v>53</v>
      </c>
      <c r="J2688" s="2">
        <v>8</v>
      </c>
      <c r="K2688" s="3">
        <v>2228.37</v>
      </c>
      <c r="L2688" s="3">
        <v>1437.7</v>
      </c>
      <c r="M2688" s="4">
        <v>4.1999999999999997E-3</v>
      </c>
      <c r="N2688" s="3">
        <f t="shared" si="205"/>
        <v>17826.96</v>
      </c>
      <c r="O2688" s="3">
        <f t="shared" si="206"/>
        <v>17752.09</v>
      </c>
      <c r="P2688" s="3">
        <f t="shared" si="207"/>
        <v>11501.6</v>
      </c>
      <c r="Q2688" s="3">
        <f t="shared" si="208"/>
        <v>6250.49</v>
      </c>
      <c r="R2688" s="4">
        <f t="shared" si="209"/>
        <v>0.35210000000000002</v>
      </c>
      <c r="S2688" s="2">
        <v>11</v>
      </c>
      <c r="T2688" t="s">
        <v>30</v>
      </c>
      <c r="U2688">
        <v>5</v>
      </c>
    </row>
    <row r="2689" spans="1:22" x14ac:dyDescent="0.25">
      <c r="A2689" s="1">
        <v>46212</v>
      </c>
      <c r="B2689" t="s">
        <v>2876</v>
      </c>
      <c r="C2689" t="s">
        <v>433</v>
      </c>
      <c r="D2689" t="s">
        <v>207</v>
      </c>
      <c r="E2689" t="s">
        <v>35</v>
      </c>
      <c r="F2689" t="s">
        <v>36</v>
      </c>
      <c r="G2689" t="s">
        <v>44</v>
      </c>
      <c r="H2689" t="s">
        <v>45</v>
      </c>
      <c r="I2689" t="s">
        <v>29</v>
      </c>
      <c r="J2689" s="2">
        <v>5</v>
      </c>
      <c r="K2689" s="3">
        <v>377.91</v>
      </c>
      <c r="L2689" s="3">
        <v>219.57</v>
      </c>
      <c r="M2689" s="4">
        <v>3.2899999999999999E-2</v>
      </c>
      <c r="N2689" s="3">
        <f t="shared" si="205"/>
        <v>1889.55</v>
      </c>
      <c r="O2689" s="3">
        <f t="shared" si="206"/>
        <v>1827.38</v>
      </c>
      <c r="P2689" s="3">
        <f t="shared" si="207"/>
        <v>1097.8499999999999</v>
      </c>
      <c r="Q2689" s="3">
        <f t="shared" si="208"/>
        <v>729.53</v>
      </c>
      <c r="R2689" s="4">
        <f t="shared" si="209"/>
        <v>0.3992</v>
      </c>
      <c r="S2689" s="2">
        <v>4</v>
      </c>
      <c r="T2689" t="s">
        <v>46</v>
      </c>
      <c r="U2689">
        <v>3</v>
      </c>
    </row>
    <row r="2690" spans="1:22" x14ac:dyDescent="0.25">
      <c r="A2690" s="1">
        <v>46035</v>
      </c>
      <c r="B2690" t="s">
        <v>2877</v>
      </c>
      <c r="C2690" t="s">
        <v>356</v>
      </c>
      <c r="D2690" t="s">
        <v>63</v>
      </c>
      <c r="E2690" t="s">
        <v>35</v>
      </c>
      <c r="F2690" t="s">
        <v>64</v>
      </c>
      <c r="G2690" t="s">
        <v>27</v>
      </c>
      <c r="H2690" t="s">
        <v>28</v>
      </c>
      <c r="I2690" t="s">
        <v>92</v>
      </c>
      <c r="J2690" s="2">
        <v>6</v>
      </c>
      <c r="K2690" s="3">
        <v>828.14</v>
      </c>
      <c r="L2690" s="3">
        <v>464.23</v>
      </c>
      <c r="M2690" s="4">
        <v>0.124</v>
      </c>
      <c r="N2690" s="3">
        <f t="shared" ref="N2690:N2753" si="210">ROUND(J2690*K2690,2)</f>
        <v>4968.84</v>
      </c>
      <c r="O2690" s="3">
        <f t="shared" ref="O2690:O2753" si="211">ROUND(N2690*(1-M2690),2)</f>
        <v>4352.7</v>
      </c>
      <c r="P2690" s="3">
        <f t="shared" ref="P2690:P2753" si="212">ROUND(J2690*L2690,2)</f>
        <v>2785.38</v>
      </c>
      <c r="Q2690" s="3">
        <f t="shared" ref="Q2690:Q2753" si="213">ROUND(O2690-P2690,2)</f>
        <v>1567.32</v>
      </c>
      <c r="R2690" s="4">
        <f t="shared" ref="R2690:R2753" si="214">IF(O2690=0,0,ROUND(Q2690/O2690,4))</f>
        <v>0.36009999999999998</v>
      </c>
      <c r="S2690" s="2">
        <v>3</v>
      </c>
      <c r="T2690" t="s">
        <v>46</v>
      </c>
      <c r="U2690">
        <v>4</v>
      </c>
    </row>
    <row r="2691" spans="1:22" x14ac:dyDescent="0.25">
      <c r="A2691" s="1">
        <v>46156</v>
      </c>
      <c r="B2691" t="s">
        <v>2878</v>
      </c>
      <c r="C2691" t="s">
        <v>214</v>
      </c>
      <c r="D2691" t="s">
        <v>121</v>
      </c>
      <c r="E2691" t="s">
        <v>72</v>
      </c>
      <c r="F2691" t="s">
        <v>64</v>
      </c>
      <c r="G2691" t="s">
        <v>27</v>
      </c>
      <c r="H2691" t="s">
        <v>28</v>
      </c>
      <c r="I2691" t="s">
        <v>53</v>
      </c>
      <c r="J2691" s="2">
        <v>5</v>
      </c>
      <c r="K2691" s="3">
        <v>815.46</v>
      </c>
      <c r="L2691" s="3">
        <v>453.67</v>
      </c>
      <c r="M2691" s="4">
        <v>1.9900000000000001E-2</v>
      </c>
      <c r="N2691" s="3">
        <f t="shared" si="210"/>
        <v>4077.3</v>
      </c>
      <c r="O2691" s="3">
        <f t="shared" si="211"/>
        <v>3996.16</v>
      </c>
      <c r="P2691" s="3">
        <f t="shared" si="212"/>
        <v>2268.35</v>
      </c>
      <c r="Q2691" s="3">
        <f t="shared" si="213"/>
        <v>1727.81</v>
      </c>
      <c r="R2691" s="4">
        <f t="shared" si="214"/>
        <v>0.43240000000000001</v>
      </c>
      <c r="S2691" s="2">
        <v>8</v>
      </c>
      <c r="T2691" t="s">
        <v>46</v>
      </c>
      <c r="U2691">
        <v>3</v>
      </c>
    </row>
    <row r="2692" spans="1:22" x14ac:dyDescent="0.25">
      <c r="A2692" s="1">
        <v>46193</v>
      </c>
      <c r="B2692" t="s">
        <v>2879</v>
      </c>
      <c r="C2692" t="s">
        <v>527</v>
      </c>
      <c r="D2692" t="s">
        <v>126</v>
      </c>
      <c r="E2692" t="s">
        <v>57</v>
      </c>
      <c r="F2692" t="s">
        <v>36</v>
      </c>
      <c r="G2692" t="s">
        <v>51</v>
      </c>
      <c r="H2692" t="s">
        <v>116</v>
      </c>
      <c r="I2692" t="s">
        <v>92</v>
      </c>
      <c r="J2692" s="2">
        <v>3</v>
      </c>
      <c r="K2692" s="3">
        <v>2821.55</v>
      </c>
      <c r="L2692" s="3">
        <v>1814.02</v>
      </c>
      <c r="M2692" s="4">
        <v>0.115</v>
      </c>
      <c r="N2692" s="3">
        <f t="shared" si="210"/>
        <v>8464.65</v>
      </c>
      <c r="O2692" s="3">
        <f t="shared" si="211"/>
        <v>7491.22</v>
      </c>
      <c r="P2692" s="3">
        <f t="shared" si="212"/>
        <v>5442.06</v>
      </c>
      <c r="Q2692" s="3">
        <f t="shared" si="213"/>
        <v>2049.16</v>
      </c>
      <c r="R2692" s="4">
        <f t="shared" si="214"/>
        <v>0.27350000000000002</v>
      </c>
      <c r="S2692" s="2">
        <v>7</v>
      </c>
      <c r="T2692" t="s">
        <v>46</v>
      </c>
      <c r="U2692">
        <v>3</v>
      </c>
    </row>
    <row r="2693" spans="1:22" x14ac:dyDescent="0.25">
      <c r="A2693" s="1">
        <v>46205</v>
      </c>
      <c r="B2693" t="s">
        <v>2880</v>
      </c>
      <c r="C2693" t="s">
        <v>172</v>
      </c>
      <c r="D2693" t="s">
        <v>63</v>
      </c>
      <c r="E2693" t="s">
        <v>35</v>
      </c>
      <c r="F2693" t="s">
        <v>64</v>
      </c>
      <c r="G2693" t="s">
        <v>37</v>
      </c>
      <c r="H2693" t="s">
        <v>178</v>
      </c>
      <c r="I2693" t="s">
        <v>92</v>
      </c>
      <c r="J2693" s="2">
        <v>5</v>
      </c>
      <c r="K2693" s="3">
        <v>496.66</v>
      </c>
      <c r="L2693" s="3">
        <v>246.89</v>
      </c>
      <c r="M2693" s="4">
        <v>4.1200000000000001E-2</v>
      </c>
      <c r="N2693" s="3">
        <f t="shared" si="210"/>
        <v>2483.3000000000002</v>
      </c>
      <c r="O2693" s="3">
        <f t="shared" si="211"/>
        <v>2380.9899999999998</v>
      </c>
      <c r="P2693" s="3">
        <f t="shared" si="212"/>
        <v>1234.45</v>
      </c>
      <c r="Q2693" s="3">
        <f t="shared" si="213"/>
        <v>1146.54</v>
      </c>
      <c r="R2693" s="4">
        <f t="shared" si="214"/>
        <v>0.48149999999999998</v>
      </c>
      <c r="S2693" s="2">
        <v>8</v>
      </c>
      <c r="T2693" t="s">
        <v>46</v>
      </c>
      <c r="U2693">
        <v>4</v>
      </c>
    </row>
    <row r="2694" spans="1:22" x14ac:dyDescent="0.25">
      <c r="A2694" s="1">
        <v>46036</v>
      </c>
      <c r="B2694" t="s">
        <v>2881</v>
      </c>
      <c r="C2694" t="s">
        <v>275</v>
      </c>
      <c r="D2694" t="s">
        <v>63</v>
      </c>
      <c r="E2694" t="s">
        <v>35</v>
      </c>
      <c r="F2694" t="s">
        <v>58</v>
      </c>
      <c r="G2694" t="s">
        <v>51</v>
      </c>
      <c r="H2694" t="s">
        <v>116</v>
      </c>
      <c r="I2694" t="s">
        <v>94</v>
      </c>
      <c r="J2694" s="2">
        <v>7</v>
      </c>
      <c r="K2694" s="3">
        <v>2900.12</v>
      </c>
      <c r="L2694" s="3">
        <v>1766.49</v>
      </c>
      <c r="M2694" s="4">
        <v>0.16120000000000001</v>
      </c>
      <c r="N2694" s="3">
        <f t="shared" si="210"/>
        <v>20300.84</v>
      </c>
      <c r="O2694" s="3">
        <f t="shared" si="211"/>
        <v>17028.34</v>
      </c>
      <c r="P2694" s="3">
        <f t="shared" si="212"/>
        <v>12365.43</v>
      </c>
      <c r="Q2694" s="3">
        <f t="shared" si="213"/>
        <v>4662.91</v>
      </c>
      <c r="R2694" s="4">
        <f t="shared" si="214"/>
        <v>0.27379999999999999</v>
      </c>
      <c r="S2694" s="2">
        <v>8</v>
      </c>
      <c r="T2694" t="s">
        <v>46</v>
      </c>
      <c r="U2694">
        <v>2</v>
      </c>
    </row>
    <row r="2695" spans="1:22" x14ac:dyDescent="0.25">
      <c r="A2695" s="1">
        <v>46057</v>
      </c>
      <c r="B2695" t="s">
        <v>2882</v>
      </c>
      <c r="C2695" t="s">
        <v>103</v>
      </c>
      <c r="D2695" t="s">
        <v>71</v>
      </c>
      <c r="E2695" t="s">
        <v>72</v>
      </c>
      <c r="F2695" t="s">
        <v>64</v>
      </c>
      <c r="G2695" t="s">
        <v>27</v>
      </c>
      <c r="H2695" t="s">
        <v>28</v>
      </c>
      <c r="I2695" t="s">
        <v>74</v>
      </c>
      <c r="J2695" s="2">
        <v>7</v>
      </c>
      <c r="K2695" s="3">
        <v>772.82</v>
      </c>
      <c r="L2695" s="3">
        <v>482.34</v>
      </c>
      <c r="M2695" s="4">
        <v>0</v>
      </c>
      <c r="N2695" s="3">
        <f t="shared" si="210"/>
        <v>5409.74</v>
      </c>
      <c r="O2695" s="3">
        <f t="shared" si="211"/>
        <v>5409.74</v>
      </c>
      <c r="P2695" s="3">
        <f t="shared" si="212"/>
        <v>3376.38</v>
      </c>
      <c r="Q2695" s="3">
        <f t="shared" si="213"/>
        <v>2033.36</v>
      </c>
      <c r="R2695" s="4">
        <f t="shared" si="214"/>
        <v>0.37590000000000001</v>
      </c>
      <c r="S2695" s="2">
        <v>14</v>
      </c>
      <c r="T2695" t="s">
        <v>30</v>
      </c>
      <c r="U2695">
        <v>4</v>
      </c>
    </row>
    <row r="2696" spans="1:22" x14ac:dyDescent="0.25">
      <c r="A2696" s="1">
        <v>46034</v>
      </c>
      <c r="B2696" t="s">
        <v>2883</v>
      </c>
      <c r="C2696" t="s">
        <v>514</v>
      </c>
      <c r="D2696" t="s">
        <v>101</v>
      </c>
      <c r="E2696" t="s">
        <v>35</v>
      </c>
      <c r="F2696" t="s">
        <v>36</v>
      </c>
      <c r="G2696" t="s">
        <v>51</v>
      </c>
      <c r="H2696" t="s">
        <v>59</v>
      </c>
      <c r="I2696" t="s">
        <v>77</v>
      </c>
      <c r="J2696" s="2">
        <v>2</v>
      </c>
      <c r="K2696" s="3">
        <v>2300.31</v>
      </c>
      <c r="L2696" s="3">
        <v>1400.6</v>
      </c>
      <c r="M2696" s="4">
        <v>6.7599999999999993E-2</v>
      </c>
      <c r="N2696" s="3">
        <f t="shared" si="210"/>
        <v>4600.62</v>
      </c>
      <c r="O2696" s="3">
        <f t="shared" si="211"/>
        <v>4289.62</v>
      </c>
      <c r="P2696" s="3">
        <f t="shared" si="212"/>
        <v>2801.2</v>
      </c>
      <c r="Q2696" s="3">
        <f t="shared" si="213"/>
        <v>1488.42</v>
      </c>
      <c r="R2696" s="4">
        <f t="shared" si="214"/>
        <v>0.34699999999999998</v>
      </c>
      <c r="S2696" s="2">
        <v>7</v>
      </c>
      <c r="T2696" t="s">
        <v>46</v>
      </c>
      <c r="U2696">
        <v>5</v>
      </c>
    </row>
    <row r="2697" spans="1:22" x14ac:dyDescent="0.25">
      <c r="A2697" s="1">
        <v>46147</v>
      </c>
      <c r="B2697" t="s">
        <v>2884</v>
      </c>
      <c r="C2697" t="s">
        <v>150</v>
      </c>
      <c r="D2697" t="s">
        <v>49</v>
      </c>
      <c r="E2697" t="s">
        <v>50</v>
      </c>
      <c r="F2697" t="s">
        <v>36</v>
      </c>
      <c r="G2697" t="s">
        <v>27</v>
      </c>
      <c r="H2697" t="s">
        <v>28</v>
      </c>
      <c r="I2697" t="s">
        <v>60</v>
      </c>
      <c r="J2697" s="2">
        <v>7</v>
      </c>
      <c r="K2697" s="3">
        <v>801.97</v>
      </c>
      <c r="L2697" s="3">
        <v>447</v>
      </c>
      <c r="M2697" s="4">
        <v>9.4399999999999998E-2</v>
      </c>
      <c r="N2697" s="3">
        <f t="shared" si="210"/>
        <v>5613.79</v>
      </c>
      <c r="O2697" s="3">
        <f t="shared" si="211"/>
        <v>5083.8500000000004</v>
      </c>
      <c r="P2697" s="3">
        <f t="shared" si="212"/>
        <v>3129</v>
      </c>
      <c r="Q2697" s="3">
        <f t="shared" si="213"/>
        <v>1954.85</v>
      </c>
      <c r="R2697" s="4">
        <f t="shared" si="214"/>
        <v>0.38450000000000001</v>
      </c>
      <c r="S2697" s="2">
        <v>10</v>
      </c>
      <c r="T2697" t="s">
        <v>46</v>
      </c>
      <c r="U2697">
        <v>4</v>
      </c>
    </row>
    <row r="2698" spans="1:22" x14ac:dyDescent="0.25">
      <c r="A2698" s="1">
        <v>46154</v>
      </c>
      <c r="B2698" t="s">
        <v>2885</v>
      </c>
      <c r="C2698" t="s">
        <v>284</v>
      </c>
      <c r="D2698" t="s">
        <v>126</v>
      </c>
      <c r="E2698" t="s">
        <v>57</v>
      </c>
      <c r="F2698" t="s">
        <v>58</v>
      </c>
      <c r="G2698" t="s">
        <v>27</v>
      </c>
      <c r="H2698" t="s">
        <v>86</v>
      </c>
      <c r="I2698" t="s">
        <v>29</v>
      </c>
      <c r="J2698" s="2">
        <v>2</v>
      </c>
      <c r="K2698" s="3">
        <v>1961.65</v>
      </c>
      <c r="L2698" s="3">
        <v>1219.51</v>
      </c>
      <c r="M2698" s="4">
        <v>0.14680000000000001</v>
      </c>
      <c r="N2698" s="3">
        <f t="shared" si="210"/>
        <v>3923.3</v>
      </c>
      <c r="O2698" s="3">
        <f t="shared" si="211"/>
        <v>3347.36</v>
      </c>
      <c r="P2698" s="3">
        <f t="shared" si="212"/>
        <v>2439.02</v>
      </c>
      <c r="Q2698" s="3">
        <f t="shared" si="213"/>
        <v>908.34</v>
      </c>
      <c r="R2698" s="4">
        <f t="shared" si="214"/>
        <v>0.27139999999999997</v>
      </c>
      <c r="S2698" s="2">
        <v>4</v>
      </c>
      <c r="T2698" t="s">
        <v>46</v>
      </c>
      <c r="U2698">
        <v>3</v>
      </c>
    </row>
    <row r="2699" spans="1:22" x14ac:dyDescent="0.25">
      <c r="A2699" s="1">
        <v>46203</v>
      </c>
      <c r="B2699" t="s">
        <v>2886</v>
      </c>
      <c r="C2699" t="s">
        <v>317</v>
      </c>
      <c r="D2699" t="s">
        <v>113</v>
      </c>
      <c r="E2699" t="s">
        <v>50</v>
      </c>
      <c r="F2699" t="s">
        <v>64</v>
      </c>
      <c r="G2699" t="s">
        <v>37</v>
      </c>
      <c r="H2699" t="s">
        <v>104</v>
      </c>
      <c r="I2699" t="s">
        <v>87</v>
      </c>
      <c r="J2699" s="2">
        <v>4</v>
      </c>
      <c r="K2699" s="3">
        <v>302.44</v>
      </c>
      <c r="L2699" s="3">
        <v>139.94999999999999</v>
      </c>
      <c r="M2699" s="4">
        <v>0</v>
      </c>
      <c r="N2699" s="3">
        <f t="shared" si="210"/>
        <v>1209.76</v>
      </c>
      <c r="O2699" s="3">
        <f t="shared" si="211"/>
        <v>1209.76</v>
      </c>
      <c r="P2699" s="3">
        <f t="shared" si="212"/>
        <v>559.79999999999995</v>
      </c>
      <c r="Q2699" s="3">
        <f t="shared" si="213"/>
        <v>649.96</v>
      </c>
      <c r="R2699" s="4">
        <f t="shared" si="214"/>
        <v>0.5373</v>
      </c>
      <c r="S2699" s="2">
        <v>10</v>
      </c>
      <c r="T2699" t="s">
        <v>46</v>
      </c>
      <c r="U2699">
        <v>5</v>
      </c>
    </row>
    <row r="2700" spans="1:22" x14ac:dyDescent="0.25">
      <c r="A2700" s="1">
        <v>46063</v>
      </c>
      <c r="B2700" t="s">
        <v>2887</v>
      </c>
      <c r="C2700" t="s">
        <v>96</v>
      </c>
      <c r="D2700" t="s">
        <v>126</v>
      </c>
      <c r="E2700" t="s">
        <v>57</v>
      </c>
      <c r="F2700" t="s">
        <v>64</v>
      </c>
      <c r="G2700" t="s">
        <v>27</v>
      </c>
      <c r="H2700" t="s">
        <v>86</v>
      </c>
      <c r="I2700" t="s">
        <v>74</v>
      </c>
      <c r="J2700" s="2">
        <v>3</v>
      </c>
      <c r="K2700" s="3">
        <v>1992.8</v>
      </c>
      <c r="L2700" s="3">
        <v>1175.32</v>
      </c>
      <c r="M2700" s="4">
        <v>0.1241</v>
      </c>
      <c r="N2700" s="3">
        <f t="shared" si="210"/>
        <v>5978.4</v>
      </c>
      <c r="O2700" s="3">
        <f t="shared" si="211"/>
        <v>5236.4799999999996</v>
      </c>
      <c r="P2700" s="3">
        <f t="shared" si="212"/>
        <v>3525.96</v>
      </c>
      <c r="Q2700" s="3">
        <f t="shared" si="213"/>
        <v>1710.52</v>
      </c>
      <c r="R2700" s="4">
        <f t="shared" si="214"/>
        <v>0.32669999999999999</v>
      </c>
      <c r="S2700" s="2">
        <v>3</v>
      </c>
      <c r="T2700" t="s">
        <v>46</v>
      </c>
      <c r="U2700">
        <v>2</v>
      </c>
    </row>
    <row r="2701" spans="1:22" x14ac:dyDescent="0.25">
      <c r="A2701" s="1">
        <v>46180</v>
      </c>
      <c r="B2701" t="s">
        <v>2888</v>
      </c>
      <c r="C2701" t="s">
        <v>110</v>
      </c>
      <c r="D2701" t="s">
        <v>121</v>
      </c>
      <c r="E2701" t="s">
        <v>72</v>
      </c>
      <c r="F2701" t="s">
        <v>58</v>
      </c>
      <c r="G2701" t="s">
        <v>51</v>
      </c>
      <c r="H2701" t="s">
        <v>59</v>
      </c>
      <c r="I2701" t="s">
        <v>65</v>
      </c>
      <c r="J2701" s="2">
        <v>4</v>
      </c>
      <c r="K2701" s="3">
        <v>2285.41</v>
      </c>
      <c r="L2701" s="3">
        <v>1527.94</v>
      </c>
      <c r="M2701" s="4">
        <v>0.1132</v>
      </c>
      <c r="N2701" s="3">
        <f t="shared" si="210"/>
        <v>9141.64</v>
      </c>
      <c r="O2701" s="3">
        <f t="shared" si="211"/>
        <v>8106.81</v>
      </c>
      <c r="P2701" s="3">
        <f t="shared" si="212"/>
        <v>6111.76</v>
      </c>
      <c r="Q2701" s="3">
        <f t="shared" si="213"/>
        <v>1995.05</v>
      </c>
      <c r="R2701" s="4">
        <f t="shared" si="214"/>
        <v>0.24610000000000001</v>
      </c>
      <c r="S2701" s="2">
        <v>10</v>
      </c>
      <c r="T2701" t="s">
        <v>46</v>
      </c>
      <c r="U2701">
        <v>3</v>
      </c>
    </row>
    <row r="2702" spans="1:22" x14ac:dyDescent="0.25">
      <c r="A2702" s="1">
        <v>46074</v>
      </c>
      <c r="B2702" t="s">
        <v>2889</v>
      </c>
      <c r="C2702" t="s">
        <v>206</v>
      </c>
      <c r="D2702" t="s">
        <v>101</v>
      </c>
      <c r="E2702" t="s">
        <v>35</v>
      </c>
      <c r="F2702" t="s">
        <v>36</v>
      </c>
      <c r="G2702" t="s">
        <v>27</v>
      </c>
      <c r="H2702" t="s">
        <v>86</v>
      </c>
      <c r="I2702" t="s">
        <v>74</v>
      </c>
      <c r="J2702" s="2">
        <v>1</v>
      </c>
      <c r="K2702" s="3">
        <v>1804.89</v>
      </c>
      <c r="L2702" s="3">
        <v>1222.82</v>
      </c>
      <c r="M2702" s="4">
        <v>7.3899999999999993E-2</v>
      </c>
      <c r="N2702" s="3">
        <f t="shared" si="210"/>
        <v>1804.89</v>
      </c>
      <c r="O2702" s="3">
        <f t="shared" si="211"/>
        <v>1671.51</v>
      </c>
      <c r="P2702" s="3">
        <f t="shared" si="212"/>
        <v>1222.82</v>
      </c>
      <c r="Q2702" s="3">
        <f t="shared" si="213"/>
        <v>448.69</v>
      </c>
      <c r="R2702" s="4">
        <f t="shared" si="214"/>
        <v>0.26840000000000003</v>
      </c>
      <c r="S2702" s="2">
        <v>8</v>
      </c>
      <c r="T2702" t="s">
        <v>46</v>
      </c>
      <c r="U2702">
        <v>5</v>
      </c>
    </row>
    <row r="2703" spans="1:22" x14ac:dyDescent="0.25">
      <c r="A2703" s="1">
        <v>46180</v>
      </c>
      <c r="B2703" t="s">
        <v>2890</v>
      </c>
      <c r="C2703" t="s">
        <v>260</v>
      </c>
      <c r="D2703" t="s">
        <v>130</v>
      </c>
      <c r="E2703" t="s">
        <v>72</v>
      </c>
      <c r="F2703" t="s">
        <v>58</v>
      </c>
      <c r="G2703" t="s">
        <v>51</v>
      </c>
      <c r="H2703" t="s">
        <v>52</v>
      </c>
      <c r="I2703" t="s">
        <v>60</v>
      </c>
      <c r="J2703" s="2">
        <v>3</v>
      </c>
      <c r="K2703" s="3">
        <v>257.85000000000002</v>
      </c>
      <c r="L2703" s="3">
        <v>117.46</v>
      </c>
      <c r="M2703" s="4">
        <v>0.1075</v>
      </c>
      <c r="N2703" s="3">
        <f t="shared" si="210"/>
        <v>773.55</v>
      </c>
      <c r="O2703" s="3">
        <f t="shared" si="211"/>
        <v>690.39</v>
      </c>
      <c r="P2703" s="3">
        <f t="shared" si="212"/>
        <v>352.38</v>
      </c>
      <c r="Q2703" s="3">
        <f t="shared" si="213"/>
        <v>338.01</v>
      </c>
      <c r="R2703" s="4">
        <f t="shared" si="214"/>
        <v>0.48959999999999998</v>
      </c>
      <c r="S2703" s="2">
        <v>19</v>
      </c>
      <c r="T2703" t="s">
        <v>30</v>
      </c>
      <c r="U2703">
        <v>2</v>
      </c>
      <c r="V2703" t="s">
        <v>208</v>
      </c>
    </row>
    <row r="2704" spans="1:22" x14ac:dyDescent="0.25">
      <c r="A2704" s="1">
        <v>46190</v>
      </c>
      <c r="B2704" t="s">
        <v>2891</v>
      </c>
      <c r="C2704" t="s">
        <v>401</v>
      </c>
      <c r="D2704" t="s">
        <v>121</v>
      </c>
      <c r="E2704" t="s">
        <v>72</v>
      </c>
      <c r="F2704" t="s">
        <v>36</v>
      </c>
      <c r="G2704" t="s">
        <v>44</v>
      </c>
      <c r="H2704" t="s">
        <v>124</v>
      </c>
      <c r="I2704" t="s">
        <v>53</v>
      </c>
      <c r="J2704" s="2">
        <v>4</v>
      </c>
      <c r="K2704" s="3">
        <v>6085.8</v>
      </c>
      <c r="L2704" s="3">
        <v>4436.5</v>
      </c>
      <c r="M2704" s="4">
        <v>2.3E-3</v>
      </c>
      <c r="N2704" s="3">
        <f t="shared" si="210"/>
        <v>24343.200000000001</v>
      </c>
      <c r="O2704" s="3">
        <f t="shared" si="211"/>
        <v>24287.21</v>
      </c>
      <c r="P2704" s="3">
        <f t="shared" si="212"/>
        <v>17746</v>
      </c>
      <c r="Q2704" s="3">
        <f t="shared" si="213"/>
        <v>6541.21</v>
      </c>
      <c r="R2704" s="4">
        <f t="shared" si="214"/>
        <v>0.26929999999999998</v>
      </c>
      <c r="S2704" s="2">
        <v>7</v>
      </c>
      <c r="T2704" t="s">
        <v>46</v>
      </c>
      <c r="U2704">
        <v>4</v>
      </c>
    </row>
    <row r="2705" spans="1:21" x14ac:dyDescent="0.25">
      <c r="A2705" s="1">
        <v>46172</v>
      </c>
      <c r="B2705" t="s">
        <v>2892</v>
      </c>
      <c r="C2705" t="s">
        <v>392</v>
      </c>
      <c r="D2705" t="s">
        <v>49</v>
      </c>
      <c r="E2705" t="s">
        <v>50</v>
      </c>
      <c r="F2705" t="s">
        <v>36</v>
      </c>
      <c r="G2705" t="s">
        <v>27</v>
      </c>
      <c r="H2705" t="s">
        <v>86</v>
      </c>
      <c r="I2705" t="s">
        <v>53</v>
      </c>
      <c r="J2705" s="2">
        <v>8</v>
      </c>
      <c r="K2705" s="3">
        <v>1819.31</v>
      </c>
      <c r="L2705" s="3">
        <v>1202.8499999999999</v>
      </c>
      <c r="M2705" s="4">
        <v>7.9000000000000008E-3</v>
      </c>
      <c r="N2705" s="3">
        <f t="shared" si="210"/>
        <v>14554.48</v>
      </c>
      <c r="O2705" s="3">
        <f t="shared" si="211"/>
        <v>14439.5</v>
      </c>
      <c r="P2705" s="3">
        <f t="shared" si="212"/>
        <v>9622.7999999999993</v>
      </c>
      <c r="Q2705" s="3">
        <f t="shared" si="213"/>
        <v>4816.7</v>
      </c>
      <c r="R2705" s="4">
        <f t="shared" si="214"/>
        <v>0.33360000000000001</v>
      </c>
      <c r="S2705" s="2">
        <v>10</v>
      </c>
      <c r="T2705" t="s">
        <v>46</v>
      </c>
      <c r="U2705">
        <v>4</v>
      </c>
    </row>
    <row r="2706" spans="1:21" x14ac:dyDescent="0.25">
      <c r="A2706" s="1">
        <v>46046</v>
      </c>
      <c r="B2706" t="s">
        <v>2893</v>
      </c>
      <c r="C2706" t="s">
        <v>418</v>
      </c>
      <c r="D2706" t="s">
        <v>139</v>
      </c>
      <c r="E2706" t="s">
        <v>72</v>
      </c>
      <c r="F2706" t="s">
        <v>64</v>
      </c>
      <c r="G2706" t="s">
        <v>51</v>
      </c>
      <c r="H2706" t="s">
        <v>59</v>
      </c>
      <c r="I2706" t="s">
        <v>77</v>
      </c>
      <c r="J2706" s="2">
        <v>4</v>
      </c>
      <c r="K2706" s="3">
        <v>2162.59</v>
      </c>
      <c r="L2706" s="3">
        <v>1522.75</v>
      </c>
      <c r="M2706" s="4">
        <v>0</v>
      </c>
      <c r="N2706" s="3">
        <f t="shared" si="210"/>
        <v>8650.36</v>
      </c>
      <c r="O2706" s="3">
        <f t="shared" si="211"/>
        <v>8650.36</v>
      </c>
      <c r="P2706" s="3">
        <f t="shared" si="212"/>
        <v>6091</v>
      </c>
      <c r="Q2706" s="3">
        <f t="shared" si="213"/>
        <v>2559.36</v>
      </c>
      <c r="R2706" s="4">
        <f t="shared" si="214"/>
        <v>0.2959</v>
      </c>
      <c r="S2706" s="2">
        <v>6</v>
      </c>
      <c r="T2706" t="s">
        <v>46</v>
      </c>
      <c r="U2706">
        <v>5</v>
      </c>
    </row>
    <row r="2707" spans="1:21" x14ac:dyDescent="0.25">
      <c r="A2707" s="1">
        <v>46157</v>
      </c>
      <c r="B2707" t="s">
        <v>2894</v>
      </c>
      <c r="C2707" t="s">
        <v>79</v>
      </c>
      <c r="D2707" t="s">
        <v>97</v>
      </c>
      <c r="E2707" t="s">
        <v>57</v>
      </c>
      <c r="F2707" t="s">
        <v>36</v>
      </c>
      <c r="G2707" t="s">
        <v>51</v>
      </c>
      <c r="H2707" t="s">
        <v>52</v>
      </c>
      <c r="I2707" t="s">
        <v>60</v>
      </c>
      <c r="J2707" s="2">
        <v>1</v>
      </c>
      <c r="K2707" s="3">
        <v>264.85000000000002</v>
      </c>
      <c r="L2707" s="3">
        <v>115.59</v>
      </c>
      <c r="M2707" s="4">
        <v>6.25E-2</v>
      </c>
      <c r="N2707" s="3">
        <f t="shared" si="210"/>
        <v>264.85000000000002</v>
      </c>
      <c r="O2707" s="3">
        <f t="shared" si="211"/>
        <v>248.3</v>
      </c>
      <c r="P2707" s="3">
        <f t="shared" si="212"/>
        <v>115.59</v>
      </c>
      <c r="Q2707" s="3">
        <f t="shared" si="213"/>
        <v>132.71</v>
      </c>
      <c r="R2707" s="4">
        <f t="shared" si="214"/>
        <v>0.53449999999999998</v>
      </c>
      <c r="S2707" s="2">
        <v>9</v>
      </c>
      <c r="T2707" t="s">
        <v>46</v>
      </c>
      <c r="U2707">
        <v>5</v>
      </c>
    </row>
    <row r="2708" spans="1:21" x14ac:dyDescent="0.25">
      <c r="A2708" s="1">
        <v>46188</v>
      </c>
      <c r="B2708" t="s">
        <v>2895</v>
      </c>
      <c r="C2708" t="s">
        <v>42</v>
      </c>
      <c r="D2708" t="s">
        <v>71</v>
      </c>
      <c r="E2708" t="s">
        <v>72</v>
      </c>
      <c r="F2708" t="s">
        <v>64</v>
      </c>
      <c r="G2708" t="s">
        <v>37</v>
      </c>
      <c r="H2708" t="s">
        <v>38</v>
      </c>
      <c r="I2708" t="s">
        <v>77</v>
      </c>
      <c r="J2708" s="2">
        <v>2</v>
      </c>
      <c r="K2708" s="3">
        <v>450.77</v>
      </c>
      <c r="L2708" s="3">
        <v>190.18</v>
      </c>
      <c r="M2708" s="4">
        <v>0</v>
      </c>
      <c r="N2708" s="3">
        <f t="shared" si="210"/>
        <v>901.54</v>
      </c>
      <c r="O2708" s="3">
        <f t="shared" si="211"/>
        <v>901.54</v>
      </c>
      <c r="P2708" s="3">
        <f t="shared" si="212"/>
        <v>380.36</v>
      </c>
      <c r="Q2708" s="3">
        <f t="shared" si="213"/>
        <v>521.17999999999995</v>
      </c>
      <c r="R2708" s="4">
        <f t="shared" si="214"/>
        <v>0.57809999999999995</v>
      </c>
      <c r="S2708" s="2">
        <v>9</v>
      </c>
      <c r="T2708" t="s">
        <v>46</v>
      </c>
      <c r="U2708">
        <v>3</v>
      </c>
    </row>
    <row r="2709" spans="1:21" x14ac:dyDescent="0.25">
      <c r="A2709" s="1">
        <v>46044</v>
      </c>
      <c r="B2709" t="s">
        <v>2896</v>
      </c>
      <c r="C2709" t="s">
        <v>418</v>
      </c>
      <c r="D2709" t="s">
        <v>56</v>
      </c>
      <c r="E2709" t="s">
        <v>57</v>
      </c>
      <c r="F2709" t="s">
        <v>58</v>
      </c>
      <c r="G2709" t="s">
        <v>27</v>
      </c>
      <c r="H2709" t="s">
        <v>28</v>
      </c>
      <c r="I2709" t="s">
        <v>87</v>
      </c>
      <c r="J2709" s="2">
        <v>5</v>
      </c>
      <c r="K2709" s="3">
        <v>796.02</v>
      </c>
      <c r="L2709" s="3">
        <v>466.99</v>
      </c>
      <c r="M2709" s="4">
        <v>3.5000000000000003E-2</v>
      </c>
      <c r="N2709" s="3">
        <f t="shared" si="210"/>
        <v>3980.1</v>
      </c>
      <c r="O2709" s="3">
        <f t="shared" si="211"/>
        <v>3840.8</v>
      </c>
      <c r="P2709" s="3">
        <f t="shared" si="212"/>
        <v>2334.9499999999998</v>
      </c>
      <c r="Q2709" s="3">
        <f t="shared" si="213"/>
        <v>1505.85</v>
      </c>
      <c r="R2709" s="4">
        <f t="shared" si="214"/>
        <v>0.3921</v>
      </c>
      <c r="S2709" s="2">
        <v>4</v>
      </c>
      <c r="T2709" t="s">
        <v>46</v>
      </c>
      <c r="U2709">
        <v>4</v>
      </c>
    </row>
    <row r="2710" spans="1:21" x14ac:dyDescent="0.25">
      <c r="A2710" s="1">
        <v>46123</v>
      </c>
      <c r="B2710" t="s">
        <v>2897</v>
      </c>
      <c r="C2710" t="s">
        <v>384</v>
      </c>
      <c r="D2710" t="s">
        <v>24</v>
      </c>
      <c r="E2710" t="s">
        <v>25</v>
      </c>
      <c r="F2710" t="s">
        <v>64</v>
      </c>
      <c r="G2710" t="s">
        <v>44</v>
      </c>
      <c r="H2710" t="s">
        <v>124</v>
      </c>
      <c r="I2710" t="s">
        <v>53</v>
      </c>
      <c r="J2710" s="2">
        <v>5</v>
      </c>
      <c r="K2710" s="3">
        <v>5727.65</v>
      </c>
      <c r="L2710" s="3">
        <v>4507.34</v>
      </c>
      <c r="M2710" s="4">
        <v>0</v>
      </c>
      <c r="N2710" s="3">
        <f t="shared" si="210"/>
        <v>28638.25</v>
      </c>
      <c r="O2710" s="3">
        <f t="shared" si="211"/>
        <v>28638.25</v>
      </c>
      <c r="P2710" s="3">
        <f t="shared" si="212"/>
        <v>22536.7</v>
      </c>
      <c r="Q2710" s="3">
        <f t="shared" si="213"/>
        <v>6101.55</v>
      </c>
      <c r="R2710" s="4">
        <f t="shared" si="214"/>
        <v>0.21310000000000001</v>
      </c>
      <c r="S2710" s="2">
        <v>2</v>
      </c>
      <c r="T2710" t="s">
        <v>46</v>
      </c>
      <c r="U2710">
        <v>3</v>
      </c>
    </row>
    <row r="2711" spans="1:21" x14ac:dyDescent="0.25">
      <c r="A2711" s="1">
        <v>46229</v>
      </c>
      <c r="B2711" t="s">
        <v>2898</v>
      </c>
      <c r="C2711" t="s">
        <v>42</v>
      </c>
      <c r="D2711" t="s">
        <v>49</v>
      </c>
      <c r="E2711" t="s">
        <v>50</v>
      </c>
      <c r="F2711" t="s">
        <v>58</v>
      </c>
      <c r="G2711" t="s">
        <v>44</v>
      </c>
      <c r="H2711" t="s">
        <v>45</v>
      </c>
      <c r="I2711" t="s">
        <v>39</v>
      </c>
      <c r="J2711" s="2">
        <v>5</v>
      </c>
      <c r="K2711" s="3">
        <v>380.74</v>
      </c>
      <c r="L2711" s="3">
        <v>220.3</v>
      </c>
      <c r="M2711" s="4">
        <v>4.4900000000000002E-2</v>
      </c>
      <c r="N2711" s="3">
        <f t="shared" si="210"/>
        <v>1903.7</v>
      </c>
      <c r="O2711" s="3">
        <f t="shared" si="211"/>
        <v>1818.22</v>
      </c>
      <c r="P2711" s="3">
        <f t="shared" si="212"/>
        <v>1101.5</v>
      </c>
      <c r="Q2711" s="3">
        <f t="shared" si="213"/>
        <v>716.72</v>
      </c>
      <c r="R2711" s="4">
        <f t="shared" si="214"/>
        <v>0.39419999999999999</v>
      </c>
      <c r="S2711" s="2">
        <v>11</v>
      </c>
      <c r="T2711" t="s">
        <v>30</v>
      </c>
      <c r="U2711">
        <v>5</v>
      </c>
    </row>
    <row r="2712" spans="1:21" x14ac:dyDescent="0.25">
      <c r="A2712" s="1">
        <v>46123</v>
      </c>
      <c r="B2712" t="s">
        <v>2899</v>
      </c>
      <c r="C2712" t="s">
        <v>321</v>
      </c>
      <c r="D2712" t="s">
        <v>49</v>
      </c>
      <c r="E2712" t="s">
        <v>50</v>
      </c>
      <c r="F2712" t="s">
        <v>26</v>
      </c>
      <c r="G2712" t="s">
        <v>37</v>
      </c>
      <c r="H2712" t="s">
        <v>104</v>
      </c>
      <c r="I2712" t="s">
        <v>92</v>
      </c>
      <c r="J2712" s="2">
        <v>2</v>
      </c>
      <c r="K2712" s="3">
        <v>301.5</v>
      </c>
      <c r="L2712" s="3">
        <v>139.47999999999999</v>
      </c>
      <c r="M2712" s="4">
        <v>9.5500000000000002E-2</v>
      </c>
      <c r="N2712" s="3">
        <f t="shared" si="210"/>
        <v>603</v>
      </c>
      <c r="O2712" s="3">
        <f t="shared" si="211"/>
        <v>545.41</v>
      </c>
      <c r="P2712" s="3">
        <f t="shared" si="212"/>
        <v>278.95999999999998</v>
      </c>
      <c r="Q2712" s="3">
        <f t="shared" si="213"/>
        <v>266.45</v>
      </c>
      <c r="R2712" s="4">
        <f t="shared" si="214"/>
        <v>0.48849999999999999</v>
      </c>
      <c r="S2712" s="2">
        <v>7</v>
      </c>
      <c r="T2712" t="s">
        <v>46</v>
      </c>
      <c r="U2712">
        <v>3</v>
      </c>
    </row>
    <row r="2713" spans="1:21" x14ac:dyDescent="0.25">
      <c r="A2713" s="1">
        <v>46059</v>
      </c>
      <c r="B2713" t="s">
        <v>2900</v>
      </c>
      <c r="C2713" t="s">
        <v>103</v>
      </c>
      <c r="D2713" t="s">
        <v>56</v>
      </c>
      <c r="E2713" t="s">
        <v>57</v>
      </c>
      <c r="F2713" t="s">
        <v>64</v>
      </c>
      <c r="G2713" t="s">
        <v>44</v>
      </c>
      <c r="H2713" t="s">
        <v>73</v>
      </c>
      <c r="I2713" t="s">
        <v>39</v>
      </c>
      <c r="J2713" s="2">
        <v>6</v>
      </c>
      <c r="K2713" s="3">
        <v>1710.69</v>
      </c>
      <c r="L2713" s="3">
        <v>1065.02</v>
      </c>
      <c r="M2713" s="4">
        <v>0.11169999999999999</v>
      </c>
      <c r="N2713" s="3">
        <f t="shared" si="210"/>
        <v>10264.14</v>
      </c>
      <c r="O2713" s="3">
        <f t="shared" si="211"/>
        <v>9117.64</v>
      </c>
      <c r="P2713" s="3">
        <f t="shared" si="212"/>
        <v>6390.12</v>
      </c>
      <c r="Q2713" s="3">
        <f t="shared" si="213"/>
        <v>2727.52</v>
      </c>
      <c r="R2713" s="4">
        <f t="shared" si="214"/>
        <v>0.29909999999999998</v>
      </c>
      <c r="S2713" s="2">
        <v>13</v>
      </c>
      <c r="T2713" t="s">
        <v>30</v>
      </c>
      <c r="U2713">
        <v>2</v>
      </c>
    </row>
    <row r="2714" spans="1:21" x14ac:dyDescent="0.25">
      <c r="A2714" s="1">
        <v>46081</v>
      </c>
      <c r="B2714" t="s">
        <v>2901</v>
      </c>
      <c r="C2714" t="s">
        <v>401</v>
      </c>
      <c r="D2714" t="s">
        <v>139</v>
      </c>
      <c r="E2714" t="s">
        <v>72</v>
      </c>
      <c r="F2714" t="s">
        <v>36</v>
      </c>
      <c r="G2714" t="s">
        <v>27</v>
      </c>
      <c r="H2714" t="s">
        <v>28</v>
      </c>
      <c r="I2714" t="s">
        <v>87</v>
      </c>
      <c r="J2714" s="2">
        <v>4</v>
      </c>
      <c r="K2714" s="3">
        <v>810.26</v>
      </c>
      <c r="L2714" s="3">
        <v>463.94</v>
      </c>
      <c r="M2714" s="4">
        <v>0</v>
      </c>
      <c r="N2714" s="3">
        <f t="shared" si="210"/>
        <v>3241.04</v>
      </c>
      <c r="O2714" s="3">
        <f t="shared" si="211"/>
        <v>3241.04</v>
      </c>
      <c r="P2714" s="3">
        <f t="shared" si="212"/>
        <v>1855.76</v>
      </c>
      <c r="Q2714" s="3">
        <f t="shared" si="213"/>
        <v>1385.28</v>
      </c>
      <c r="R2714" s="4">
        <f t="shared" si="214"/>
        <v>0.4274</v>
      </c>
      <c r="S2714" s="2">
        <v>2</v>
      </c>
      <c r="T2714" t="s">
        <v>46</v>
      </c>
      <c r="U2714">
        <v>3</v>
      </c>
    </row>
    <row r="2715" spans="1:21" x14ac:dyDescent="0.25">
      <c r="A2715" s="1">
        <v>46098</v>
      </c>
      <c r="B2715" t="s">
        <v>2902</v>
      </c>
      <c r="C2715" t="s">
        <v>155</v>
      </c>
      <c r="D2715" t="s">
        <v>207</v>
      </c>
      <c r="E2715" t="s">
        <v>35</v>
      </c>
      <c r="F2715" t="s">
        <v>64</v>
      </c>
      <c r="G2715" t="s">
        <v>27</v>
      </c>
      <c r="H2715" t="s">
        <v>86</v>
      </c>
      <c r="I2715" t="s">
        <v>53</v>
      </c>
      <c r="J2715" s="2">
        <v>3</v>
      </c>
      <c r="K2715" s="3">
        <v>1876.99</v>
      </c>
      <c r="L2715" s="3">
        <v>1179.49</v>
      </c>
      <c r="M2715" s="4">
        <v>1.7100000000000001E-2</v>
      </c>
      <c r="N2715" s="3">
        <f t="shared" si="210"/>
        <v>5630.97</v>
      </c>
      <c r="O2715" s="3">
        <f t="shared" si="211"/>
        <v>5534.68</v>
      </c>
      <c r="P2715" s="3">
        <f t="shared" si="212"/>
        <v>3538.47</v>
      </c>
      <c r="Q2715" s="3">
        <f t="shared" si="213"/>
        <v>1996.21</v>
      </c>
      <c r="R2715" s="4">
        <f t="shared" si="214"/>
        <v>0.36070000000000002</v>
      </c>
      <c r="S2715" s="2">
        <v>14</v>
      </c>
      <c r="T2715" t="s">
        <v>30</v>
      </c>
      <c r="U2715">
        <v>4</v>
      </c>
    </row>
    <row r="2716" spans="1:21" x14ac:dyDescent="0.25">
      <c r="A2716" s="1">
        <v>46100</v>
      </c>
      <c r="B2716" t="s">
        <v>2903</v>
      </c>
      <c r="C2716" t="s">
        <v>106</v>
      </c>
      <c r="D2716" t="s">
        <v>126</v>
      </c>
      <c r="E2716" t="s">
        <v>57</v>
      </c>
      <c r="F2716" t="s">
        <v>64</v>
      </c>
      <c r="G2716" t="s">
        <v>27</v>
      </c>
      <c r="H2716" t="s">
        <v>68</v>
      </c>
      <c r="I2716" t="s">
        <v>29</v>
      </c>
      <c r="J2716" s="2">
        <v>2</v>
      </c>
      <c r="K2716" s="3">
        <v>1245.19</v>
      </c>
      <c r="L2716" s="3">
        <v>777.71</v>
      </c>
      <c r="M2716" s="4">
        <v>9.6199999999999994E-2</v>
      </c>
      <c r="N2716" s="3">
        <f t="shared" si="210"/>
        <v>2490.38</v>
      </c>
      <c r="O2716" s="3">
        <f t="shared" si="211"/>
        <v>2250.81</v>
      </c>
      <c r="P2716" s="3">
        <f t="shared" si="212"/>
        <v>1555.42</v>
      </c>
      <c r="Q2716" s="3">
        <f t="shared" si="213"/>
        <v>695.39</v>
      </c>
      <c r="R2716" s="4">
        <f t="shared" si="214"/>
        <v>0.309</v>
      </c>
      <c r="S2716" s="2">
        <v>2</v>
      </c>
      <c r="T2716" t="s">
        <v>46</v>
      </c>
      <c r="U2716">
        <v>5</v>
      </c>
    </row>
    <row r="2717" spans="1:21" x14ac:dyDescent="0.25">
      <c r="A2717" s="1">
        <v>46146</v>
      </c>
      <c r="B2717" t="s">
        <v>2904</v>
      </c>
      <c r="C2717" t="s">
        <v>260</v>
      </c>
      <c r="D2717" t="s">
        <v>97</v>
      </c>
      <c r="E2717" t="s">
        <v>57</v>
      </c>
      <c r="F2717" t="s">
        <v>58</v>
      </c>
      <c r="G2717" t="s">
        <v>37</v>
      </c>
      <c r="H2717" t="s">
        <v>178</v>
      </c>
      <c r="I2717" t="s">
        <v>53</v>
      </c>
      <c r="J2717" s="2">
        <v>7</v>
      </c>
      <c r="K2717" s="3">
        <v>530.66</v>
      </c>
      <c r="L2717" s="3">
        <v>238.78</v>
      </c>
      <c r="M2717" s="4">
        <v>6.4899999999999999E-2</v>
      </c>
      <c r="N2717" s="3">
        <f t="shared" si="210"/>
        <v>3714.62</v>
      </c>
      <c r="O2717" s="3">
        <f t="shared" si="211"/>
        <v>3473.54</v>
      </c>
      <c r="P2717" s="3">
        <f t="shared" si="212"/>
        <v>1671.46</v>
      </c>
      <c r="Q2717" s="3">
        <f t="shared" si="213"/>
        <v>1802.08</v>
      </c>
      <c r="R2717" s="4">
        <f t="shared" si="214"/>
        <v>0.51880000000000004</v>
      </c>
      <c r="S2717" s="2">
        <v>14</v>
      </c>
      <c r="T2717" t="s">
        <v>30</v>
      </c>
      <c r="U2717">
        <v>5</v>
      </c>
    </row>
    <row r="2718" spans="1:21" x14ac:dyDescent="0.25">
      <c r="A2718" s="1">
        <v>46229</v>
      </c>
      <c r="B2718" t="s">
        <v>2905</v>
      </c>
      <c r="C2718" t="s">
        <v>157</v>
      </c>
      <c r="D2718" t="s">
        <v>24</v>
      </c>
      <c r="E2718" t="s">
        <v>25</v>
      </c>
      <c r="F2718" t="s">
        <v>64</v>
      </c>
      <c r="G2718" t="s">
        <v>51</v>
      </c>
      <c r="H2718" t="s">
        <v>59</v>
      </c>
      <c r="I2718" t="s">
        <v>74</v>
      </c>
      <c r="J2718" s="2">
        <v>4</v>
      </c>
      <c r="K2718" s="3">
        <v>2209.39</v>
      </c>
      <c r="L2718" s="3">
        <v>1458.01</v>
      </c>
      <c r="M2718" s="4">
        <v>0</v>
      </c>
      <c r="N2718" s="3">
        <f t="shared" si="210"/>
        <v>8837.56</v>
      </c>
      <c r="O2718" s="3">
        <f t="shared" si="211"/>
        <v>8837.56</v>
      </c>
      <c r="P2718" s="3">
        <f t="shared" si="212"/>
        <v>5832.04</v>
      </c>
      <c r="Q2718" s="3">
        <f t="shared" si="213"/>
        <v>3005.52</v>
      </c>
      <c r="R2718" s="4">
        <f t="shared" si="214"/>
        <v>0.34010000000000001</v>
      </c>
      <c r="S2718" s="2">
        <v>4</v>
      </c>
      <c r="T2718" t="s">
        <v>46</v>
      </c>
      <c r="U2718">
        <v>4</v>
      </c>
    </row>
    <row r="2719" spans="1:21" x14ac:dyDescent="0.25">
      <c r="A2719" s="1">
        <v>46149</v>
      </c>
      <c r="B2719" t="s">
        <v>2906</v>
      </c>
      <c r="C2719" t="s">
        <v>606</v>
      </c>
      <c r="D2719" t="s">
        <v>130</v>
      </c>
      <c r="E2719" t="s">
        <v>72</v>
      </c>
      <c r="F2719" t="s">
        <v>58</v>
      </c>
      <c r="G2719" t="s">
        <v>51</v>
      </c>
      <c r="H2719" t="s">
        <v>116</v>
      </c>
      <c r="I2719" t="s">
        <v>29</v>
      </c>
      <c r="J2719" s="2">
        <v>7</v>
      </c>
      <c r="K2719" s="3">
        <v>2694.56</v>
      </c>
      <c r="L2719" s="3">
        <v>1961.73</v>
      </c>
      <c r="M2719" s="4">
        <v>9.9299999999999999E-2</v>
      </c>
      <c r="N2719" s="3">
        <f t="shared" si="210"/>
        <v>18861.919999999998</v>
      </c>
      <c r="O2719" s="3">
        <f t="shared" si="211"/>
        <v>16988.93</v>
      </c>
      <c r="P2719" s="3">
        <f t="shared" si="212"/>
        <v>13732.11</v>
      </c>
      <c r="Q2719" s="3">
        <f t="shared" si="213"/>
        <v>3256.82</v>
      </c>
      <c r="R2719" s="4">
        <f t="shared" si="214"/>
        <v>0.19170000000000001</v>
      </c>
      <c r="S2719" s="2">
        <v>8</v>
      </c>
      <c r="T2719" t="s">
        <v>46</v>
      </c>
      <c r="U2719">
        <v>5</v>
      </c>
    </row>
    <row r="2720" spans="1:21" x14ac:dyDescent="0.25">
      <c r="A2720" s="1">
        <v>46086</v>
      </c>
      <c r="B2720" t="s">
        <v>2907</v>
      </c>
      <c r="C2720" t="s">
        <v>329</v>
      </c>
      <c r="D2720" t="s">
        <v>139</v>
      </c>
      <c r="E2720" t="s">
        <v>72</v>
      </c>
      <c r="F2720" t="s">
        <v>26</v>
      </c>
      <c r="G2720" t="s">
        <v>51</v>
      </c>
      <c r="H2720" t="s">
        <v>116</v>
      </c>
      <c r="I2720" t="s">
        <v>92</v>
      </c>
      <c r="J2720" s="2">
        <v>3</v>
      </c>
      <c r="K2720" s="3">
        <v>2858.06</v>
      </c>
      <c r="L2720" s="3">
        <v>1890.38</v>
      </c>
      <c r="M2720" s="4">
        <v>9.9099999999999994E-2</v>
      </c>
      <c r="N2720" s="3">
        <f t="shared" si="210"/>
        <v>8574.18</v>
      </c>
      <c r="O2720" s="3">
        <f t="shared" si="211"/>
        <v>7724.48</v>
      </c>
      <c r="P2720" s="3">
        <f t="shared" si="212"/>
        <v>5671.14</v>
      </c>
      <c r="Q2720" s="3">
        <f t="shared" si="213"/>
        <v>2053.34</v>
      </c>
      <c r="R2720" s="4">
        <f t="shared" si="214"/>
        <v>0.26579999999999998</v>
      </c>
      <c r="S2720" s="2">
        <v>5</v>
      </c>
      <c r="T2720" t="s">
        <v>46</v>
      </c>
      <c r="U2720">
        <v>2</v>
      </c>
    </row>
    <row r="2721" spans="1:21" x14ac:dyDescent="0.25">
      <c r="A2721" s="1">
        <v>46143</v>
      </c>
      <c r="B2721" t="s">
        <v>2908</v>
      </c>
      <c r="C2721" t="s">
        <v>308</v>
      </c>
      <c r="D2721" t="s">
        <v>113</v>
      </c>
      <c r="E2721" t="s">
        <v>50</v>
      </c>
      <c r="F2721" t="s">
        <v>26</v>
      </c>
      <c r="G2721" t="s">
        <v>44</v>
      </c>
      <c r="H2721" t="s">
        <v>73</v>
      </c>
      <c r="I2721" t="s">
        <v>60</v>
      </c>
      <c r="J2721" s="2">
        <v>8</v>
      </c>
      <c r="K2721" s="3">
        <v>1622.48</v>
      </c>
      <c r="L2721" s="3">
        <v>1063.3900000000001</v>
      </c>
      <c r="M2721" s="4">
        <v>5.2600000000000001E-2</v>
      </c>
      <c r="N2721" s="3">
        <f t="shared" si="210"/>
        <v>12979.84</v>
      </c>
      <c r="O2721" s="3">
        <f t="shared" si="211"/>
        <v>12297.1</v>
      </c>
      <c r="P2721" s="3">
        <f t="shared" si="212"/>
        <v>8507.1200000000008</v>
      </c>
      <c r="Q2721" s="3">
        <f t="shared" si="213"/>
        <v>3789.98</v>
      </c>
      <c r="R2721" s="4">
        <f t="shared" si="214"/>
        <v>0.30819999999999997</v>
      </c>
      <c r="S2721" s="2">
        <v>12</v>
      </c>
      <c r="T2721" t="s">
        <v>30</v>
      </c>
      <c r="U2721">
        <v>2</v>
      </c>
    </row>
    <row r="2722" spans="1:21" x14ac:dyDescent="0.25">
      <c r="A2722" s="1">
        <v>46097</v>
      </c>
      <c r="B2722" t="s">
        <v>2909</v>
      </c>
      <c r="C2722" t="s">
        <v>120</v>
      </c>
      <c r="D2722" t="s">
        <v>207</v>
      </c>
      <c r="E2722" t="s">
        <v>35</v>
      </c>
      <c r="F2722" t="s">
        <v>36</v>
      </c>
      <c r="G2722" t="s">
        <v>51</v>
      </c>
      <c r="H2722" t="s">
        <v>52</v>
      </c>
      <c r="I2722" t="s">
        <v>53</v>
      </c>
      <c r="J2722" s="2">
        <v>6</v>
      </c>
      <c r="K2722" s="3">
        <v>245.8</v>
      </c>
      <c r="L2722" s="3">
        <v>114.36</v>
      </c>
      <c r="M2722" s="4">
        <v>9.5000000000000001E-2</v>
      </c>
      <c r="N2722" s="3">
        <f t="shared" si="210"/>
        <v>1474.8</v>
      </c>
      <c r="O2722" s="3">
        <f t="shared" si="211"/>
        <v>1334.69</v>
      </c>
      <c r="P2722" s="3">
        <f t="shared" si="212"/>
        <v>686.16</v>
      </c>
      <c r="Q2722" s="3">
        <f t="shared" si="213"/>
        <v>648.53</v>
      </c>
      <c r="R2722" s="4">
        <f t="shared" si="214"/>
        <v>0.4859</v>
      </c>
      <c r="S2722" s="2">
        <v>14</v>
      </c>
      <c r="T2722" t="s">
        <v>30</v>
      </c>
      <c r="U2722">
        <v>2</v>
      </c>
    </row>
    <row r="2723" spans="1:21" x14ac:dyDescent="0.25">
      <c r="A2723" s="1">
        <v>46224</v>
      </c>
      <c r="B2723" t="s">
        <v>2910</v>
      </c>
      <c r="C2723" t="s">
        <v>168</v>
      </c>
      <c r="D2723" t="s">
        <v>130</v>
      </c>
      <c r="E2723" t="s">
        <v>72</v>
      </c>
      <c r="F2723" t="s">
        <v>26</v>
      </c>
      <c r="G2723" t="s">
        <v>51</v>
      </c>
      <c r="H2723" t="s">
        <v>116</v>
      </c>
      <c r="I2723" t="s">
        <v>39</v>
      </c>
      <c r="J2723" s="2">
        <v>3</v>
      </c>
      <c r="K2723" s="3">
        <v>2887.96</v>
      </c>
      <c r="L2723" s="3">
        <v>1956.32</v>
      </c>
      <c r="M2723" s="4">
        <v>8.4599999999999995E-2</v>
      </c>
      <c r="N2723" s="3">
        <f t="shared" si="210"/>
        <v>8663.8799999999992</v>
      </c>
      <c r="O2723" s="3">
        <f t="shared" si="211"/>
        <v>7930.92</v>
      </c>
      <c r="P2723" s="3">
        <f t="shared" si="212"/>
        <v>5868.96</v>
      </c>
      <c r="Q2723" s="3">
        <f t="shared" si="213"/>
        <v>2061.96</v>
      </c>
      <c r="R2723" s="4">
        <f t="shared" si="214"/>
        <v>0.26</v>
      </c>
      <c r="S2723" s="2">
        <v>11</v>
      </c>
      <c r="T2723" t="s">
        <v>30</v>
      </c>
      <c r="U2723">
        <v>2</v>
      </c>
    </row>
    <row r="2724" spans="1:21" x14ac:dyDescent="0.25">
      <c r="A2724" s="1">
        <v>46092</v>
      </c>
      <c r="B2724" t="s">
        <v>2911</v>
      </c>
      <c r="C2724" t="s">
        <v>89</v>
      </c>
      <c r="D2724" t="s">
        <v>63</v>
      </c>
      <c r="E2724" t="s">
        <v>35</v>
      </c>
      <c r="F2724" t="s">
        <v>58</v>
      </c>
      <c r="G2724" t="s">
        <v>37</v>
      </c>
      <c r="H2724" t="s">
        <v>104</v>
      </c>
      <c r="I2724" t="s">
        <v>94</v>
      </c>
      <c r="J2724" s="2">
        <v>8</v>
      </c>
      <c r="K2724" s="3">
        <v>301.81</v>
      </c>
      <c r="L2724" s="3">
        <v>140.01</v>
      </c>
      <c r="M2724" s="4">
        <v>3.5000000000000003E-2</v>
      </c>
      <c r="N2724" s="3">
        <f t="shared" si="210"/>
        <v>2414.48</v>
      </c>
      <c r="O2724" s="3">
        <f t="shared" si="211"/>
        <v>2329.9699999999998</v>
      </c>
      <c r="P2724" s="3">
        <f t="shared" si="212"/>
        <v>1120.08</v>
      </c>
      <c r="Q2724" s="3">
        <f t="shared" si="213"/>
        <v>1209.8900000000001</v>
      </c>
      <c r="R2724" s="4">
        <f t="shared" si="214"/>
        <v>0.51929999999999998</v>
      </c>
      <c r="S2724" s="2">
        <v>5</v>
      </c>
      <c r="T2724" t="s">
        <v>46</v>
      </c>
      <c r="U2724">
        <v>5</v>
      </c>
    </row>
    <row r="2725" spans="1:21" x14ac:dyDescent="0.25">
      <c r="A2725" s="1">
        <v>46197</v>
      </c>
      <c r="B2725" t="s">
        <v>2912</v>
      </c>
      <c r="C2725" t="s">
        <v>384</v>
      </c>
      <c r="D2725" t="s">
        <v>24</v>
      </c>
      <c r="E2725" t="s">
        <v>25</v>
      </c>
      <c r="F2725" t="s">
        <v>36</v>
      </c>
      <c r="G2725" t="s">
        <v>51</v>
      </c>
      <c r="H2725" t="s">
        <v>59</v>
      </c>
      <c r="I2725" t="s">
        <v>29</v>
      </c>
      <c r="J2725" s="2">
        <v>6</v>
      </c>
      <c r="K2725" s="3">
        <v>2204.94</v>
      </c>
      <c r="L2725" s="3">
        <v>1454.69</v>
      </c>
      <c r="M2725" s="4">
        <v>5.8999999999999997E-2</v>
      </c>
      <c r="N2725" s="3">
        <f t="shared" si="210"/>
        <v>13229.64</v>
      </c>
      <c r="O2725" s="3">
        <f t="shared" si="211"/>
        <v>12449.09</v>
      </c>
      <c r="P2725" s="3">
        <f t="shared" si="212"/>
        <v>8728.14</v>
      </c>
      <c r="Q2725" s="3">
        <f t="shared" si="213"/>
        <v>3720.95</v>
      </c>
      <c r="R2725" s="4">
        <f t="shared" si="214"/>
        <v>0.2989</v>
      </c>
      <c r="S2725" s="2">
        <v>13</v>
      </c>
      <c r="T2725" t="s">
        <v>30</v>
      </c>
      <c r="U2725">
        <v>3</v>
      </c>
    </row>
    <row r="2726" spans="1:21" x14ac:dyDescent="0.25">
      <c r="A2726" s="1">
        <v>46171</v>
      </c>
      <c r="B2726" t="s">
        <v>2913</v>
      </c>
      <c r="C2726" t="s">
        <v>251</v>
      </c>
      <c r="D2726" t="s">
        <v>63</v>
      </c>
      <c r="E2726" t="s">
        <v>35</v>
      </c>
      <c r="F2726" t="s">
        <v>26</v>
      </c>
      <c r="G2726" t="s">
        <v>44</v>
      </c>
      <c r="H2726" t="s">
        <v>124</v>
      </c>
      <c r="I2726" t="s">
        <v>60</v>
      </c>
      <c r="J2726" s="2">
        <v>7</v>
      </c>
      <c r="K2726" s="3">
        <v>5948.08</v>
      </c>
      <c r="L2726" s="3">
        <v>4452.97</v>
      </c>
      <c r="M2726" s="4">
        <v>0</v>
      </c>
      <c r="N2726" s="3">
        <f t="shared" si="210"/>
        <v>41636.559999999998</v>
      </c>
      <c r="O2726" s="3">
        <f t="shared" si="211"/>
        <v>41636.559999999998</v>
      </c>
      <c r="P2726" s="3">
        <f t="shared" si="212"/>
        <v>31170.79</v>
      </c>
      <c r="Q2726" s="3">
        <f t="shared" si="213"/>
        <v>10465.77</v>
      </c>
      <c r="R2726" s="4">
        <f t="shared" si="214"/>
        <v>0.25140000000000001</v>
      </c>
      <c r="S2726" s="2">
        <v>13</v>
      </c>
      <c r="T2726" t="s">
        <v>30</v>
      </c>
      <c r="U2726">
        <v>5</v>
      </c>
    </row>
    <row r="2727" spans="1:21" x14ac:dyDescent="0.25">
      <c r="A2727" s="1">
        <v>46192</v>
      </c>
      <c r="B2727" t="s">
        <v>2914</v>
      </c>
      <c r="C2727" t="s">
        <v>224</v>
      </c>
      <c r="D2727" t="s">
        <v>56</v>
      </c>
      <c r="E2727" t="s">
        <v>57</v>
      </c>
      <c r="F2727" t="s">
        <v>36</v>
      </c>
      <c r="G2727" t="s">
        <v>51</v>
      </c>
      <c r="H2727" t="s">
        <v>116</v>
      </c>
      <c r="I2727" t="s">
        <v>74</v>
      </c>
      <c r="J2727" s="2">
        <v>3</v>
      </c>
      <c r="K2727" s="3">
        <v>2685.1</v>
      </c>
      <c r="L2727" s="3">
        <v>1778.84</v>
      </c>
      <c r="M2727" s="4">
        <v>5.6000000000000001E-2</v>
      </c>
      <c r="N2727" s="3">
        <f t="shared" si="210"/>
        <v>8055.3</v>
      </c>
      <c r="O2727" s="3">
        <f t="shared" si="211"/>
        <v>7604.2</v>
      </c>
      <c r="P2727" s="3">
        <f t="shared" si="212"/>
        <v>5336.52</v>
      </c>
      <c r="Q2727" s="3">
        <f t="shared" si="213"/>
        <v>2267.6799999999998</v>
      </c>
      <c r="R2727" s="4">
        <f t="shared" si="214"/>
        <v>0.29820000000000002</v>
      </c>
      <c r="S2727" s="2">
        <v>14</v>
      </c>
      <c r="T2727" t="s">
        <v>30</v>
      </c>
      <c r="U2727">
        <v>2</v>
      </c>
    </row>
    <row r="2728" spans="1:21" x14ac:dyDescent="0.25">
      <c r="A2728" s="1">
        <v>46194</v>
      </c>
      <c r="B2728" t="s">
        <v>2915</v>
      </c>
      <c r="C2728" t="s">
        <v>174</v>
      </c>
      <c r="D2728" t="s">
        <v>139</v>
      </c>
      <c r="E2728" t="s">
        <v>72</v>
      </c>
      <c r="F2728" t="s">
        <v>58</v>
      </c>
      <c r="G2728" t="s">
        <v>27</v>
      </c>
      <c r="H2728" t="s">
        <v>86</v>
      </c>
      <c r="I2728" t="s">
        <v>94</v>
      </c>
      <c r="J2728" s="2">
        <v>1</v>
      </c>
      <c r="K2728" s="3">
        <v>1940.71</v>
      </c>
      <c r="L2728" s="3">
        <v>1208.76</v>
      </c>
      <c r="M2728" s="4">
        <v>0.1074</v>
      </c>
      <c r="N2728" s="3">
        <f t="shared" si="210"/>
        <v>1940.71</v>
      </c>
      <c r="O2728" s="3">
        <f t="shared" si="211"/>
        <v>1732.28</v>
      </c>
      <c r="P2728" s="3">
        <f t="shared" si="212"/>
        <v>1208.76</v>
      </c>
      <c r="Q2728" s="3">
        <f t="shared" si="213"/>
        <v>523.52</v>
      </c>
      <c r="R2728" s="4">
        <f t="shared" si="214"/>
        <v>0.30220000000000002</v>
      </c>
      <c r="S2728" s="2">
        <v>4</v>
      </c>
      <c r="T2728" t="s">
        <v>46</v>
      </c>
      <c r="U2728">
        <v>5</v>
      </c>
    </row>
    <row r="2729" spans="1:21" x14ac:dyDescent="0.25">
      <c r="A2729" s="1">
        <v>46144</v>
      </c>
      <c r="B2729" t="s">
        <v>2916</v>
      </c>
      <c r="C2729" t="s">
        <v>418</v>
      </c>
      <c r="D2729" t="s">
        <v>126</v>
      </c>
      <c r="E2729" t="s">
        <v>57</v>
      </c>
      <c r="F2729" t="s">
        <v>58</v>
      </c>
      <c r="G2729" t="s">
        <v>37</v>
      </c>
      <c r="H2729" t="s">
        <v>178</v>
      </c>
      <c r="I2729" t="s">
        <v>29</v>
      </c>
      <c r="J2729" s="2">
        <v>7</v>
      </c>
      <c r="K2729" s="3">
        <v>508.89</v>
      </c>
      <c r="L2729" s="3">
        <v>240.4</v>
      </c>
      <c r="M2729" s="4">
        <v>3.5000000000000003E-2</v>
      </c>
      <c r="N2729" s="3">
        <f t="shared" si="210"/>
        <v>3562.23</v>
      </c>
      <c r="O2729" s="3">
        <f t="shared" si="211"/>
        <v>3437.55</v>
      </c>
      <c r="P2729" s="3">
        <f t="shared" si="212"/>
        <v>1682.8</v>
      </c>
      <c r="Q2729" s="3">
        <f t="shared" si="213"/>
        <v>1754.75</v>
      </c>
      <c r="R2729" s="4">
        <f t="shared" si="214"/>
        <v>0.51049999999999995</v>
      </c>
      <c r="S2729" s="2">
        <v>6</v>
      </c>
      <c r="T2729" t="s">
        <v>46</v>
      </c>
      <c r="U2729">
        <v>2</v>
      </c>
    </row>
    <row r="2730" spans="1:21" x14ac:dyDescent="0.25">
      <c r="A2730" s="1">
        <v>46207</v>
      </c>
      <c r="B2730" t="s">
        <v>2917</v>
      </c>
      <c r="C2730" t="s">
        <v>253</v>
      </c>
      <c r="D2730" t="s">
        <v>49</v>
      </c>
      <c r="E2730" t="s">
        <v>50</v>
      </c>
      <c r="F2730" t="s">
        <v>26</v>
      </c>
      <c r="G2730" t="s">
        <v>44</v>
      </c>
      <c r="H2730" t="s">
        <v>45</v>
      </c>
      <c r="I2730" t="s">
        <v>65</v>
      </c>
      <c r="J2730" s="2">
        <v>2</v>
      </c>
      <c r="K2730" s="3">
        <v>372.95</v>
      </c>
      <c r="L2730" s="3">
        <v>205.64</v>
      </c>
      <c r="M2730" s="4">
        <v>7.6300000000000007E-2</v>
      </c>
      <c r="N2730" s="3">
        <f t="shared" si="210"/>
        <v>745.9</v>
      </c>
      <c r="O2730" s="3">
        <f t="shared" si="211"/>
        <v>688.99</v>
      </c>
      <c r="P2730" s="3">
        <f t="shared" si="212"/>
        <v>411.28</v>
      </c>
      <c r="Q2730" s="3">
        <f t="shared" si="213"/>
        <v>277.70999999999998</v>
      </c>
      <c r="R2730" s="4">
        <f t="shared" si="214"/>
        <v>0.40310000000000001</v>
      </c>
      <c r="S2730" s="2">
        <v>12</v>
      </c>
      <c r="T2730" t="s">
        <v>30</v>
      </c>
      <c r="U2730">
        <v>3</v>
      </c>
    </row>
    <row r="2731" spans="1:21" x14ac:dyDescent="0.25">
      <c r="A2731" s="1">
        <v>46036</v>
      </c>
      <c r="B2731" t="s">
        <v>2918</v>
      </c>
      <c r="C2731" t="s">
        <v>381</v>
      </c>
      <c r="D2731" t="s">
        <v>207</v>
      </c>
      <c r="E2731" t="s">
        <v>35</v>
      </c>
      <c r="F2731" t="s">
        <v>64</v>
      </c>
      <c r="G2731" t="s">
        <v>37</v>
      </c>
      <c r="H2731" t="s">
        <v>38</v>
      </c>
      <c r="I2731" t="s">
        <v>65</v>
      </c>
      <c r="J2731" s="2">
        <v>6</v>
      </c>
      <c r="K2731" s="3">
        <v>423.9</v>
      </c>
      <c r="L2731" s="3">
        <v>190.9</v>
      </c>
      <c r="M2731" s="4">
        <v>2.8999999999999998E-3</v>
      </c>
      <c r="N2731" s="3">
        <f t="shared" si="210"/>
        <v>2543.4</v>
      </c>
      <c r="O2731" s="3">
        <f t="shared" si="211"/>
        <v>2536.02</v>
      </c>
      <c r="P2731" s="3">
        <f t="shared" si="212"/>
        <v>1145.4000000000001</v>
      </c>
      <c r="Q2731" s="3">
        <f t="shared" si="213"/>
        <v>1390.62</v>
      </c>
      <c r="R2731" s="4">
        <f t="shared" si="214"/>
        <v>0.54830000000000001</v>
      </c>
      <c r="S2731" s="2">
        <v>12</v>
      </c>
      <c r="T2731" t="s">
        <v>30</v>
      </c>
      <c r="U2731">
        <v>4</v>
      </c>
    </row>
    <row r="2732" spans="1:21" x14ac:dyDescent="0.25">
      <c r="A2732" s="1">
        <v>46039</v>
      </c>
      <c r="B2732" t="s">
        <v>2919</v>
      </c>
      <c r="C2732" t="s">
        <v>120</v>
      </c>
      <c r="D2732" t="s">
        <v>71</v>
      </c>
      <c r="E2732" t="s">
        <v>72</v>
      </c>
      <c r="F2732" t="s">
        <v>36</v>
      </c>
      <c r="G2732" t="s">
        <v>37</v>
      </c>
      <c r="H2732" t="s">
        <v>104</v>
      </c>
      <c r="I2732" t="s">
        <v>92</v>
      </c>
      <c r="J2732" s="2">
        <v>1</v>
      </c>
      <c r="K2732" s="3">
        <v>335.61</v>
      </c>
      <c r="L2732" s="3">
        <v>139.06</v>
      </c>
      <c r="M2732" s="4">
        <v>8.5900000000000004E-2</v>
      </c>
      <c r="N2732" s="3">
        <f t="shared" si="210"/>
        <v>335.61</v>
      </c>
      <c r="O2732" s="3">
        <f t="shared" si="211"/>
        <v>306.77999999999997</v>
      </c>
      <c r="P2732" s="3">
        <f t="shared" si="212"/>
        <v>139.06</v>
      </c>
      <c r="Q2732" s="3">
        <f t="shared" si="213"/>
        <v>167.72</v>
      </c>
      <c r="R2732" s="4">
        <f t="shared" si="214"/>
        <v>0.54669999999999996</v>
      </c>
      <c r="S2732" s="2">
        <v>4</v>
      </c>
      <c r="T2732" t="s">
        <v>46</v>
      </c>
      <c r="U2732">
        <v>5</v>
      </c>
    </row>
    <row r="2733" spans="1:21" x14ac:dyDescent="0.25">
      <c r="A2733" s="1">
        <v>46184</v>
      </c>
      <c r="B2733" t="s">
        <v>2920</v>
      </c>
      <c r="C2733" t="s">
        <v>253</v>
      </c>
      <c r="D2733" t="s">
        <v>24</v>
      </c>
      <c r="E2733" t="s">
        <v>25</v>
      </c>
      <c r="F2733" t="s">
        <v>58</v>
      </c>
      <c r="G2733" t="s">
        <v>44</v>
      </c>
      <c r="H2733" t="s">
        <v>45</v>
      </c>
      <c r="I2733" t="s">
        <v>77</v>
      </c>
      <c r="J2733" s="2">
        <v>1</v>
      </c>
      <c r="K2733" s="3">
        <v>411.33</v>
      </c>
      <c r="L2733" s="3">
        <v>225.08</v>
      </c>
      <c r="M2733" s="4">
        <v>3.5000000000000003E-2</v>
      </c>
      <c r="N2733" s="3">
        <f t="shared" si="210"/>
        <v>411.33</v>
      </c>
      <c r="O2733" s="3">
        <f t="shared" si="211"/>
        <v>396.93</v>
      </c>
      <c r="P2733" s="3">
        <f t="shared" si="212"/>
        <v>225.08</v>
      </c>
      <c r="Q2733" s="3">
        <f t="shared" si="213"/>
        <v>171.85</v>
      </c>
      <c r="R2733" s="4">
        <f t="shared" si="214"/>
        <v>0.43290000000000001</v>
      </c>
      <c r="S2733" s="2">
        <v>4</v>
      </c>
      <c r="T2733" t="s">
        <v>46</v>
      </c>
      <c r="U2733">
        <v>4</v>
      </c>
    </row>
    <row r="2734" spans="1:21" x14ac:dyDescent="0.25">
      <c r="A2734" s="1">
        <v>46104</v>
      </c>
      <c r="B2734" t="s">
        <v>2921</v>
      </c>
      <c r="C2734" t="s">
        <v>297</v>
      </c>
      <c r="D2734" t="s">
        <v>121</v>
      </c>
      <c r="E2734" t="s">
        <v>72</v>
      </c>
      <c r="F2734" t="s">
        <v>64</v>
      </c>
      <c r="G2734" t="s">
        <v>27</v>
      </c>
      <c r="H2734" t="s">
        <v>86</v>
      </c>
      <c r="I2734" t="s">
        <v>87</v>
      </c>
      <c r="J2734" s="2">
        <v>8</v>
      </c>
      <c r="K2734" s="3">
        <v>1978.53</v>
      </c>
      <c r="L2734" s="3">
        <v>1215.51</v>
      </c>
      <c r="M2734" s="4">
        <v>4.1500000000000002E-2</v>
      </c>
      <c r="N2734" s="3">
        <f t="shared" si="210"/>
        <v>15828.24</v>
      </c>
      <c r="O2734" s="3">
        <f t="shared" si="211"/>
        <v>15171.37</v>
      </c>
      <c r="P2734" s="3">
        <f t="shared" si="212"/>
        <v>9724.08</v>
      </c>
      <c r="Q2734" s="3">
        <f t="shared" si="213"/>
        <v>5447.29</v>
      </c>
      <c r="R2734" s="4">
        <f t="shared" si="214"/>
        <v>0.35909999999999997</v>
      </c>
      <c r="S2734" s="2">
        <v>2</v>
      </c>
      <c r="T2734" t="s">
        <v>46</v>
      </c>
      <c r="U2734">
        <v>5</v>
      </c>
    </row>
    <row r="2735" spans="1:21" x14ac:dyDescent="0.25">
      <c r="A2735" s="1">
        <v>46177</v>
      </c>
      <c r="B2735" t="s">
        <v>2922</v>
      </c>
      <c r="C2735" t="s">
        <v>118</v>
      </c>
      <c r="D2735" t="s">
        <v>43</v>
      </c>
      <c r="E2735" t="s">
        <v>25</v>
      </c>
      <c r="F2735" t="s">
        <v>36</v>
      </c>
      <c r="G2735" t="s">
        <v>51</v>
      </c>
      <c r="H2735" t="s">
        <v>59</v>
      </c>
      <c r="I2735" t="s">
        <v>87</v>
      </c>
      <c r="J2735" s="2">
        <v>8</v>
      </c>
      <c r="K2735" s="3">
        <v>2070.13</v>
      </c>
      <c r="L2735" s="3">
        <v>1506.12</v>
      </c>
      <c r="M2735" s="4">
        <v>0</v>
      </c>
      <c r="N2735" s="3">
        <f t="shared" si="210"/>
        <v>16561.04</v>
      </c>
      <c r="O2735" s="3">
        <f t="shared" si="211"/>
        <v>16561.04</v>
      </c>
      <c r="P2735" s="3">
        <f t="shared" si="212"/>
        <v>12048.96</v>
      </c>
      <c r="Q2735" s="3">
        <f t="shared" si="213"/>
        <v>4512.08</v>
      </c>
      <c r="R2735" s="4">
        <f t="shared" si="214"/>
        <v>0.27250000000000002</v>
      </c>
      <c r="S2735" s="2">
        <v>3</v>
      </c>
      <c r="T2735" t="s">
        <v>46</v>
      </c>
      <c r="U2735">
        <v>4</v>
      </c>
    </row>
    <row r="2736" spans="1:21" x14ac:dyDescent="0.25">
      <c r="A2736" s="1">
        <v>46228</v>
      </c>
      <c r="B2736" t="s">
        <v>2923</v>
      </c>
      <c r="C2736" t="s">
        <v>157</v>
      </c>
      <c r="D2736" t="s">
        <v>126</v>
      </c>
      <c r="E2736" t="s">
        <v>57</v>
      </c>
      <c r="F2736" t="s">
        <v>26</v>
      </c>
      <c r="G2736" t="s">
        <v>51</v>
      </c>
      <c r="H2736" t="s">
        <v>116</v>
      </c>
      <c r="I2736" t="s">
        <v>39</v>
      </c>
      <c r="J2736" s="2">
        <v>1</v>
      </c>
      <c r="K2736" s="3">
        <v>2717.81</v>
      </c>
      <c r="L2736" s="3">
        <v>1749.87</v>
      </c>
      <c r="M2736" s="4">
        <v>9.2100000000000001E-2</v>
      </c>
      <c r="N2736" s="3">
        <f t="shared" si="210"/>
        <v>2717.81</v>
      </c>
      <c r="O2736" s="3">
        <f t="shared" si="211"/>
        <v>2467.5</v>
      </c>
      <c r="P2736" s="3">
        <f t="shared" si="212"/>
        <v>1749.87</v>
      </c>
      <c r="Q2736" s="3">
        <f t="shared" si="213"/>
        <v>717.63</v>
      </c>
      <c r="R2736" s="4">
        <f t="shared" si="214"/>
        <v>0.2908</v>
      </c>
      <c r="S2736" s="2">
        <v>11</v>
      </c>
      <c r="T2736" t="s">
        <v>30</v>
      </c>
      <c r="U2736">
        <v>5</v>
      </c>
    </row>
    <row r="2737" spans="1:22" x14ac:dyDescent="0.25">
      <c r="A2737" s="1">
        <v>46208</v>
      </c>
      <c r="B2737" t="s">
        <v>2924</v>
      </c>
      <c r="C2737" t="s">
        <v>447</v>
      </c>
      <c r="D2737" t="s">
        <v>71</v>
      </c>
      <c r="E2737" t="s">
        <v>72</v>
      </c>
      <c r="F2737" t="s">
        <v>58</v>
      </c>
      <c r="G2737" t="s">
        <v>51</v>
      </c>
      <c r="H2737" t="s">
        <v>116</v>
      </c>
      <c r="I2737" t="s">
        <v>65</v>
      </c>
      <c r="J2737" s="2">
        <v>1</v>
      </c>
      <c r="K2737" s="3">
        <v>2659.83</v>
      </c>
      <c r="L2737" s="3">
        <v>1813.29</v>
      </c>
      <c r="M2737" s="4">
        <v>3.5000000000000003E-2</v>
      </c>
      <c r="N2737" s="3">
        <f t="shared" si="210"/>
        <v>2659.83</v>
      </c>
      <c r="O2737" s="3">
        <f t="shared" si="211"/>
        <v>2566.7399999999998</v>
      </c>
      <c r="P2737" s="3">
        <f t="shared" si="212"/>
        <v>1813.29</v>
      </c>
      <c r="Q2737" s="3">
        <f t="shared" si="213"/>
        <v>753.45</v>
      </c>
      <c r="R2737" s="4">
        <f t="shared" si="214"/>
        <v>0.29349999999999998</v>
      </c>
      <c r="S2737" s="2">
        <v>4</v>
      </c>
      <c r="T2737" t="s">
        <v>46</v>
      </c>
      <c r="U2737">
        <v>4</v>
      </c>
    </row>
    <row r="2738" spans="1:22" x14ac:dyDescent="0.25">
      <c r="A2738" s="1">
        <v>46075</v>
      </c>
      <c r="B2738" t="s">
        <v>2925</v>
      </c>
      <c r="C2738" t="s">
        <v>514</v>
      </c>
      <c r="D2738" t="s">
        <v>130</v>
      </c>
      <c r="E2738" t="s">
        <v>72</v>
      </c>
      <c r="F2738" t="s">
        <v>36</v>
      </c>
      <c r="G2738" t="s">
        <v>51</v>
      </c>
      <c r="H2738" t="s">
        <v>59</v>
      </c>
      <c r="I2738" t="s">
        <v>77</v>
      </c>
      <c r="J2738" s="2">
        <v>7</v>
      </c>
      <c r="K2738" s="3">
        <v>2318.86</v>
      </c>
      <c r="L2738" s="3">
        <v>1460.16</v>
      </c>
      <c r="M2738" s="4">
        <v>0</v>
      </c>
      <c r="N2738" s="3">
        <f t="shared" si="210"/>
        <v>16232.02</v>
      </c>
      <c r="O2738" s="3">
        <f t="shared" si="211"/>
        <v>16232.02</v>
      </c>
      <c r="P2738" s="3">
        <f t="shared" si="212"/>
        <v>10221.120000000001</v>
      </c>
      <c r="Q2738" s="3">
        <f t="shared" si="213"/>
        <v>6010.9</v>
      </c>
      <c r="R2738" s="4">
        <f t="shared" si="214"/>
        <v>0.37030000000000002</v>
      </c>
      <c r="S2738" s="2">
        <v>10</v>
      </c>
      <c r="T2738" t="s">
        <v>46</v>
      </c>
      <c r="U2738">
        <v>2</v>
      </c>
    </row>
    <row r="2739" spans="1:22" x14ac:dyDescent="0.25">
      <c r="A2739" s="1">
        <v>46194</v>
      </c>
      <c r="B2739" t="s">
        <v>2926</v>
      </c>
      <c r="C2739" t="s">
        <v>590</v>
      </c>
      <c r="D2739" t="s">
        <v>43</v>
      </c>
      <c r="E2739" t="s">
        <v>25</v>
      </c>
      <c r="F2739" t="s">
        <v>58</v>
      </c>
      <c r="G2739" t="s">
        <v>51</v>
      </c>
      <c r="H2739" t="s">
        <v>59</v>
      </c>
      <c r="I2739" t="s">
        <v>53</v>
      </c>
      <c r="J2739" s="2">
        <v>3</v>
      </c>
      <c r="K2739" s="3">
        <v>2190.89</v>
      </c>
      <c r="L2739" s="3">
        <v>1464.19</v>
      </c>
      <c r="M2739" s="4">
        <v>3.5000000000000003E-2</v>
      </c>
      <c r="N2739" s="3">
        <f t="shared" si="210"/>
        <v>6572.67</v>
      </c>
      <c r="O2739" s="3">
        <f t="shared" si="211"/>
        <v>6342.63</v>
      </c>
      <c r="P2739" s="3">
        <f t="shared" si="212"/>
        <v>4392.57</v>
      </c>
      <c r="Q2739" s="3">
        <f t="shared" si="213"/>
        <v>1950.06</v>
      </c>
      <c r="R2739" s="4">
        <f t="shared" si="214"/>
        <v>0.3075</v>
      </c>
      <c r="S2739" s="2">
        <v>9</v>
      </c>
      <c r="T2739" t="s">
        <v>46</v>
      </c>
      <c r="U2739">
        <v>5</v>
      </c>
    </row>
    <row r="2740" spans="1:22" x14ac:dyDescent="0.25">
      <c r="A2740" s="1">
        <v>46078</v>
      </c>
      <c r="B2740" t="s">
        <v>2927</v>
      </c>
      <c r="C2740" t="s">
        <v>297</v>
      </c>
      <c r="D2740" t="s">
        <v>63</v>
      </c>
      <c r="E2740" t="s">
        <v>35</v>
      </c>
      <c r="F2740" t="s">
        <v>36</v>
      </c>
      <c r="G2740" t="s">
        <v>27</v>
      </c>
      <c r="H2740" t="s">
        <v>68</v>
      </c>
      <c r="I2740" t="s">
        <v>65</v>
      </c>
      <c r="J2740" s="2">
        <v>4</v>
      </c>
      <c r="K2740" s="3">
        <v>1365.72</v>
      </c>
      <c r="L2740" s="3">
        <v>786.95</v>
      </c>
      <c r="M2740" s="4">
        <v>0.1195</v>
      </c>
      <c r="N2740" s="3">
        <f t="shared" si="210"/>
        <v>5462.88</v>
      </c>
      <c r="O2740" s="3">
        <f t="shared" si="211"/>
        <v>4810.07</v>
      </c>
      <c r="P2740" s="3">
        <f t="shared" si="212"/>
        <v>3147.8</v>
      </c>
      <c r="Q2740" s="3">
        <f t="shared" si="213"/>
        <v>1662.27</v>
      </c>
      <c r="R2740" s="4">
        <f t="shared" si="214"/>
        <v>0.34560000000000002</v>
      </c>
      <c r="S2740" s="2">
        <v>11</v>
      </c>
      <c r="T2740" t="s">
        <v>30</v>
      </c>
      <c r="U2740">
        <v>2</v>
      </c>
    </row>
    <row r="2741" spans="1:22" x14ac:dyDescent="0.25">
      <c r="A2741" s="1">
        <v>46163</v>
      </c>
      <c r="B2741" t="s">
        <v>2928</v>
      </c>
      <c r="C2741" t="s">
        <v>112</v>
      </c>
      <c r="D2741" t="s">
        <v>130</v>
      </c>
      <c r="E2741" t="s">
        <v>72</v>
      </c>
      <c r="F2741" t="s">
        <v>36</v>
      </c>
      <c r="G2741" t="s">
        <v>37</v>
      </c>
      <c r="H2741" t="s">
        <v>178</v>
      </c>
      <c r="I2741" t="s">
        <v>87</v>
      </c>
      <c r="J2741" s="2">
        <v>2</v>
      </c>
      <c r="K2741" s="3">
        <v>521.95000000000005</v>
      </c>
      <c r="L2741" s="3">
        <v>249.04</v>
      </c>
      <c r="M2741" s="4">
        <v>0</v>
      </c>
      <c r="N2741" s="3">
        <f t="shared" si="210"/>
        <v>1043.9000000000001</v>
      </c>
      <c r="O2741" s="3">
        <f t="shared" si="211"/>
        <v>1043.9000000000001</v>
      </c>
      <c r="P2741" s="3">
        <f t="shared" si="212"/>
        <v>498.08</v>
      </c>
      <c r="Q2741" s="3">
        <f t="shared" si="213"/>
        <v>545.82000000000005</v>
      </c>
      <c r="R2741" s="4">
        <f t="shared" si="214"/>
        <v>0.52290000000000003</v>
      </c>
      <c r="S2741" s="2">
        <v>3</v>
      </c>
      <c r="T2741" t="s">
        <v>46</v>
      </c>
      <c r="U2741">
        <v>2</v>
      </c>
    </row>
    <row r="2742" spans="1:22" x14ac:dyDescent="0.25">
      <c r="A2742" s="1">
        <v>46077</v>
      </c>
      <c r="B2742" t="s">
        <v>2929</v>
      </c>
      <c r="C2742" t="s">
        <v>76</v>
      </c>
      <c r="D2742" t="s">
        <v>207</v>
      </c>
      <c r="E2742" t="s">
        <v>35</v>
      </c>
      <c r="F2742" t="s">
        <v>64</v>
      </c>
      <c r="G2742" t="s">
        <v>51</v>
      </c>
      <c r="H2742" t="s">
        <v>116</v>
      </c>
      <c r="I2742" t="s">
        <v>92</v>
      </c>
      <c r="J2742" s="2">
        <v>5</v>
      </c>
      <c r="K2742" s="3">
        <v>2785.36</v>
      </c>
      <c r="L2742" s="3">
        <v>1897.87</v>
      </c>
      <c r="M2742" s="4">
        <v>2.0999999999999999E-3</v>
      </c>
      <c r="N2742" s="3">
        <f t="shared" si="210"/>
        <v>13926.8</v>
      </c>
      <c r="O2742" s="3">
        <f t="shared" si="211"/>
        <v>13897.55</v>
      </c>
      <c r="P2742" s="3">
        <f t="shared" si="212"/>
        <v>9489.35</v>
      </c>
      <c r="Q2742" s="3">
        <f t="shared" si="213"/>
        <v>4408.2</v>
      </c>
      <c r="R2742" s="4">
        <f t="shared" si="214"/>
        <v>0.31719999999999998</v>
      </c>
      <c r="S2742" s="2">
        <v>11</v>
      </c>
      <c r="T2742" t="s">
        <v>30</v>
      </c>
      <c r="U2742">
        <v>3</v>
      </c>
    </row>
    <row r="2743" spans="1:22" x14ac:dyDescent="0.25">
      <c r="A2743" s="1">
        <v>46142</v>
      </c>
      <c r="B2743" t="s">
        <v>2930</v>
      </c>
      <c r="C2743" t="s">
        <v>172</v>
      </c>
      <c r="D2743" t="s">
        <v>56</v>
      </c>
      <c r="E2743" t="s">
        <v>57</v>
      </c>
      <c r="F2743" t="s">
        <v>26</v>
      </c>
      <c r="G2743" t="s">
        <v>27</v>
      </c>
      <c r="H2743" t="s">
        <v>68</v>
      </c>
      <c r="I2743" t="s">
        <v>77</v>
      </c>
      <c r="J2743" s="2">
        <v>8</v>
      </c>
      <c r="K2743" s="3">
        <v>1268.8900000000001</v>
      </c>
      <c r="L2743" s="3">
        <v>783.98</v>
      </c>
      <c r="M2743" s="4">
        <v>0</v>
      </c>
      <c r="N2743" s="3">
        <f t="shared" si="210"/>
        <v>10151.120000000001</v>
      </c>
      <c r="O2743" s="3">
        <f t="shared" si="211"/>
        <v>10151.120000000001</v>
      </c>
      <c r="P2743" s="3">
        <f t="shared" si="212"/>
        <v>6271.84</v>
      </c>
      <c r="Q2743" s="3">
        <f t="shared" si="213"/>
        <v>3879.28</v>
      </c>
      <c r="R2743" s="4">
        <f t="shared" si="214"/>
        <v>0.38219999999999998</v>
      </c>
      <c r="S2743" s="2">
        <v>13</v>
      </c>
      <c r="T2743" t="s">
        <v>30</v>
      </c>
      <c r="U2743">
        <v>3</v>
      </c>
    </row>
    <row r="2744" spans="1:22" x14ac:dyDescent="0.25">
      <c r="A2744" s="1">
        <v>46097</v>
      </c>
      <c r="B2744" t="s">
        <v>2931</v>
      </c>
      <c r="C2744" t="s">
        <v>260</v>
      </c>
      <c r="D2744" t="s">
        <v>71</v>
      </c>
      <c r="E2744" t="s">
        <v>72</v>
      </c>
      <c r="F2744" t="s">
        <v>58</v>
      </c>
      <c r="G2744" t="s">
        <v>44</v>
      </c>
      <c r="H2744" t="s">
        <v>124</v>
      </c>
      <c r="I2744" t="s">
        <v>65</v>
      </c>
      <c r="J2744" s="2">
        <v>3</v>
      </c>
      <c r="K2744" s="3">
        <v>5574.8</v>
      </c>
      <c r="L2744" s="3">
        <v>4551.04</v>
      </c>
      <c r="M2744" s="4">
        <v>0.1164</v>
      </c>
      <c r="N2744" s="3">
        <f t="shared" si="210"/>
        <v>16724.400000000001</v>
      </c>
      <c r="O2744" s="3">
        <f t="shared" si="211"/>
        <v>14777.68</v>
      </c>
      <c r="P2744" s="3">
        <f t="shared" si="212"/>
        <v>13653.12</v>
      </c>
      <c r="Q2744" s="3">
        <f t="shared" si="213"/>
        <v>1124.56</v>
      </c>
      <c r="R2744" s="4">
        <f t="shared" si="214"/>
        <v>7.6100000000000001E-2</v>
      </c>
      <c r="S2744" s="2">
        <v>4</v>
      </c>
      <c r="T2744" t="s">
        <v>46</v>
      </c>
      <c r="U2744">
        <v>2</v>
      </c>
    </row>
    <row r="2745" spans="1:22" x14ac:dyDescent="0.25">
      <c r="A2745" s="1">
        <v>46148</v>
      </c>
      <c r="B2745" t="s">
        <v>2932</v>
      </c>
      <c r="C2745" t="s">
        <v>464</v>
      </c>
      <c r="D2745" t="s">
        <v>97</v>
      </c>
      <c r="E2745" t="s">
        <v>57</v>
      </c>
      <c r="F2745" t="s">
        <v>58</v>
      </c>
      <c r="G2745" t="s">
        <v>44</v>
      </c>
      <c r="H2745" t="s">
        <v>124</v>
      </c>
      <c r="I2745" t="s">
        <v>94</v>
      </c>
      <c r="J2745" s="2">
        <v>2</v>
      </c>
      <c r="K2745" s="3">
        <v>6103.19</v>
      </c>
      <c r="L2745" s="3">
        <v>6470.9</v>
      </c>
      <c r="M2745" s="4">
        <v>3.5000000000000003E-2</v>
      </c>
      <c r="N2745" s="3">
        <f t="shared" si="210"/>
        <v>12206.38</v>
      </c>
      <c r="O2745" s="3">
        <f t="shared" si="211"/>
        <v>11779.16</v>
      </c>
      <c r="P2745" s="3">
        <f t="shared" si="212"/>
        <v>12941.8</v>
      </c>
      <c r="Q2745" s="3">
        <f t="shared" si="213"/>
        <v>-1162.6400000000001</v>
      </c>
      <c r="R2745" s="4">
        <f t="shared" si="214"/>
        <v>-9.8699999999999996E-2</v>
      </c>
      <c r="S2745" s="2">
        <v>9</v>
      </c>
      <c r="T2745" t="s">
        <v>46</v>
      </c>
      <c r="U2745">
        <v>2</v>
      </c>
      <c r="V2745" t="s">
        <v>388</v>
      </c>
    </row>
    <row r="2746" spans="1:22" x14ac:dyDescent="0.25">
      <c r="A2746" s="1">
        <v>46186</v>
      </c>
      <c r="B2746" t="s">
        <v>2933</v>
      </c>
      <c r="C2746" t="s">
        <v>220</v>
      </c>
      <c r="D2746" t="s">
        <v>34</v>
      </c>
      <c r="E2746" t="s">
        <v>35</v>
      </c>
      <c r="F2746" t="s">
        <v>64</v>
      </c>
      <c r="G2746" t="s">
        <v>51</v>
      </c>
      <c r="H2746" t="s">
        <v>116</v>
      </c>
      <c r="I2746" t="s">
        <v>74</v>
      </c>
      <c r="J2746" s="2">
        <v>4</v>
      </c>
      <c r="K2746" s="3">
        <v>2665.24</v>
      </c>
      <c r="L2746" s="3">
        <v>1890.66</v>
      </c>
      <c r="M2746" s="4">
        <v>0</v>
      </c>
      <c r="N2746" s="3">
        <f t="shared" si="210"/>
        <v>10660.96</v>
      </c>
      <c r="O2746" s="3">
        <f t="shared" si="211"/>
        <v>10660.96</v>
      </c>
      <c r="P2746" s="3">
        <f t="shared" si="212"/>
        <v>7562.64</v>
      </c>
      <c r="Q2746" s="3">
        <f t="shared" si="213"/>
        <v>3098.32</v>
      </c>
      <c r="R2746" s="4">
        <f t="shared" si="214"/>
        <v>0.29060000000000002</v>
      </c>
      <c r="S2746" s="2">
        <v>2</v>
      </c>
      <c r="T2746" t="s">
        <v>46</v>
      </c>
      <c r="U2746">
        <v>2</v>
      </c>
    </row>
    <row r="2747" spans="1:22" x14ac:dyDescent="0.25">
      <c r="A2747" s="1">
        <v>46101</v>
      </c>
      <c r="B2747" t="s">
        <v>2934</v>
      </c>
      <c r="C2747" t="s">
        <v>155</v>
      </c>
      <c r="D2747" t="s">
        <v>56</v>
      </c>
      <c r="E2747" t="s">
        <v>57</v>
      </c>
      <c r="F2747" t="s">
        <v>58</v>
      </c>
      <c r="G2747" t="s">
        <v>44</v>
      </c>
      <c r="H2747" t="s">
        <v>45</v>
      </c>
      <c r="I2747" t="s">
        <v>77</v>
      </c>
      <c r="J2747" s="2">
        <v>1</v>
      </c>
      <c r="K2747" s="3">
        <v>390.38</v>
      </c>
      <c r="L2747" s="3">
        <v>219.95</v>
      </c>
      <c r="M2747" s="4">
        <v>3.5000000000000003E-2</v>
      </c>
      <c r="N2747" s="3">
        <f t="shared" si="210"/>
        <v>390.38</v>
      </c>
      <c r="O2747" s="3">
        <f t="shared" si="211"/>
        <v>376.72</v>
      </c>
      <c r="P2747" s="3">
        <f t="shared" si="212"/>
        <v>219.95</v>
      </c>
      <c r="Q2747" s="3">
        <f t="shared" si="213"/>
        <v>156.77000000000001</v>
      </c>
      <c r="R2747" s="4">
        <f t="shared" si="214"/>
        <v>0.41610000000000003</v>
      </c>
      <c r="S2747" s="2">
        <v>10</v>
      </c>
      <c r="T2747" t="s">
        <v>46</v>
      </c>
      <c r="U2747">
        <v>3</v>
      </c>
    </row>
    <row r="2748" spans="1:22" x14ac:dyDescent="0.25">
      <c r="A2748" s="1">
        <v>46050</v>
      </c>
      <c r="B2748" t="s">
        <v>2935</v>
      </c>
      <c r="C2748" t="s">
        <v>33</v>
      </c>
      <c r="D2748" t="s">
        <v>49</v>
      </c>
      <c r="E2748" t="s">
        <v>50</v>
      </c>
      <c r="F2748" t="s">
        <v>58</v>
      </c>
      <c r="G2748" t="s">
        <v>44</v>
      </c>
      <c r="H2748" t="s">
        <v>73</v>
      </c>
      <c r="I2748" t="s">
        <v>74</v>
      </c>
      <c r="J2748" s="2">
        <v>1</v>
      </c>
      <c r="K2748" s="3">
        <v>1673.14</v>
      </c>
      <c r="L2748" s="3">
        <v>1116.68</v>
      </c>
      <c r="M2748" s="4">
        <v>3.5000000000000003E-2</v>
      </c>
      <c r="N2748" s="3">
        <f t="shared" si="210"/>
        <v>1673.14</v>
      </c>
      <c r="O2748" s="3">
        <f t="shared" si="211"/>
        <v>1614.58</v>
      </c>
      <c r="P2748" s="3">
        <f t="shared" si="212"/>
        <v>1116.68</v>
      </c>
      <c r="Q2748" s="3">
        <f t="shared" si="213"/>
        <v>497.9</v>
      </c>
      <c r="R2748" s="4">
        <f t="shared" si="214"/>
        <v>0.30840000000000001</v>
      </c>
      <c r="S2748" s="2">
        <v>9</v>
      </c>
      <c r="T2748" t="s">
        <v>46</v>
      </c>
      <c r="U2748">
        <v>3</v>
      </c>
    </row>
    <row r="2749" spans="1:22" x14ac:dyDescent="0.25">
      <c r="A2749" s="1">
        <v>46209</v>
      </c>
      <c r="B2749" t="s">
        <v>2936</v>
      </c>
      <c r="C2749" t="s">
        <v>184</v>
      </c>
      <c r="D2749" t="s">
        <v>101</v>
      </c>
      <c r="E2749" t="s">
        <v>35</v>
      </c>
      <c r="F2749" t="s">
        <v>36</v>
      </c>
      <c r="G2749" t="s">
        <v>27</v>
      </c>
      <c r="H2749" t="s">
        <v>68</v>
      </c>
      <c r="I2749" t="s">
        <v>94</v>
      </c>
      <c r="J2749" s="2">
        <v>7</v>
      </c>
      <c r="K2749" s="3">
        <v>1226.02</v>
      </c>
      <c r="L2749" s="3">
        <v>776.29</v>
      </c>
      <c r="M2749" s="4">
        <v>0.1091</v>
      </c>
      <c r="N2749" s="3">
        <f t="shared" si="210"/>
        <v>8582.14</v>
      </c>
      <c r="O2749" s="3">
        <f t="shared" si="211"/>
        <v>7645.83</v>
      </c>
      <c r="P2749" s="3">
        <f t="shared" si="212"/>
        <v>5434.03</v>
      </c>
      <c r="Q2749" s="3">
        <f t="shared" si="213"/>
        <v>2211.8000000000002</v>
      </c>
      <c r="R2749" s="4">
        <f t="shared" si="214"/>
        <v>0.2893</v>
      </c>
      <c r="S2749" s="2">
        <v>14</v>
      </c>
      <c r="T2749" t="s">
        <v>30</v>
      </c>
      <c r="U2749">
        <v>5</v>
      </c>
    </row>
    <row r="2750" spans="1:22" x14ac:dyDescent="0.25">
      <c r="A2750" s="1">
        <v>46219</v>
      </c>
      <c r="B2750" t="s">
        <v>2937</v>
      </c>
      <c r="C2750" t="s">
        <v>266</v>
      </c>
      <c r="D2750" t="s">
        <v>24</v>
      </c>
      <c r="E2750" t="s">
        <v>25</v>
      </c>
      <c r="F2750" t="s">
        <v>64</v>
      </c>
      <c r="G2750" t="s">
        <v>37</v>
      </c>
      <c r="H2750" t="s">
        <v>178</v>
      </c>
      <c r="I2750" t="s">
        <v>92</v>
      </c>
      <c r="J2750" s="2">
        <v>2</v>
      </c>
      <c r="K2750" s="3">
        <v>517.72</v>
      </c>
      <c r="L2750" s="3">
        <v>243.03</v>
      </c>
      <c r="M2750" s="4">
        <v>5.67E-2</v>
      </c>
      <c r="N2750" s="3">
        <f t="shared" si="210"/>
        <v>1035.44</v>
      </c>
      <c r="O2750" s="3">
        <f t="shared" si="211"/>
        <v>976.73</v>
      </c>
      <c r="P2750" s="3">
        <f t="shared" si="212"/>
        <v>486.06</v>
      </c>
      <c r="Q2750" s="3">
        <f t="shared" si="213"/>
        <v>490.67</v>
      </c>
      <c r="R2750" s="4">
        <f t="shared" si="214"/>
        <v>0.50239999999999996</v>
      </c>
      <c r="S2750" s="2">
        <v>9</v>
      </c>
      <c r="T2750" t="s">
        <v>40</v>
      </c>
    </row>
    <row r="2751" spans="1:22" x14ac:dyDescent="0.25">
      <c r="A2751" s="1">
        <v>46059</v>
      </c>
      <c r="B2751" t="s">
        <v>2938</v>
      </c>
      <c r="C2751" t="s">
        <v>129</v>
      </c>
      <c r="D2751" t="s">
        <v>126</v>
      </c>
      <c r="E2751" t="s">
        <v>57</v>
      </c>
      <c r="F2751" t="s">
        <v>36</v>
      </c>
      <c r="G2751" t="s">
        <v>37</v>
      </c>
      <c r="H2751" t="s">
        <v>104</v>
      </c>
      <c r="I2751" t="s">
        <v>94</v>
      </c>
      <c r="J2751" s="2">
        <v>7</v>
      </c>
      <c r="K2751" s="3">
        <v>312.62</v>
      </c>
      <c r="L2751" s="3">
        <v>137.78</v>
      </c>
      <c r="M2751" s="4">
        <v>2.9100000000000001E-2</v>
      </c>
      <c r="N2751" s="3">
        <f t="shared" si="210"/>
        <v>2188.34</v>
      </c>
      <c r="O2751" s="3">
        <f t="shared" si="211"/>
        <v>2124.66</v>
      </c>
      <c r="P2751" s="3">
        <f t="shared" si="212"/>
        <v>964.46</v>
      </c>
      <c r="Q2751" s="3">
        <f t="shared" si="213"/>
        <v>1160.2</v>
      </c>
      <c r="R2751" s="4">
        <f t="shared" si="214"/>
        <v>0.54610000000000003</v>
      </c>
      <c r="S2751" s="2">
        <v>2</v>
      </c>
      <c r="T2751" t="s">
        <v>46</v>
      </c>
      <c r="U2751">
        <v>2</v>
      </c>
    </row>
    <row r="2752" spans="1:22" x14ac:dyDescent="0.25">
      <c r="A2752" s="1">
        <v>46199</v>
      </c>
      <c r="B2752" t="s">
        <v>2939</v>
      </c>
      <c r="C2752" t="s">
        <v>120</v>
      </c>
      <c r="D2752" t="s">
        <v>126</v>
      </c>
      <c r="E2752" t="s">
        <v>57</v>
      </c>
      <c r="F2752" t="s">
        <v>64</v>
      </c>
      <c r="G2752" t="s">
        <v>44</v>
      </c>
      <c r="H2752" t="s">
        <v>124</v>
      </c>
      <c r="I2752" t="s">
        <v>77</v>
      </c>
      <c r="J2752" s="2">
        <v>5</v>
      </c>
      <c r="K2752" s="3">
        <v>5775.08</v>
      </c>
      <c r="L2752" s="3">
        <v>4294.0200000000004</v>
      </c>
      <c r="M2752" s="4">
        <v>8.4199999999999997E-2</v>
      </c>
      <c r="N2752" s="3">
        <f t="shared" si="210"/>
        <v>28875.4</v>
      </c>
      <c r="O2752" s="3">
        <f t="shared" si="211"/>
        <v>26444.09</v>
      </c>
      <c r="P2752" s="3">
        <f t="shared" si="212"/>
        <v>21470.1</v>
      </c>
      <c r="Q2752" s="3">
        <f t="shared" si="213"/>
        <v>4973.99</v>
      </c>
      <c r="R2752" s="4">
        <f t="shared" si="214"/>
        <v>0.18809999999999999</v>
      </c>
      <c r="S2752" s="2">
        <v>14</v>
      </c>
      <c r="T2752" t="s">
        <v>30</v>
      </c>
      <c r="U2752">
        <v>5</v>
      </c>
    </row>
    <row r="2753" spans="1:22" x14ac:dyDescent="0.25">
      <c r="A2753" s="1">
        <v>46147</v>
      </c>
      <c r="B2753" t="s">
        <v>2940</v>
      </c>
      <c r="C2753" t="s">
        <v>106</v>
      </c>
      <c r="D2753" t="s">
        <v>121</v>
      </c>
      <c r="E2753" t="s">
        <v>72</v>
      </c>
      <c r="F2753" t="s">
        <v>26</v>
      </c>
      <c r="G2753" t="s">
        <v>44</v>
      </c>
      <c r="H2753" t="s">
        <v>124</v>
      </c>
      <c r="I2753" t="s">
        <v>29</v>
      </c>
      <c r="J2753" s="2">
        <v>8</v>
      </c>
      <c r="K2753" s="3">
        <v>5889.3</v>
      </c>
      <c r="L2753" s="3">
        <v>4601.29</v>
      </c>
      <c r="M2753" s="4">
        <v>0</v>
      </c>
      <c r="N2753" s="3">
        <f t="shared" si="210"/>
        <v>47114.400000000001</v>
      </c>
      <c r="O2753" s="3">
        <f t="shared" si="211"/>
        <v>47114.400000000001</v>
      </c>
      <c r="P2753" s="3">
        <f t="shared" si="212"/>
        <v>36810.32</v>
      </c>
      <c r="Q2753" s="3">
        <f t="shared" si="213"/>
        <v>10304.08</v>
      </c>
      <c r="R2753" s="4">
        <f t="shared" si="214"/>
        <v>0.21870000000000001</v>
      </c>
      <c r="S2753" s="2">
        <v>5</v>
      </c>
      <c r="T2753" t="s">
        <v>46</v>
      </c>
      <c r="U2753">
        <v>2</v>
      </c>
    </row>
    <row r="2754" spans="1:22" x14ac:dyDescent="0.25">
      <c r="A2754" s="1">
        <v>46044</v>
      </c>
      <c r="B2754" t="s">
        <v>2941</v>
      </c>
      <c r="C2754" t="s">
        <v>195</v>
      </c>
      <c r="D2754" t="s">
        <v>97</v>
      </c>
      <c r="E2754" t="s">
        <v>57</v>
      </c>
      <c r="F2754" t="s">
        <v>58</v>
      </c>
      <c r="G2754" t="s">
        <v>27</v>
      </c>
      <c r="H2754" t="s">
        <v>28</v>
      </c>
      <c r="I2754" t="s">
        <v>60</v>
      </c>
      <c r="J2754" s="2">
        <v>8</v>
      </c>
      <c r="K2754" s="3">
        <v>824.67</v>
      </c>
      <c r="L2754" s="3">
        <v>467.56</v>
      </c>
      <c r="M2754" s="4">
        <v>3.5000000000000003E-2</v>
      </c>
      <c r="N2754" s="3">
        <f t="shared" ref="N2754:N2817" si="215">ROUND(J2754*K2754,2)</f>
        <v>6597.36</v>
      </c>
      <c r="O2754" s="3">
        <f t="shared" ref="O2754:O2817" si="216">ROUND(N2754*(1-M2754),2)</f>
        <v>6366.45</v>
      </c>
      <c r="P2754" s="3">
        <f t="shared" ref="P2754:P2817" si="217">ROUND(J2754*L2754,2)</f>
        <v>3740.48</v>
      </c>
      <c r="Q2754" s="3">
        <f t="shared" ref="Q2754:Q2817" si="218">ROUND(O2754-P2754,2)</f>
        <v>2625.97</v>
      </c>
      <c r="R2754" s="4">
        <f t="shared" ref="R2754:R2817" si="219">IF(O2754=0,0,ROUND(Q2754/O2754,4))</f>
        <v>0.41249999999999998</v>
      </c>
      <c r="S2754" s="2">
        <v>9</v>
      </c>
      <c r="T2754" t="s">
        <v>46</v>
      </c>
      <c r="U2754">
        <v>2</v>
      </c>
    </row>
    <row r="2755" spans="1:22" x14ac:dyDescent="0.25">
      <c r="A2755" s="1">
        <v>46148</v>
      </c>
      <c r="B2755" t="s">
        <v>2942</v>
      </c>
      <c r="C2755" t="s">
        <v>198</v>
      </c>
      <c r="D2755" t="s">
        <v>63</v>
      </c>
      <c r="E2755" t="s">
        <v>35</v>
      </c>
      <c r="F2755" t="s">
        <v>26</v>
      </c>
      <c r="G2755" t="s">
        <v>37</v>
      </c>
      <c r="H2755" t="s">
        <v>178</v>
      </c>
      <c r="I2755" t="s">
        <v>87</v>
      </c>
      <c r="J2755" s="2">
        <v>4</v>
      </c>
      <c r="K2755" s="3">
        <v>515.54999999999995</v>
      </c>
      <c r="L2755" s="3">
        <v>248.25</v>
      </c>
      <c r="M2755" s="4">
        <v>7.1599999999999997E-2</v>
      </c>
      <c r="N2755" s="3">
        <f t="shared" si="215"/>
        <v>2062.1999999999998</v>
      </c>
      <c r="O2755" s="3">
        <f t="shared" si="216"/>
        <v>1914.55</v>
      </c>
      <c r="P2755" s="3">
        <f t="shared" si="217"/>
        <v>993</v>
      </c>
      <c r="Q2755" s="3">
        <f t="shared" si="218"/>
        <v>921.55</v>
      </c>
      <c r="R2755" s="4">
        <f t="shared" si="219"/>
        <v>0.48130000000000001</v>
      </c>
      <c r="S2755" s="2">
        <v>9</v>
      </c>
      <c r="T2755" t="s">
        <v>46</v>
      </c>
      <c r="U2755">
        <v>3</v>
      </c>
    </row>
    <row r="2756" spans="1:22" x14ac:dyDescent="0.25">
      <c r="A2756" s="1">
        <v>46109</v>
      </c>
      <c r="B2756" t="s">
        <v>2943</v>
      </c>
      <c r="C2756" t="s">
        <v>162</v>
      </c>
      <c r="D2756" t="s">
        <v>139</v>
      </c>
      <c r="E2756" t="s">
        <v>72</v>
      </c>
      <c r="F2756" t="s">
        <v>26</v>
      </c>
      <c r="G2756" t="s">
        <v>51</v>
      </c>
      <c r="H2756" t="s">
        <v>59</v>
      </c>
      <c r="I2756" t="s">
        <v>39</v>
      </c>
      <c r="J2756" s="2">
        <v>5</v>
      </c>
      <c r="K2756" s="3">
        <v>2285.6999999999998</v>
      </c>
      <c r="L2756" s="3">
        <v>1423.59</v>
      </c>
      <c r="M2756" s="4">
        <v>0</v>
      </c>
      <c r="N2756" s="3">
        <f t="shared" si="215"/>
        <v>11428.5</v>
      </c>
      <c r="O2756" s="3">
        <f t="shared" si="216"/>
        <v>11428.5</v>
      </c>
      <c r="P2756" s="3">
        <f t="shared" si="217"/>
        <v>7117.95</v>
      </c>
      <c r="Q2756" s="3">
        <f t="shared" si="218"/>
        <v>4310.55</v>
      </c>
      <c r="R2756" s="4">
        <f t="shared" si="219"/>
        <v>0.37719999999999998</v>
      </c>
      <c r="S2756" s="2">
        <v>2</v>
      </c>
      <c r="T2756" t="s">
        <v>46</v>
      </c>
      <c r="U2756">
        <v>2</v>
      </c>
    </row>
    <row r="2757" spans="1:22" x14ac:dyDescent="0.25">
      <c r="A2757" s="1">
        <v>46168</v>
      </c>
      <c r="B2757" t="s">
        <v>2944</v>
      </c>
      <c r="C2757" t="s">
        <v>288</v>
      </c>
      <c r="D2757" t="s">
        <v>43</v>
      </c>
      <c r="E2757" t="s">
        <v>25</v>
      </c>
      <c r="F2757" t="s">
        <v>58</v>
      </c>
      <c r="G2757" t="s">
        <v>44</v>
      </c>
      <c r="H2757" t="s">
        <v>124</v>
      </c>
      <c r="I2757" t="s">
        <v>53</v>
      </c>
      <c r="J2757" s="2">
        <v>1</v>
      </c>
      <c r="K2757" s="3">
        <v>6096.31</v>
      </c>
      <c r="L2757" s="3">
        <v>4457.2</v>
      </c>
      <c r="M2757" s="4">
        <v>3.5000000000000003E-2</v>
      </c>
      <c r="N2757" s="3">
        <f t="shared" si="215"/>
        <v>6096.31</v>
      </c>
      <c r="O2757" s="3">
        <f t="shared" si="216"/>
        <v>5882.94</v>
      </c>
      <c r="P2757" s="3">
        <f t="shared" si="217"/>
        <v>4457.2</v>
      </c>
      <c r="Q2757" s="3">
        <f t="shared" si="218"/>
        <v>1425.74</v>
      </c>
      <c r="R2757" s="4">
        <f t="shared" si="219"/>
        <v>0.2424</v>
      </c>
      <c r="S2757" s="2">
        <v>4</v>
      </c>
      <c r="T2757" t="s">
        <v>46</v>
      </c>
      <c r="U2757">
        <v>2</v>
      </c>
    </row>
    <row r="2758" spans="1:22" x14ac:dyDescent="0.25">
      <c r="A2758" s="1">
        <v>46055</v>
      </c>
      <c r="B2758" t="s">
        <v>2945</v>
      </c>
      <c r="C2758" t="s">
        <v>159</v>
      </c>
      <c r="D2758" t="s">
        <v>101</v>
      </c>
      <c r="E2758" t="s">
        <v>35</v>
      </c>
      <c r="F2758" t="s">
        <v>36</v>
      </c>
      <c r="G2758" t="s">
        <v>27</v>
      </c>
      <c r="H2758" t="s">
        <v>28</v>
      </c>
      <c r="I2758" t="s">
        <v>60</v>
      </c>
      <c r="J2758" s="2">
        <v>4</v>
      </c>
      <c r="K2758" s="3">
        <v>801.34</v>
      </c>
      <c r="L2758" s="3">
        <v>443.99</v>
      </c>
      <c r="M2758" s="4">
        <v>6.6100000000000006E-2</v>
      </c>
      <c r="N2758" s="3">
        <f t="shared" si="215"/>
        <v>3205.36</v>
      </c>
      <c r="O2758" s="3">
        <f t="shared" si="216"/>
        <v>2993.49</v>
      </c>
      <c r="P2758" s="3">
        <f t="shared" si="217"/>
        <v>1775.96</v>
      </c>
      <c r="Q2758" s="3">
        <f t="shared" si="218"/>
        <v>1217.53</v>
      </c>
      <c r="R2758" s="4">
        <f t="shared" si="219"/>
        <v>0.40670000000000001</v>
      </c>
      <c r="S2758" s="2">
        <v>9</v>
      </c>
      <c r="T2758" t="s">
        <v>46</v>
      </c>
      <c r="U2758">
        <v>3</v>
      </c>
    </row>
    <row r="2759" spans="1:22" x14ac:dyDescent="0.25">
      <c r="A2759" s="1">
        <v>46170</v>
      </c>
      <c r="B2759" t="s">
        <v>2946</v>
      </c>
      <c r="C2759" t="s">
        <v>115</v>
      </c>
      <c r="D2759" t="s">
        <v>24</v>
      </c>
      <c r="E2759" t="s">
        <v>25</v>
      </c>
      <c r="F2759" t="s">
        <v>64</v>
      </c>
      <c r="G2759" t="s">
        <v>44</v>
      </c>
      <c r="H2759" t="s">
        <v>73</v>
      </c>
      <c r="I2759" t="s">
        <v>53</v>
      </c>
      <c r="J2759" s="2">
        <v>2</v>
      </c>
      <c r="K2759" s="3">
        <v>1696.95</v>
      </c>
      <c r="L2759" s="3">
        <v>1115.05</v>
      </c>
      <c r="M2759" s="4">
        <v>0.12089999999999999</v>
      </c>
      <c r="N2759" s="3">
        <f t="shared" si="215"/>
        <v>3393.9</v>
      </c>
      <c r="O2759" s="3">
        <f t="shared" si="216"/>
        <v>2983.58</v>
      </c>
      <c r="P2759" s="3">
        <f t="shared" si="217"/>
        <v>2230.1</v>
      </c>
      <c r="Q2759" s="3">
        <f t="shared" si="218"/>
        <v>753.48</v>
      </c>
      <c r="R2759" s="4">
        <f t="shared" si="219"/>
        <v>0.2525</v>
      </c>
      <c r="S2759" s="2">
        <v>4</v>
      </c>
      <c r="T2759" t="s">
        <v>40</v>
      </c>
    </row>
    <row r="2760" spans="1:22" x14ac:dyDescent="0.25">
      <c r="A2760" s="1">
        <v>46103</v>
      </c>
      <c r="B2760" t="s">
        <v>2947</v>
      </c>
      <c r="C2760" t="s">
        <v>266</v>
      </c>
      <c r="D2760" t="s">
        <v>34</v>
      </c>
      <c r="E2760" t="s">
        <v>35</v>
      </c>
      <c r="F2760" t="s">
        <v>36</v>
      </c>
      <c r="G2760" t="s">
        <v>51</v>
      </c>
      <c r="H2760" t="s">
        <v>52</v>
      </c>
      <c r="I2760" t="s">
        <v>92</v>
      </c>
      <c r="J2760" s="2">
        <v>7</v>
      </c>
      <c r="K2760" s="3">
        <v>246.2</v>
      </c>
      <c r="L2760" s="3">
        <v>122.23</v>
      </c>
      <c r="M2760" s="4">
        <v>0.47320000000000001</v>
      </c>
      <c r="N2760" s="3">
        <f t="shared" si="215"/>
        <v>1723.4</v>
      </c>
      <c r="O2760" s="3">
        <f t="shared" si="216"/>
        <v>907.89</v>
      </c>
      <c r="P2760" s="3">
        <f t="shared" si="217"/>
        <v>855.61</v>
      </c>
      <c r="Q2760" s="3">
        <f t="shared" si="218"/>
        <v>52.28</v>
      </c>
      <c r="R2760" s="4">
        <f t="shared" si="219"/>
        <v>5.7599999999999998E-2</v>
      </c>
      <c r="S2760" s="2">
        <v>4</v>
      </c>
      <c r="T2760" t="s">
        <v>46</v>
      </c>
      <c r="U2760">
        <v>5</v>
      </c>
      <c r="V2760" t="s">
        <v>31</v>
      </c>
    </row>
    <row r="2761" spans="1:22" x14ac:dyDescent="0.25">
      <c r="A2761" s="1">
        <v>46028</v>
      </c>
      <c r="B2761" t="s">
        <v>2948</v>
      </c>
      <c r="C2761" t="s">
        <v>182</v>
      </c>
      <c r="D2761" t="s">
        <v>24</v>
      </c>
      <c r="E2761" t="s">
        <v>25</v>
      </c>
      <c r="F2761" t="s">
        <v>36</v>
      </c>
      <c r="G2761" t="s">
        <v>27</v>
      </c>
      <c r="H2761" t="s">
        <v>86</v>
      </c>
      <c r="I2761" t="s">
        <v>60</v>
      </c>
      <c r="J2761" s="2">
        <v>2</v>
      </c>
      <c r="K2761" s="3">
        <v>1942.01</v>
      </c>
      <c r="L2761" s="3">
        <v>1255.33</v>
      </c>
      <c r="M2761" s="4">
        <v>0</v>
      </c>
      <c r="N2761" s="3">
        <f t="shared" si="215"/>
        <v>3884.02</v>
      </c>
      <c r="O2761" s="3">
        <f t="shared" si="216"/>
        <v>3884.02</v>
      </c>
      <c r="P2761" s="3">
        <f t="shared" si="217"/>
        <v>2510.66</v>
      </c>
      <c r="Q2761" s="3">
        <f t="shared" si="218"/>
        <v>1373.36</v>
      </c>
      <c r="R2761" s="4">
        <f t="shared" si="219"/>
        <v>0.35360000000000003</v>
      </c>
      <c r="S2761" s="2">
        <v>7</v>
      </c>
      <c r="T2761" t="s">
        <v>46</v>
      </c>
      <c r="U2761">
        <v>3</v>
      </c>
    </row>
    <row r="2762" spans="1:22" x14ac:dyDescent="0.25">
      <c r="A2762" s="1">
        <v>46083</v>
      </c>
      <c r="B2762" t="s">
        <v>2949</v>
      </c>
      <c r="C2762" t="s">
        <v>336</v>
      </c>
      <c r="D2762" t="s">
        <v>56</v>
      </c>
      <c r="E2762" t="s">
        <v>57</v>
      </c>
      <c r="F2762" t="s">
        <v>58</v>
      </c>
      <c r="G2762" t="s">
        <v>37</v>
      </c>
      <c r="H2762" t="s">
        <v>178</v>
      </c>
      <c r="I2762" t="s">
        <v>94</v>
      </c>
      <c r="J2762" s="2">
        <v>8</v>
      </c>
      <c r="K2762" s="3">
        <v>536.58000000000004</v>
      </c>
      <c r="L2762" s="3">
        <v>230.8</v>
      </c>
      <c r="M2762" s="4">
        <v>0.1608</v>
      </c>
      <c r="N2762" s="3">
        <f t="shared" si="215"/>
        <v>4292.6400000000003</v>
      </c>
      <c r="O2762" s="3">
        <f t="shared" si="216"/>
        <v>3602.38</v>
      </c>
      <c r="P2762" s="3">
        <f t="shared" si="217"/>
        <v>1846.4</v>
      </c>
      <c r="Q2762" s="3">
        <f t="shared" si="218"/>
        <v>1755.98</v>
      </c>
      <c r="R2762" s="4">
        <f t="shared" si="219"/>
        <v>0.4874</v>
      </c>
      <c r="S2762" s="2">
        <v>7</v>
      </c>
      <c r="T2762" t="s">
        <v>46</v>
      </c>
      <c r="U2762">
        <v>3</v>
      </c>
    </row>
    <row r="2763" spans="1:22" x14ac:dyDescent="0.25">
      <c r="A2763" s="1">
        <v>46046</v>
      </c>
      <c r="B2763" t="s">
        <v>2950</v>
      </c>
      <c r="C2763" t="s">
        <v>112</v>
      </c>
      <c r="D2763" t="s">
        <v>71</v>
      </c>
      <c r="E2763" t="s">
        <v>72</v>
      </c>
      <c r="F2763" t="s">
        <v>36</v>
      </c>
      <c r="G2763" t="s">
        <v>37</v>
      </c>
      <c r="H2763" t="s">
        <v>178</v>
      </c>
      <c r="I2763" t="s">
        <v>29</v>
      </c>
      <c r="J2763" s="2">
        <v>6</v>
      </c>
      <c r="K2763" s="3">
        <v>492.85</v>
      </c>
      <c r="L2763" s="3">
        <v>253.77</v>
      </c>
      <c r="M2763" s="4">
        <v>1.4E-2</v>
      </c>
      <c r="N2763" s="3">
        <f t="shared" si="215"/>
        <v>2957.1</v>
      </c>
      <c r="O2763" s="3">
        <f t="shared" si="216"/>
        <v>2915.7</v>
      </c>
      <c r="P2763" s="3">
        <f t="shared" si="217"/>
        <v>1522.62</v>
      </c>
      <c r="Q2763" s="3">
        <f t="shared" si="218"/>
        <v>1393.08</v>
      </c>
      <c r="R2763" s="4">
        <f t="shared" si="219"/>
        <v>0.4778</v>
      </c>
      <c r="S2763" s="2">
        <v>5</v>
      </c>
      <c r="T2763" t="s">
        <v>46</v>
      </c>
      <c r="U2763">
        <v>4</v>
      </c>
    </row>
    <row r="2764" spans="1:22" x14ac:dyDescent="0.25">
      <c r="A2764" s="1">
        <v>46034</v>
      </c>
      <c r="B2764" t="s">
        <v>2951</v>
      </c>
      <c r="C2764" t="s">
        <v>142</v>
      </c>
      <c r="D2764" t="s">
        <v>139</v>
      </c>
      <c r="E2764" t="s">
        <v>72</v>
      </c>
      <c r="F2764" t="s">
        <v>26</v>
      </c>
      <c r="G2764" t="s">
        <v>37</v>
      </c>
      <c r="H2764" t="s">
        <v>104</v>
      </c>
      <c r="I2764" t="s">
        <v>77</v>
      </c>
      <c r="J2764" s="2">
        <v>3</v>
      </c>
      <c r="K2764" s="3">
        <v>334.7</v>
      </c>
      <c r="L2764" s="3">
        <v>142.08000000000001</v>
      </c>
      <c r="M2764" s="4">
        <v>2.5000000000000001E-2</v>
      </c>
      <c r="N2764" s="3">
        <f t="shared" si="215"/>
        <v>1004.1</v>
      </c>
      <c r="O2764" s="3">
        <f t="shared" si="216"/>
        <v>979</v>
      </c>
      <c r="P2764" s="3">
        <f t="shared" si="217"/>
        <v>426.24</v>
      </c>
      <c r="Q2764" s="3">
        <f t="shared" si="218"/>
        <v>552.76</v>
      </c>
      <c r="R2764" s="4">
        <f t="shared" si="219"/>
        <v>0.56459999999999999</v>
      </c>
      <c r="S2764" s="2">
        <v>3</v>
      </c>
      <c r="T2764" t="s">
        <v>46</v>
      </c>
      <c r="U2764">
        <v>4</v>
      </c>
    </row>
    <row r="2765" spans="1:22" x14ac:dyDescent="0.25">
      <c r="A2765" s="1">
        <v>46081</v>
      </c>
      <c r="B2765" t="s">
        <v>2952</v>
      </c>
      <c r="C2765" t="s">
        <v>216</v>
      </c>
      <c r="D2765" t="s">
        <v>34</v>
      </c>
      <c r="E2765" t="s">
        <v>35</v>
      </c>
      <c r="F2765" t="s">
        <v>58</v>
      </c>
      <c r="G2765" t="s">
        <v>37</v>
      </c>
      <c r="H2765" t="s">
        <v>104</v>
      </c>
      <c r="I2765" t="s">
        <v>53</v>
      </c>
      <c r="J2765" s="2">
        <v>8</v>
      </c>
      <c r="K2765" s="3">
        <v>312.14999999999998</v>
      </c>
      <c r="L2765" s="3">
        <v>139.05000000000001</v>
      </c>
      <c r="M2765" s="4">
        <v>3.5000000000000003E-2</v>
      </c>
      <c r="N2765" s="3">
        <f t="shared" si="215"/>
        <v>2497.1999999999998</v>
      </c>
      <c r="O2765" s="3">
        <f t="shared" si="216"/>
        <v>2409.8000000000002</v>
      </c>
      <c r="P2765" s="3">
        <f t="shared" si="217"/>
        <v>1112.4000000000001</v>
      </c>
      <c r="Q2765" s="3">
        <f t="shared" si="218"/>
        <v>1297.4000000000001</v>
      </c>
      <c r="R2765" s="4">
        <f t="shared" si="219"/>
        <v>0.53839999999999999</v>
      </c>
      <c r="S2765" s="2">
        <v>13</v>
      </c>
      <c r="T2765" t="s">
        <v>30</v>
      </c>
      <c r="U2765">
        <v>5</v>
      </c>
    </row>
    <row r="2766" spans="1:22" x14ac:dyDescent="0.25">
      <c r="A2766" s="1">
        <v>46089</v>
      </c>
      <c r="B2766" t="s">
        <v>2953</v>
      </c>
      <c r="C2766" t="s">
        <v>112</v>
      </c>
      <c r="D2766" t="s">
        <v>34</v>
      </c>
      <c r="E2766" t="s">
        <v>35</v>
      </c>
      <c r="F2766" t="s">
        <v>26</v>
      </c>
      <c r="G2766" t="s">
        <v>44</v>
      </c>
      <c r="H2766" t="s">
        <v>124</v>
      </c>
      <c r="I2766" t="s">
        <v>53</v>
      </c>
      <c r="J2766" s="2">
        <v>8</v>
      </c>
      <c r="K2766" s="3">
        <v>5680.21</v>
      </c>
      <c r="L2766" s="3">
        <v>4506.51</v>
      </c>
      <c r="M2766" s="4">
        <v>2.9100000000000001E-2</v>
      </c>
      <c r="N2766" s="3">
        <f t="shared" si="215"/>
        <v>45441.68</v>
      </c>
      <c r="O2766" s="3">
        <f t="shared" si="216"/>
        <v>44119.33</v>
      </c>
      <c r="P2766" s="3">
        <f t="shared" si="217"/>
        <v>36052.080000000002</v>
      </c>
      <c r="Q2766" s="3">
        <f t="shared" si="218"/>
        <v>8067.25</v>
      </c>
      <c r="R2766" s="4">
        <f t="shared" si="219"/>
        <v>0.18290000000000001</v>
      </c>
      <c r="S2766" s="2">
        <v>3</v>
      </c>
      <c r="T2766" t="s">
        <v>46</v>
      </c>
      <c r="U2766">
        <v>4</v>
      </c>
    </row>
    <row r="2767" spans="1:22" x14ac:dyDescent="0.25">
      <c r="A2767" s="1">
        <v>46133</v>
      </c>
      <c r="B2767" t="s">
        <v>2954</v>
      </c>
      <c r="C2767" t="s">
        <v>525</v>
      </c>
      <c r="D2767" t="s">
        <v>130</v>
      </c>
      <c r="E2767" t="s">
        <v>72</v>
      </c>
      <c r="F2767" t="s">
        <v>36</v>
      </c>
      <c r="G2767" t="s">
        <v>44</v>
      </c>
      <c r="H2767" t="s">
        <v>124</v>
      </c>
      <c r="I2767" t="s">
        <v>92</v>
      </c>
      <c r="J2767" s="2">
        <v>2</v>
      </c>
      <c r="K2767" s="3">
        <v>6181.46</v>
      </c>
      <c r="L2767" s="3">
        <v>4576.53</v>
      </c>
      <c r="M2767" s="4">
        <v>2.1299999999999999E-2</v>
      </c>
      <c r="N2767" s="3">
        <f t="shared" si="215"/>
        <v>12362.92</v>
      </c>
      <c r="O2767" s="3">
        <f t="shared" si="216"/>
        <v>12099.59</v>
      </c>
      <c r="P2767" s="3">
        <f t="shared" si="217"/>
        <v>9153.06</v>
      </c>
      <c r="Q2767" s="3">
        <f t="shared" si="218"/>
        <v>2946.53</v>
      </c>
      <c r="R2767" s="4">
        <f t="shared" si="219"/>
        <v>0.24349999999999999</v>
      </c>
      <c r="S2767" s="2">
        <v>4</v>
      </c>
      <c r="T2767" t="s">
        <v>46</v>
      </c>
      <c r="U2767">
        <v>3</v>
      </c>
    </row>
    <row r="2768" spans="1:22" x14ac:dyDescent="0.25">
      <c r="A2768" s="1">
        <v>46119</v>
      </c>
      <c r="B2768" t="s">
        <v>2955</v>
      </c>
      <c r="C2768" t="s">
        <v>146</v>
      </c>
      <c r="D2768" t="s">
        <v>56</v>
      </c>
      <c r="E2768" t="s">
        <v>57</v>
      </c>
      <c r="F2768" t="s">
        <v>26</v>
      </c>
      <c r="G2768" t="s">
        <v>37</v>
      </c>
      <c r="H2768" t="s">
        <v>38</v>
      </c>
      <c r="I2768" t="s">
        <v>92</v>
      </c>
      <c r="J2768" s="2">
        <v>3</v>
      </c>
      <c r="K2768" s="3">
        <v>419.8</v>
      </c>
      <c r="L2768" s="3">
        <v>190.21</v>
      </c>
      <c r="M2768" s="4">
        <v>4.1999999999999997E-3</v>
      </c>
      <c r="N2768" s="3">
        <f t="shared" si="215"/>
        <v>1259.4000000000001</v>
      </c>
      <c r="O2768" s="3">
        <f t="shared" si="216"/>
        <v>1254.1099999999999</v>
      </c>
      <c r="P2768" s="3">
        <f t="shared" si="217"/>
        <v>570.63</v>
      </c>
      <c r="Q2768" s="3">
        <f t="shared" si="218"/>
        <v>683.48</v>
      </c>
      <c r="R2768" s="4">
        <f t="shared" si="219"/>
        <v>0.54500000000000004</v>
      </c>
      <c r="S2768" s="2">
        <v>14</v>
      </c>
      <c r="T2768" t="s">
        <v>30</v>
      </c>
      <c r="U2768">
        <v>3</v>
      </c>
    </row>
    <row r="2769" spans="1:22" x14ac:dyDescent="0.25">
      <c r="A2769" s="1">
        <v>46168</v>
      </c>
      <c r="B2769" t="s">
        <v>2956</v>
      </c>
      <c r="C2769" t="s">
        <v>290</v>
      </c>
      <c r="D2769" t="s">
        <v>207</v>
      </c>
      <c r="E2769" t="s">
        <v>35</v>
      </c>
      <c r="F2769" t="s">
        <v>36</v>
      </c>
      <c r="G2769" t="s">
        <v>44</v>
      </c>
      <c r="H2769" t="s">
        <v>45</v>
      </c>
      <c r="I2769" t="s">
        <v>74</v>
      </c>
      <c r="J2769" s="2">
        <v>4</v>
      </c>
      <c r="K2769" s="3">
        <v>382.42</v>
      </c>
      <c r="L2769" s="3">
        <v>215.94</v>
      </c>
      <c r="M2769" s="4">
        <v>0</v>
      </c>
      <c r="N2769" s="3">
        <f t="shared" si="215"/>
        <v>1529.68</v>
      </c>
      <c r="O2769" s="3">
        <f t="shared" si="216"/>
        <v>1529.68</v>
      </c>
      <c r="P2769" s="3">
        <f t="shared" si="217"/>
        <v>863.76</v>
      </c>
      <c r="Q2769" s="3">
        <f t="shared" si="218"/>
        <v>665.92</v>
      </c>
      <c r="R2769" s="4">
        <f t="shared" si="219"/>
        <v>0.43530000000000002</v>
      </c>
      <c r="S2769" s="2">
        <v>13</v>
      </c>
      <c r="T2769" t="s">
        <v>30</v>
      </c>
      <c r="U2769">
        <v>2</v>
      </c>
    </row>
    <row r="2770" spans="1:22" x14ac:dyDescent="0.25">
      <c r="A2770" s="1">
        <v>46089</v>
      </c>
      <c r="B2770" t="s">
        <v>2957</v>
      </c>
      <c r="C2770" t="s">
        <v>166</v>
      </c>
      <c r="D2770" t="s">
        <v>126</v>
      </c>
      <c r="E2770" t="s">
        <v>57</v>
      </c>
      <c r="F2770" t="s">
        <v>64</v>
      </c>
      <c r="G2770" t="s">
        <v>37</v>
      </c>
      <c r="H2770" t="s">
        <v>104</v>
      </c>
      <c r="I2770" t="s">
        <v>87</v>
      </c>
      <c r="J2770" s="2">
        <v>1</v>
      </c>
      <c r="K2770" s="3">
        <v>307.88</v>
      </c>
      <c r="L2770" s="3">
        <v>137.47</v>
      </c>
      <c r="M2770" s="4">
        <v>0.1298</v>
      </c>
      <c r="N2770" s="3">
        <f t="shared" si="215"/>
        <v>307.88</v>
      </c>
      <c r="O2770" s="3">
        <f t="shared" si="216"/>
        <v>267.92</v>
      </c>
      <c r="P2770" s="3">
        <f t="shared" si="217"/>
        <v>137.47</v>
      </c>
      <c r="Q2770" s="3">
        <f t="shared" si="218"/>
        <v>130.44999999999999</v>
      </c>
      <c r="R2770" s="4">
        <f t="shared" si="219"/>
        <v>0.4869</v>
      </c>
      <c r="S2770" s="2">
        <v>2</v>
      </c>
      <c r="T2770" t="s">
        <v>46</v>
      </c>
      <c r="U2770">
        <v>5</v>
      </c>
    </row>
    <row r="2771" spans="1:22" x14ac:dyDescent="0.25">
      <c r="A2771" s="1">
        <v>46128</v>
      </c>
      <c r="B2771" t="s">
        <v>2958</v>
      </c>
      <c r="C2771" t="s">
        <v>308</v>
      </c>
      <c r="D2771" t="s">
        <v>113</v>
      </c>
      <c r="E2771" t="s">
        <v>50</v>
      </c>
      <c r="F2771" t="s">
        <v>64</v>
      </c>
      <c r="G2771" t="s">
        <v>37</v>
      </c>
      <c r="H2771" t="s">
        <v>178</v>
      </c>
      <c r="I2771" t="s">
        <v>39</v>
      </c>
      <c r="J2771" s="2">
        <v>4</v>
      </c>
      <c r="K2771" s="3">
        <v>501.65</v>
      </c>
      <c r="L2771" s="3">
        <v>249.3</v>
      </c>
      <c r="M2771" s="4">
        <v>5.6099999999999997E-2</v>
      </c>
      <c r="N2771" s="3">
        <f t="shared" si="215"/>
        <v>2006.6</v>
      </c>
      <c r="O2771" s="3">
        <f t="shared" si="216"/>
        <v>1894.03</v>
      </c>
      <c r="P2771" s="3">
        <f t="shared" si="217"/>
        <v>997.2</v>
      </c>
      <c r="Q2771" s="3">
        <f t="shared" si="218"/>
        <v>896.83</v>
      </c>
      <c r="R2771" s="4">
        <f t="shared" si="219"/>
        <v>0.47349999999999998</v>
      </c>
      <c r="S2771" s="2">
        <v>2</v>
      </c>
      <c r="T2771" t="s">
        <v>46</v>
      </c>
      <c r="U2771">
        <v>3</v>
      </c>
    </row>
    <row r="2772" spans="1:22" x14ac:dyDescent="0.25">
      <c r="A2772" s="1">
        <v>46043</v>
      </c>
      <c r="B2772" t="s">
        <v>2959</v>
      </c>
      <c r="C2772" t="s">
        <v>211</v>
      </c>
      <c r="D2772" t="s">
        <v>49</v>
      </c>
      <c r="E2772" t="s">
        <v>50</v>
      </c>
      <c r="F2772" t="s">
        <v>64</v>
      </c>
      <c r="G2772" t="s">
        <v>51</v>
      </c>
      <c r="H2772" t="s">
        <v>52</v>
      </c>
      <c r="I2772" t="s">
        <v>65</v>
      </c>
      <c r="J2772" s="2">
        <v>6</v>
      </c>
      <c r="K2772" s="3">
        <v>258</v>
      </c>
      <c r="L2772" s="3">
        <v>119.49</v>
      </c>
      <c r="M2772" s="4">
        <v>0</v>
      </c>
      <c r="N2772" s="3">
        <f t="shared" si="215"/>
        <v>1548</v>
      </c>
      <c r="O2772" s="3">
        <f t="shared" si="216"/>
        <v>1548</v>
      </c>
      <c r="P2772" s="3">
        <f t="shared" si="217"/>
        <v>716.94</v>
      </c>
      <c r="Q2772" s="3">
        <f t="shared" si="218"/>
        <v>831.06</v>
      </c>
      <c r="R2772" s="4">
        <f t="shared" si="219"/>
        <v>0.53690000000000004</v>
      </c>
      <c r="S2772" s="2">
        <v>12</v>
      </c>
      <c r="T2772" t="s">
        <v>30</v>
      </c>
      <c r="U2772">
        <v>4</v>
      </c>
    </row>
    <row r="2773" spans="1:22" x14ac:dyDescent="0.25">
      <c r="A2773" s="1">
        <v>46077</v>
      </c>
      <c r="B2773" t="s">
        <v>2960</v>
      </c>
      <c r="C2773" t="s">
        <v>384</v>
      </c>
      <c r="D2773" t="s">
        <v>101</v>
      </c>
      <c r="E2773" t="s">
        <v>35</v>
      </c>
      <c r="F2773" t="s">
        <v>36</v>
      </c>
      <c r="G2773" t="s">
        <v>37</v>
      </c>
      <c r="H2773" t="s">
        <v>104</v>
      </c>
      <c r="I2773" t="s">
        <v>53</v>
      </c>
      <c r="J2773" s="2">
        <v>6</v>
      </c>
      <c r="K2773" s="3">
        <v>309.68</v>
      </c>
      <c r="L2773" s="3">
        <v>136.34</v>
      </c>
      <c r="M2773" s="4">
        <v>7.3499999999999996E-2</v>
      </c>
      <c r="N2773" s="3">
        <f t="shared" si="215"/>
        <v>1858.08</v>
      </c>
      <c r="O2773" s="3">
        <f t="shared" si="216"/>
        <v>1721.51</v>
      </c>
      <c r="P2773" s="3">
        <f t="shared" si="217"/>
        <v>818.04</v>
      </c>
      <c r="Q2773" s="3">
        <f t="shared" si="218"/>
        <v>903.47</v>
      </c>
      <c r="R2773" s="4">
        <f t="shared" si="219"/>
        <v>0.52480000000000004</v>
      </c>
      <c r="S2773" s="2">
        <v>4</v>
      </c>
      <c r="T2773" t="s">
        <v>46</v>
      </c>
      <c r="U2773">
        <v>5</v>
      </c>
    </row>
    <row r="2774" spans="1:22" x14ac:dyDescent="0.25">
      <c r="A2774" s="1">
        <v>46217</v>
      </c>
      <c r="B2774" t="s">
        <v>2961</v>
      </c>
      <c r="C2774" t="s">
        <v>523</v>
      </c>
      <c r="D2774" t="s">
        <v>85</v>
      </c>
      <c r="E2774" t="s">
        <v>50</v>
      </c>
      <c r="F2774" t="s">
        <v>64</v>
      </c>
      <c r="G2774" t="s">
        <v>37</v>
      </c>
      <c r="H2774" t="s">
        <v>104</v>
      </c>
      <c r="I2774" t="s">
        <v>39</v>
      </c>
      <c r="J2774" s="2">
        <v>4</v>
      </c>
      <c r="K2774" s="3">
        <v>329.1</v>
      </c>
      <c r="L2774" s="3">
        <v>140.02000000000001</v>
      </c>
      <c r="M2774" s="4">
        <v>0.1278</v>
      </c>
      <c r="N2774" s="3">
        <f t="shared" si="215"/>
        <v>1316.4</v>
      </c>
      <c r="O2774" s="3">
        <f t="shared" si="216"/>
        <v>1148.1600000000001</v>
      </c>
      <c r="P2774" s="3">
        <f t="shared" si="217"/>
        <v>560.08000000000004</v>
      </c>
      <c r="Q2774" s="3">
        <f t="shared" si="218"/>
        <v>588.08000000000004</v>
      </c>
      <c r="R2774" s="4">
        <f t="shared" si="219"/>
        <v>0.51219999999999999</v>
      </c>
      <c r="S2774" s="2">
        <v>13</v>
      </c>
      <c r="T2774" t="s">
        <v>30</v>
      </c>
      <c r="U2774">
        <v>4</v>
      </c>
    </row>
    <row r="2775" spans="1:22" x14ac:dyDescent="0.25">
      <c r="A2775" s="1">
        <v>46098</v>
      </c>
      <c r="B2775" t="s">
        <v>2962</v>
      </c>
      <c r="C2775" t="s">
        <v>89</v>
      </c>
      <c r="D2775" t="s">
        <v>63</v>
      </c>
      <c r="E2775" t="s">
        <v>35</v>
      </c>
      <c r="F2775" t="s">
        <v>26</v>
      </c>
      <c r="G2775" t="s">
        <v>27</v>
      </c>
      <c r="H2775" t="s">
        <v>68</v>
      </c>
      <c r="I2775" t="s">
        <v>77</v>
      </c>
      <c r="J2775" s="2">
        <v>6</v>
      </c>
      <c r="K2775" s="3">
        <v>1225.24</v>
      </c>
      <c r="L2775" s="3">
        <v>745.13</v>
      </c>
      <c r="M2775" s="4">
        <v>9.2200000000000004E-2</v>
      </c>
      <c r="N2775" s="3">
        <f t="shared" si="215"/>
        <v>7351.44</v>
      </c>
      <c r="O2775" s="3">
        <f t="shared" si="216"/>
        <v>6673.64</v>
      </c>
      <c r="P2775" s="3">
        <f t="shared" si="217"/>
        <v>4470.78</v>
      </c>
      <c r="Q2775" s="3">
        <f t="shared" si="218"/>
        <v>2202.86</v>
      </c>
      <c r="R2775" s="4">
        <f t="shared" si="219"/>
        <v>0.3301</v>
      </c>
      <c r="S2775" s="2">
        <v>6</v>
      </c>
      <c r="T2775" t="s">
        <v>46</v>
      </c>
      <c r="U2775">
        <v>2</v>
      </c>
    </row>
    <row r="2776" spans="1:22" x14ac:dyDescent="0.25">
      <c r="A2776" s="1">
        <v>46119</v>
      </c>
      <c r="B2776" t="s">
        <v>2963</v>
      </c>
      <c r="C2776" t="s">
        <v>103</v>
      </c>
      <c r="D2776" t="s">
        <v>126</v>
      </c>
      <c r="E2776" t="s">
        <v>57</v>
      </c>
      <c r="F2776" t="s">
        <v>64</v>
      </c>
      <c r="G2776" t="s">
        <v>37</v>
      </c>
      <c r="H2776" t="s">
        <v>104</v>
      </c>
      <c r="I2776" t="s">
        <v>29</v>
      </c>
      <c r="J2776" s="2">
        <v>3</v>
      </c>
      <c r="K2776" s="3">
        <v>315.20999999999998</v>
      </c>
      <c r="L2776" s="3">
        <v>135.57</v>
      </c>
      <c r="M2776" s="4">
        <v>0</v>
      </c>
      <c r="N2776" s="3">
        <f t="shared" si="215"/>
        <v>945.63</v>
      </c>
      <c r="O2776" s="3">
        <f t="shared" si="216"/>
        <v>945.63</v>
      </c>
      <c r="P2776" s="3">
        <f t="shared" si="217"/>
        <v>406.71</v>
      </c>
      <c r="Q2776" s="3">
        <f t="shared" si="218"/>
        <v>538.91999999999996</v>
      </c>
      <c r="R2776" s="4">
        <f t="shared" si="219"/>
        <v>0.56989999999999996</v>
      </c>
      <c r="S2776" s="2">
        <v>33</v>
      </c>
      <c r="T2776" t="s">
        <v>30</v>
      </c>
      <c r="U2776">
        <v>1</v>
      </c>
      <c r="V2776" t="s">
        <v>208</v>
      </c>
    </row>
    <row r="2777" spans="1:22" x14ac:dyDescent="0.25">
      <c r="A2777" s="1">
        <v>46225</v>
      </c>
      <c r="B2777" t="s">
        <v>2964</v>
      </c>
      <c r="C2777" t="s">
        <v>247</v>
      </c>
      <c r="D2777" t="s">
        <v>43</v>
      </c>
      <c r="E2777" t="s">
        <v>25</v>
      </c>
      <c r="F2777" t="s">
        <v>36</v>
      </c>
      <c r="G2777" t="s">
        <v>44</v>
      </c>
      <c r="H2777" t="s">
        <v>73</v>
      </c>
      <c r="I2777" t="s">
        <v>60</v>
      </c>
      <c r="J2777" s="2">
        <v>4</v>
      </c>
      <c r="K2777" s="3">
        <v>1625.65</v>
      </c>
      <c r="L2777" s="3">
        <v>1119.68</v>
      </c>
      <c r="M2777" s="4">
        <v>0.11509999999999999</v>
      </c>
      <c r="N2777" s="3">
        <f t="shared" si="215"/>
        <v>6502.6</v>
      </c>
      <c r="O2777" s="3">
        <f t="shared" si="216"/>
        <v>5754.15</v>
      </c>
      <c r="P2777" s="3">
        <f t="shared" si="217"/>
        <v>4478.72</v>
      </c>
      <c r="Q2777" s="3">
        <f t="shared" si="218"/>
        <v>1275.43</v>
      </c>
      <c r="R2777" s="4">
        <f t="shared" si="219"/>
        <v>0.22170000000000001</v>
      </c>
      <c r="S2777" s="2">
        <v>14</v>
      </c>
      <c r="T2777" t="s">
        <v>30</v>
      </c>
      <c r="U2777">
        <v>4</v>
      </c>
    </row>
    <row r="2778" spans="1:22" x14ac:dyDescent="0.25">
      <c r="A2778" s="1">
        <v>46114</v>
      </c>
      <c r="B2778" t="s">
        <v>2965</v>
      </c>
      <c r="C2778" t="s">
        <v>358</v>
      </c>
      <c r="D2778" t="s">
        <v>63</v>
      </c>
      <c r="E2778" t="s">
        <v>35</v>
      </c>
      <c r="F2778" t="s">
        <v>64</v>
      </c>
      <c r="G2778" t="s">
        <v>37</v>
      </c>
      <c r="H2778" t="s">
        <v>104</v>
      </c>
      <c r="I2778" t="s">
        <v>53</v>
      </c>
      <c r="J2778" s="2">
        <v>4</v>
      </c>
      <c r="K2778" s="3">
        <v>328.74</v>
      </c>
      <c r="L2778" s="3">
        <v>134.97</v>
      </c>
      <c r="M2778" s="4">
        <v>0</v>
      </c>
      <c r="N2778" s="3">
        <f t="shared" si="215"/>
        <v>1314.96</v>
      </c>
      <c r="O2778" s="3">
        <f t="shared" si="216"/>
        <v>1314.96</v>
      </c>
      <c r="P2778" s="3">
        <f t="shared" si="217"/>
        <v>539.88</v>
      </c>
      <c r="Q2778" s="3">
        <f t="shared" si="218"/>
        <v>775.08</v>
      </c>
      <c r="R2778" s="4">
        <f t="shared" si="219"/>
        <v>0.58940000000000003</v>
      </c>
      <c r="S2778" s="2">
        <v>13</v>
      </c>
      <c r="T2778" t="s">
        <v>30</v>
      </c>
      <c r="U2778">
        <v>3</v>
      </c>
    </row>
    <row r="2779" spans="1:22" x14ac:dyDescent="0.25">
      <c r="A2779" s="1">
        <v>46164</v>
      </c>
      <c r="B2779" t="s">
        <v>2966</v>
      </c>
      <c r="C2779" t="s">
        <v>70</v>
      </c>
      <c r="D2779" t="s">
        <v>43</v>
      </c>
      <c r="E2779" t="s">
        <v>25</v>
      </c>
      <c r="F2779" t="s">
        <v>36</v>
      </c>
      <c r="G2779" t="s">
        <v>44</v>
      </c>
      <c r="H2779" t="s">
        <v>124</v>
      </c>
      <c r="I2779" t="s">
        <v>87</v>
      </c>
      <c r="J2779" s="2">
        <v>1</v>
      </c>
      <c r="K2779" s="3">
        <v>5652.16</v>
      </c>
      <c r="L2779" s="3">
        <v>4332.4799999999996</v>
      </c>
      <c r="M2779" s="4">
        <v>0</v>
      </c>
      <c r="N2779" s="3">
        <f t="shared" si="215"/>
        <v>5652.16</v>
      </c>
      <c r="O2779" s="3">
        <f t="shared" si="216"/>
        <v>5652.16</v>
      </c>
      <c r="P2779" s="3">
        <f t="shared" si="217"/>
        <v>4332.4799999999996</v>
      </c>
      <c r="Q2779" s="3">
        <f t="shared" si="218"/>
        <v>1319.68</v>
      </c>
      <c r="R2779" s="4">
        <f t="shared" si="219"/>
        <v>0.23350000000000001</v>
      </c>
      <c r="S2779" s="2">
        <v>2</v>
      </c>
      <c r="T2779" t="s">
        <v>46</v>
      </c>
      <c r="U2779">
        <v>4</v>
      </c>
    </row>
    <row r="2780" spans="1:22" x14ac:dyDescent="0.25">
      <c r="A2780" s="1">
        <v>46203</v>
      </c>
      <c r="B2780" t="s">
        <v>2967</v>
      </c>
      <c r="C2780" t="s">
        <v>240</v>
      </c>
      <c r="D2780" t="s">
        <v>63</v>
      </c>
      <c r="E2780" t="s">
        <v>35</v>
      </c>
      <c r="F2780" t="s">
        <v>58</v>
      </c>
      <c r="G2780" t="s">
        <v>51</v>
      </c>
      <c r="H2780" t="s">
        <v>52</v>
      </c>
      <c r="I2780" t="s">
        <v>77</v>
      </c>
      <c r="J2780" s="2">
        <v>3</v>
      </c>
      <c r="K2780" s="3">
        <v>252.8</v>
      </c>
      <c r="L2780" s="3">
        <v>123.48</v>
      </c>
      <c r="M2780" s="4">
        <v>7.1499999999999994E-2</v>
      </c>
      <c r="N2780" s="3">
        <f t="shared" si="215"/>
        <v>758.4</v>
      </c>
      <c r="O2780" s="3">
        <f t="shared" si="216"/>
        <v>704.17</v>
      </c>
      <c r="P2780" s="3">
        <f t="shared" si="217"/>
        <v>370.44</v>
      </c>
      <c r="Q2780" s="3">
        <f t="shared" si="218"/>
        <v>333.73</v>
      </c>
      <c r="R2780" s="4">
        <f t="shared" si="219"/>
        <v>0.47389999999999999</v>
      </c>
      <c r="S2780" s="2">
        <v>3</v>
      </c>
      <c r="T2780" t="s">
        <v>46</v>
      </c>
      <c r="U2780">
        <v>3</v>
      </c>
    </row>
    <row r="2781" spans="1:22" x14ac:dyDescent="0.25">
      <c r="A2781" s="1">
        <v>46181</v>
      </c>
      <c r="B2781" t="s">
        <v>2968</v>
      </c>
      <c r="C2781" t="s">
        <v>134</v>
      </c>
      <c r="D2781" t="s">
        <v>56</v>
      </c>
      <c r="E2781" t="s">
        <v>57</v>
      </c>
      <c r="F2781" t="s">
        <v>26</v>
      </c>
      <c r="G2781" t="s">
        <v>44</v>
      </c>
      <c r="H2781" t="s">
        <v>124</v>
      </c>
      <c r="I2781" t="s">
        <v>92</v>
      </c>
      <c r="J2781" s="2">
        <v>3</v>
      </c>
      <c r="K2781" s="3">
        <v>5537.03</v>
      </c>
      <c r="L2781" s="3">
        <v>4290.07</v>
      </c>
      <c r="M2781" s="4">
        <v>0</v>
      </c>
      <c r="N2781" s="3">
        <f t="shared" si="215"/>
        <v>16611.09</v>
      </c>
      <c r="O2781" s="3">
        <f t="shared" si="216"/>
        <v>16611.09</v>
      </c>
      <c r="P2781" s="3">
        <f t="shared" si="217"/>
        <v>12870.21</v>
      </c>
      <c r="Q2781" s="3">
        <f t="shared" si="218"/>
        <v>3740.88</v>
      </c>
      <c r="R2781" s="4">
        <f t="shared" si="219"/>
        <v>0.22520000000000001</v>
      </c>
      <c r="S2781" s="2">
        <v>2</v>
      </c>
      <c r="T2781" t="s">
        <v>46</v>
      </c>
      <c r="U2781">
        <v>4</v>
      </c>
    </row>
    <row r="2782" spans="1:22" x14ac:dyDescent="0.25">
      <c r="A2782" s="1">
        <v>46224</v>
      </c>
      <c r="B2782" t="s">
        <v>2969</v>
      </c>
      <c r="C2782" t="s">
        <v>687</v>
      </c>
      <c r="D2782" t="s">
        <v>24</v>
      </c>
      <c r="E2782" t="s">
        <v>25</v>
      </c>
      <c r="F2782" t="s">
        <v>26</v>
      </c>
      <c r="G2782" t="s">
        <v>51</v>
      </c>
      <c r="H2782" t="s">
        <v>116</v>
      </c>
      <c r="I2782" t="s">
        <v>74</v>
      </c>
      <c r="J2782" s="2">
        <v>3</v>
      </c>
      <c r="K2782" s="3">
        <v>2906.14</v>
      </c>
      <c r="L2782" s="3">
        <v>1903.59</v>
      </c>
      <c r="M2782" s="4">
        <v>0</v>
      </c>
      <c r="N2782" s="3">
        <f t="shared" si="215"/>
        <v>8718.42</v>
      </c>
      <c r="O2782" s="3">
        <f t="shared" si="216"/>
        <v>8718.42</v>
      </c>
      <c r="P2782" s="3">
        <f t="shared" si="217"/>
        <v>5710.77</v>
      </c>
      <c r="Q2782" s="3">
        <f t="shared" si="218"/>
        <v>3007.65</v>
      </c>
      <c r="R2782" s="4">
        <f t="shared" si="219"/>
        <v>0.34499999999999997</v>
      </c>
      <c r="S2782" s="2">
        <v>11</v>
      </c>
      <c r="T2782" t="s">
        <v>30</v>
      </c>
      <c r="U2782">
        <v>3</v>
      </c>
    </row>
    <row r="2783" spans="1:22" x14ac:dyDescent="0.25">
      <c r="A2783" s="1">
        <v>46210</v>
      </c>
      <c r="B2783" t="s">
        <v>2970</v>
      </c>
      <c r="C2783" t="s">
        <v>527</v>
      </c>
      <c r="D2783" t="s">
        <v>139</v>
      </c>
      <c r="E2783" t="s">
        <v>72</v>
      </c>
      <c r="F2783" t="s">
        <v>58</v>
      </c>
      <c r="G2783" t="s">
        <v>37</v>
      </c>
      <c r="H2783" t="s">
        <v>104</v>
      </c>
      <c r="I2783" t="s">
        <v>29</v>
      </c>
      <c r="J2783" s="2">
        <v>1</v>
      </c>
      <c r="K2783" s="3">
        <v>307.07</v>
      </c>
      <c r="L2783" s="3">
        <v>139.44</v>
      </c>
      <c r="M2783" s="4">
        <v>3.5000000000000003E-2</v>
      </c>
      <c r="N2783" s="3">
        <f t="shared" si="215"/>
        <v>307.07</v>
      </c>
      <c r="O2783" s="3">
        <f t="shared" si="216"/>
        <v>296.32</v>
      </c>
      <c r="P2783" s="3">
        <f t="shared" si="217"/>
        <v>139.44</v>
      </c>
      <c r="Q2783" s="3">
        <f t="shared" si="218"/>
        <v>156.88</v>
      </c>
      <c r="R2783" s="4">
        <f t="shared" si="219"/>
        <v>0.52939999999999998</v>
      </c>
      <c r="S2783" s="2">
        <v>11</v>
      </c>
      <c r="T2783" t="s">
        <v>30</v>
      </c>
      <c r="U2783">
        <v>3</v>
      </c>
    </row>
    <row r="2784" spans="1:22" x14ac:dyDescent="0.25">
      <c r="A2784" s="1">
        <v>46114</v>
      </c>
      <c r="B2784" t="s">
        <v>2971</v>
      </c>
      <c r="C2784" t="s">
        <v>251</v>
      </c>
      <c r="D2784" t="s">
        <v>97</v>
      </c>
      <c r="E2784" t="s">
        <v>57</v>
      </c>
      <c r="F2784" t="s">
        <v>26</v>
      </c>
      <c r="G2784" t="s">
        <v>44</v>
      </c>
      <c r="H2784" t="s">
        <v>45</v>
      </c>
      <c r="I2784" t="s">
        <v>94</v>
      </c>
      <c r="J2784" s="2">
        <v>6</v>
      </c>
      <c r="K2784" s="3">
        <v>374.52</v>
      </c>
      <c r="L2784" s="3">
        <v>204.81</v>
      </c>
      <c r="M2784" s="4">
        <v>1.4E-2</v>
      </c>
      <c r="N2784" s="3">
        <f t="shared" si="215"/>
        <v>2247.12</v>
      </c>
      <c r="O2784" s="3">
        <f t="shared" si="216"/>
        <v>2215.66</v>
      </c>
      <c r="P2784" s="3">
        <f t="shared" si="217"/>
        <v>1228.8599999999999</v>
      </c>
      <c r="Q2784" s="3">
        <f t="shared" si="218"/>
        <v>986.8</v>
      </c>
      <c r="R2784" s="4">
        <f t="shared" si="219"/>
        <v>0.44540000000000002</v>
      </c>
      <c r="S2784" s="2">
        <v>2</v>
      </c>
      <c r="T2784" t="s">
        <v>46</v>
      </c>
      <c r="U2784">
        <v>2</v>
      </c>
    </row>
    <row r="2785" spans="1:21" x14ac:dyDescent="0.25">
      <c r="A2785" s="1">
        <v>46181</v>
      </c>
      <c r="B2785" t="s">
        <v>2972</v>
      </c>
      <c r="C2785" t="s">
        <v>108</v>
      </c>
      <c r="D2785" t="s">
        <v>49</v>
      </c>
      <c r="E2785" t="s">
        <v>50</v>
      </c>
      <c r="F2785" t="s">
        <v>64</v>
      </c>
      <c r="G2785" t="s">
        <v>37</v>
      </c>
      <c r="H2785" t="s">
        <v>104</v>
      </c>
      <c r="I2785" t="s">
        <v>53</v>
      </c>
      <c r="J2785" s="2">
        <v>2</v>
      </c>
      <c r="K2785" s="3">
        <v>302.69</v>
      </c>
      <c r="L2785" s="3">
        <v>136.02000000000001</v>
      </c>
      <c r="M2785" s="4">
        <v>7.7000000000000002E-3</v>
      </c>
      <c r="N2785" s="3">
        <f t="shared" si="215"/>
        <v>605.38</v>
      </c>
      <c r="O2785" s="3">
        <f t="shared" si="216"/>
        <v>600.72</v>
      </c>
      <c r="P2785" s="3">
        <f t="shared" si="217"/>
        <v>272.04000000000002</v>
      </c>
      <c r="Q2785" s="3">
        <f t="shared" si="218"/>
        <v>328.68</v>
      </c>
      <c r="R2785" s="4">
        <f t="shared" si="219"/>
        <v>0.54710000000000003</v>
      </c>
      <c r="S2785" s="2">
        <v>14</v>
      </c>
      <c r="T2785" t="s">
        <v>30</v>
      </c>
      <c r="U2785">
        <v>2</v>
      </c>
    </row>
    <row r="2786" spans="1:21" x14ac:dyDescent="0.25">
      <c r="A2786" s="1">
        <v>46132</v>
      </c>
      <c r="B2786" t="s">
        <v>2973</v>
      </c>
      <c r="C2786" t="s">
        <v>164</v>
      </c>
      <c r="D2786" t="s">
        <v>24</v>
      </c>
      <c r="E2786" t="s">
        <v>25</v>
      </c>
      <c r="F2786" t="s">
        <v>36</v>
      </c>
      <c r="G2786" t="s">
        <v>51</v>
      </c>
      <c r="H2786" t="s">
        <v>52</v>
      </c>
      <c r="I2786" t="s">
        <v>29</v>
      </c>
      <c r="J2786" s="2">
        <v>3</v>
      </c>
      <c r="K2786" s="3">
        <v>263.76</v>
      </c>
      <c r="L2786" s="3">
        <v>123.95</v>
      </c>
      <c r="M2786" s="4">
        <v>7.6600000000000001E-2</v>
      </c>
      <c r="N2786" s="3">
        <f t="shared" si="215"/>
        <v>791.28</v>
      </c>
      <c r="O2786" s="3">
        <f t="shared" si="216"/>
        <v>730.67</v>
      </c>
      <c r="P2786" s="3">
        <f t="shared" si="217"/>
        <v>371.85</v>
      </c>
      <c r="Q2786" s="3">
        <f t="shared" si="218"/>
        <v>358.82</v>
      </c>
      <c r="R2786" s="4">
        <f t="shared" si="219"/>
        <v>0.49109999999999998</v>
      </c>
      <c r="S2786" s="2">
        <v>8</v>
      </c>
      <c r="T2786" t="s">
        <v>46</v>
      </c>
      <c r="U2786">
        <v>2</v>
      </c>
    </row>
    <row r="2787" spans="1:21" x14ac:dyDescent="0.25">
      <c r="A2787" s="1">
        <v>46131</v>
      </c>
      <c r="B2787" t="s">
        <v>2974</v>
      </c>
      <c r="C2787" t="s">
        <v>687</v>
      </c>
      <c r="D2787" t="s">
        <v>121</v>
      </c>
      <c r="E2787" t="s">
        <v>72</v>
      </c>
      <c r="F2787" t="s">
        <v>58</v>
      </c>
      <c r="G2787" t="s">
        <v>44</v>
      </c>
      <c r="H2787" t="s">
        <v>45</v>
      </c>
      <c r="I2787" t="s">
        <v>53</v>
      </c>
      <c r="J2787" s="2">
        <v>8</v>
      </c>
      <c r="K2787" s="3">
        <v>377.44</v>
      </c>
      <c r="L2787" s="3">
        <v>210.15</v>
      </c>
      <c r="M2787" s="4">
        <v>0.11119999999999999</v>
      </c>
      <c r="N2787" s="3">
        <f t="shared" si="215"/>
        <v>3019.52</v>
      </c>
      <c r="O2787" s="3">
        <f t="shared" si="216"/>
        <v>2683.75</v>
      </c>
      <c r="P2787" s="3">
        <f t="shared" si="217"/>
        <v>1681.2</v>
      </c>
      <c r="Q2787" s="3">
        <f t="shared" si="218"/>
        <v>1002.55</v>
      </c>
      <c r="R2787" s="4">
        <f t="shared" si="219"/>
        <v>0.37359999999999999</v>
      </c>
      <c r="S2787" s="2">
        <v>7</v>
      </c>
      <c r="T2787" t="s">
        <v>46</v>
      </c>
      <c r="U2787">
        <v>4</v>
      </c>
    </row>
    <row r="2788" spans="1:21" x14ac:dyDescent="0.25">
      <c r="A2788" s="1">
        <v>46113</v>
      </c>
      <c r="B2788" t="s">
        <v>2975</v>
      </c>
      <c r="C2788" t="s">
        <v>609</v>
      </c>
      <c r="D2788" t="s">
        <v>113</v>
      </c>
      <c r="E2788" t="s">
        <v>50</v>
      </c>
      <c r="F2788" t="s">
        <v>26</v>
      </c>
      <c r="G2788" t="s">
        <v>37</v>
      </c>
      <c r="H2788" t="s">
        <v>38</v>
      </c>
      <c r="I2788" t="s">
        <v>29</v>
      </c>
      <c r="J2788" s="2">
        <v>1</v>
      </c>
      <c r="K2788" s="3">
        <v>433.59</v>
      </c>
      <c r="L2788" s="3">
        <v>191.96</v>
      </c>
      <c r="M2788" s="4">
        <v>0</v>
      </c>
      <c r="N2788" s="3">
        <f t="shared" si="215"/>
        <v>433.59</v>
      </c>
      <c r="O2788" s="3">
        <f t="shared" si="216"/>
        <v>433.59</v>
      </c>
      <c r="P2788" s="3">
        <f t="shared" si="217"/>
        <v>191.96</v>
      </c>
      <c r="Q2788" s="3">
        <f t="shared" si="218"/>
        <v>241.63</v>
      </c>
      <c r="R2788" s="4">
        <f t="shared" si="219"/>
        <v>0.55730000000000002</v>
      </c>
      <c r="S2788" s="2">
        <v>11</v>
      </c>
      <c r="T2788" t="s">
        <v>30</v>
      </c>
      <c r="U2788">
        <v>5</v>
      </c>
    </row>
    <row r="2789" spans="1:21" x14ac:dyDescent="0.25">
      <c r="A2789" s="1">
        <v>46183</v>
      </c>
      <c r="B2789" t="s">
        <v>2976</v>
      </c>
      <c r="C2789" t="s">
        <v>201</v>
      </c>
      <c r="D2789" t="s">
        <v>49</v>
      </c>
      <c r="E2789" t="s">
        <v>50</v>
      </c>
      <c r="F2789" t="s">
        <v>58</v>
      </c>
      <c r="G2789" t="s">
        <v>37</v>
      </c>
      <c r="H2789" t="s">
        <v>178</v>
      </c>
      <c r="I2789" t="s">
        <v>65</v>
      </c>
      <c r="J2789" s="2">
        <v>1</v>
      </c>
      <c r="K2789" s="3">
        <v>536.94000000000005</v>
      </c>
      <c r="L2789" s="3">
        <v>234.48</v>
      </c>
      <c r="M2789" s="4">
        <v>3.7999999999999999E-2</v>
      </c>
      <c r="N2789" s="3">
        <f t="shared" si="215"/>
        <v>536.94000000000005</v>
      </c>
      <c r="O2789" s="3">
        <f t="shared" si="216"/>
        <v>516.54</v>
      </c>
      <c r="P2789" s="3">
        <f t="shared" si="217"/>
        <v>234.48</v>
      </c>
      <c r="Q2789" s="3">
        <f t="shared" si="218"/>
        <v>282.06</v>
      </c>
      <c r="R2789" s="4">
        <f t="shared" si="219"/>
        <v>0.54610000000000003</v>
      </c>
      <c r="S2789" s="2">
        <v>10</v>
      </c>
      <c r="T2789" t="s">
        <v>46</v>
      </c>
      <c r="U2789">
        <v>4</v>
      </c>
    </row>
    <row r="2790" spans="1:21" x14ac:dyDescent="0.25">
      <c r="A2790" s="1">
        <v>46054</v>
      </c>
      <c r="B2790" t="s">
        <v>2977</v>
      </c>
      <c r="C2790" t="s">
        <v>48</v>
      </c>
      <c r="D2790" t="s">
        <v>130</v>
      </c>
      <c r="E2790" t="s">
        <v>72</v>
      </c>
      <c r="F2790" t="s">
        <v>36</v>
      </c>
      <c r="G2790" t="s">
        <v>51</v>
      </c>
      <c r="H2790" t="s">
        <v>59</v>
      </c>
      <c r="I2790" t="s">
        <v>29</v>
      </c>
      <c r="J2790" s="2">
        <v>2</v>
      </c>
      <c r="K2790" s="3">
        <v>2171.06</v>
      </c>
      <c r="L2790" s="3">
        <v>1412.88</v>
      </c>
      <c r="M2790" s="4">
        <v>7.3899999999999993E-2</v>
      </c>
      <c r="N2790" s="3">
        <f t="shared" si="215"/>
        <v>4342.12</v>
      </c>
      <c r="O2790" s="3">
        <f t="shared" si="216"/>
        <v>4021.24</v>
      </c>
      <c r="P2790" s="3">
        <f t="shared" si="217"/>
        <v>2825.76</v>
      </c>
      <c r="Q2790" s="3">
        <f t="shared" si="218"/>
        <v>1195.48</v>
      </c>
      <c r="R2790" s="4">
        <f t="shared" si="219"/>
        <v>0.29730000000000001</v>
      </c>
      <c r="S2790" s="2">
        <v>2</v>
      </c>
      <c r="T2790" t="s">
        <v>46</v>
      </c>
      <c r="U2790">
        <v>2</v>
      </c>
    </row>
    <row r="2791" spans="1:21" x14ac:dyDescent="0.25">
      <c r="A2791" s="1">
        <v>46195</v>
      </c>
      <c r="B2791" t="s">
        <v>2978</v>
      </c>
      <c r="C2791" t="s">
        <v>115</v>
      </c>
      <c r="D2791" t="s">
        <v>121</v>
      </c>
      <c r="E2791" t="s">
        <v>72</v>
      </c>
      <c r="F2791" t="s">
        <v>26</v>
      </c>
      <c r="G2791" t="s">
        <v>37</v>
      </c>
      <c r="H2791" t="s">
        <v>178</v>
      </c>
      <c r="I2791" t="s">
        <v>53</v>
      </c>
      <c r="J2791" s="2">
        <v>5</v>
      </c>
      <c r="K2791" s="3">
        <v>487.06</v>
      </c>
      <c r="L2791" s="3">
        <v>252.33</v>
      </c>
      <c r="M2791" s="4">
        <v>0</v>
      </c>
      <c r="N2791" s="3">
        <f t="shared" si="215"/>
        <v>2435.3000000000002</v>
      </c>
      <c r="O2791" s="3">
        <f t="shared" si="216"/>
        <v>2435.3000000000002</v>
      </c>
      <c r="P2791" s="3">
        <f t="shared" si="217"/>
        <v>1261.6500000000001</v>
      </c>
      <c r="Q2791" s="3">
        <f t="shared" si="218"/>
        <v>1173.6500000000001</v>
      </c>
      <c r="R2791" s="4">
        <f t="shared" si="219"/>
        <v>0.4819</v>
      </c>
      <c r="S2791" s="2">
        <v>14</v>
      </c>
      <c r="T2791" t="s">
        <v>30</v>
      </c>
      <c r="U2791">
        <v>3</v>
      </c>
    </row>
    <row r="2792" spans="1:21" x14ac:dyDescent="0.25">
      <c r="A2792" s="1">
        <v>46168</v>
      </c>
      <c r="B2792" t="s">
        <v>2979</v>
      </c>
      <c r="C2792" t="s">
        <v>204</v>
      </c>
      <c r="D2792" t="s">
        <v>207</v>
      </c>
      <c r="E2792" t="s">
        <v>35</v>
      </c>
      <c r="F2792" t="s">
        <v>36</v>
      </c>
      <c r="G2792" t="s">
        <v>27</v>
      </c>
      <c r="H2792" t="s">
        <v>68</v>
      </c>
      <c r="I2792" t="s">
        <v>87</v>
      </c>
      <c r="J2792" s="2">
        <v>2</v>
      </c>
      <c r="K2792" s="3">
        <v>1300.54</v>
      </c>
      <c r="L2792" s="3">
        <v>791.72</v>
      </c>
      <c r="M2792" s="4">
        <v>5.8500000000000003E-2</v>
      </c>
      <c r="N2792" s="3">
        <f t="shared" si="215"/>
        <v>2601.08</v>
      </c>
      <c r="O2792" s="3">
        <f t="shared" si="216"/>
        <v>2448.92</v>
      </c>
      <c r="P2792" s="3">
        <f t="shared" si="217"/>
        <v>1583.44</v>
      </c>
      <c r="Q2792" s="3">
        <f t="shared" si="218"/>
        <v>865.48</v>
      </c>
      <c r="R2792" s="4">
        <f t="shared" si="219"/>
        <v>0.35339999999999999</v>
      </c>
      <c r="S2792" s="2">
        <v>14</v>
      </c>
      <c r="T2792" t="s">
        <v>30</v>
      </c>
      <c r="U2792">
        <v>3</v>
      </c>
    </row>
    <row r="2793" spans="1:21" x14ac:dyDescent="0.25">
      <c r="A2793" s="1">
        <v>46077</v>
      </c>
      <c r="B2793" t="s">
        <v>2980</v>
      </c>
      <c r="C2793" t="s">
        <v>331</v>
      </c>
      <c r="D2793" t="s">
        <v>63</v>
      </c>
      <c r="E2793" t="s">
        <v>35</v>
      </c>
      <c r="F2793" t="s">
        <v>26</v>
      </c>
      <c r="G2793" t="s">
        <v>37</v>
      </c>
      <c r="H2793" t="s">
        <v>38</v>
      </c>
      <c r="I2793" t="s">
        <v>92</v>
      </c>
      <c r="J2793" s="2">
        <v>6</v>
      </c>
      <c r="K2793" s="3">
        <v>443.75</v>
      </c>
      <c r="L2793" s="3">
        <v>185.6</v>
      </c>
      <c r="M2793" s="4">
        <v>0.1154</v>
      </c>
      <c r="N2793" s="3">
        <f t="shared" si="215"/>
        <v>2662.5</v>
      </c>
      <c r="O2793" s="3">
        <f t="shared" si="216"/>
        <v>2355.25</v>
      </c>
      <c r="P2793" s="3">
        <f t="shared" si="217"/>
        <v>1113.5999999999999</v>
      </c>
      <c r="Q2793" s="3">
        <f t="shared" si="218"/>
        <v>1241.6500000000001</v>
      </c>
      <c r="R2793" s="4">
        <f t="shared" si="219"/>
        <v>0.5272</v>
      </c>
      <c r="S2793" s="2">
        <v>4</v>
      </c>
      <c r="T2793" t="s">
        <v>46</v>
      </c>
      <c r="U2793">
        <v>5</v>
      </c>
    </row>
    <row r="2794" spans="1:21" x14ac:dyDescent="0.25">
      <c r="A2794" s="1">
        <v>46152</v>
      </c>
      <c r="B2794" t="s">
        <v>2981</v>
      </c>
      <c r="C2794" t="s">
        <v>433</v>
      </c>
      <c r="D2794" t="s">
        <v>207</v>
      </c>
      <c r="E2794" t="s">
        <v>35</v>
      </c>
      <c r="F2794" t="s">
        <v>26</v>
      </c>
      <c r="G2794" t="s">
        <v>27</v>
      </c>
      <c r="H2794" t="s">
        <v>28</v>
      </c>
      <c r="I2794" t="s">
        <v>29</v>
      </c>
      <c r="J2794" s="2">
        <v>1</v>
      </c>
      <c r="K2794" s="3">
        <v>810.4</v>
      </c>
      <c r="L2794" s="3">
        <v>473.68</v>
      </c>
      <c r="M2794" s="4">
        <v>0.1268</v>
      </c>
      <c r="N2794" s="3">
        <f t="shared" si="215"/>
        <v>810.4</v>
      </c>
      <c r="O2794" s="3">
        <f t="shared" si="216"/>
        <v>707.64</v>
      </c>
      <c r="P2794" s="3">
        <f t="shared" si="217"/>
        <v>473.68</v>
      </c>
      <c r="Q2794" s="3">
        <f t="shared" si="218"/>
        <v>233.96</v>
      </c>
      <c r="R2794" s="4">
        <f t="shared" si="219"/>
        <v>0.3306</v>
      </c>
      <c r="S2794" s="2">
        <v>2</v>
      </c>
      <c r="T2794" t="s">
        <v>46</v>
      </c>
      <c r="U2794">
        <v>4</v>
      </c>
    </row>
    <row r="2795" spans="1:21" x14ac:dyDescent="0.25">
      <c r="A2795" s="1">
        <v>46177</v>
      </c>
      <c r="B2795" t="s">
        <v>2982</v>
      </c>
      <c r="C2795" t="s">
        <v>132</v>
      </c>
      <c r="D2795" t="s">
        <v>56</v>
      </c>
      <c r="E2795" t="s">
        <v>57</v>
      </c>
      <c r="F2795" t="s">
        <v>36</v>
      </c>
      <c r="G2795" t="s">
        <v>51</v>
      </c>
      <c r="H2795" t="s">
        <v>59</v>
      </c>
      <c r="I2795" t="s">
        <v>65</v>
      </c>
      <c r="J2795" s="2">
        <v>6</v>
      </c>
      <c r="K2795" s="3">
        <v>2111.21</v>
      </c>
      <c r="L2795" s="3">
        <v>1427.81</v>
      </c>
      <c r="M2795" s="4">
        <v>1.2500000000000001E-2</v>
      </c>
      <c r="N2795" s="3">
        <f t="shared" si="215"/>
        <v>12667.26</v>
      </c>
      <c r="O2795" s="3">
        <f t="shared" si="216"/>
        <v>12508.92</v>
      </c>
      <c r="P2795" s="3">
        <f t="shared" si="217"/>
        <v>8566.86</v>
      </c>
      <c r="Q2795" s="3">
        <f t="shared" si="218"/>
        <v>3942.06</v>
      </c>
      <c r="R2795" s="4">
        <f t="shared" si="219"/>
        <v>0.31509999999999999</v>
      </c>
      <c r="S2795" s="2">
        <v>9</v>
      </c>
      <c r="T2795" t="s">
        <v>46</v>
      </c>
      <c r="U2795">
        <v>2</v>
      </c>
    </row>
    <row r="2796" spans="1:21" x14ac:dyDescent="0.25">
      <c r="A2796" s="1">
        <v>46208</v>
      </c>
      <c r="B2796" t="s">
        <v>2983</v>
      </c>
      <c r="C2796" t="s">
        <v>216</v>
      </c>
      <c r="D2796" t="s">
        <v>71</v>
      </c>
      <c r="E2796" t="s">
        <v>72</v>
      </c>
      <c r="F2796" t="s">
        <v>58</v>
      </c>
      <c r="G2796" t="s">
        <v>37</v>
      </c>
      <c r="H2796" t="s">
        <v>178</v>
      </c>
      <c r="I2796" t="s">
        <v>39</v>
      </c>
      <c r="J2796" s="2">
        <v>7</v>
      </c>
      <c r="K2796" s="3">
        <v>520.33000000000004</v>
      </c>
      <c r="L2796" s="3">
        <v>257.51</v>
      </c>
      <c r="M2796" s="4">
        <v>0.14269999999999999</v>
      </c>
      <c r="N2796" s="3">
        <f t="shared" si="215"/>
        <v>3642.31</v>
      </c>
      <c r="O2796" s="3">
        <f t="shared" si="216"/>
        <v>3122.55</v>
      </c>
      <c r="P2796" s="3">
        <f t="shared" si="217"/>
        <v>1802.57</v>
      </c>
      <c r="Q2796" s="3">
        <f t="shared" si="218"/>
        <v>1319.98</v>
      </c>
      <c r="R2796" s="4">
        <f t="shared" si="219"/>
        <v>0.42270000000000002</v>
      </c>
      <c r="S2796" s="2">
        <v>14</v>
      </c>
      <c r="T2796" t="s">
        <v>30</v>
      </c>
      <c r="U2796">
        <v>2</v>
      </c>
    </row>
    <row r="2797" spans="1:21" x14ac:dyDescent="0.25">
      <c r="A2797" s="1">
        <v>46108</v>
      </c>
      <c r="B2797" t="s">
        <v>2984</v>
      </c>
      <c r="C2797" t="s">
        <v>560</v>
      </c>
      <c r="D2797" t="s">
        <v>113</v>
      </c>
      <c r="E2797" t="s">
        <v>50</v>
      </c>
      <c r="F2797" t="s">
        <v>36</v>
      </c>
      <c r="G2797" t="s">
        <v>37</v>
      </c>
      <c r="H2797" t="s">
        <v>38</v>
      </c>
      <c r="I2797" t="s">
        <v>77</v>
      </c>
      <c r="J2797" s="2">
        <v>2</v>
      </c>
      <c r="K2797" s="3">
        <v>408.78</v>
      </c>
      <c r="L2797" s="3">
        <v>184.51</v>
      </c>
      <c r="M2797" s="4">
        <v>0</v>
      </c>
      <c r="N2797" s="3">
        <f t="shared" si="215"/>
        <v>817.56</v>
      </c>
      <c r="O2797" s="3">
        <f t="shared" si="216"/>
        <v>817.56</v>
      </c>
      <c r="P2797" s="3">
        <f t="shared" si="217"/>
        <v>369.02</v>
      </c>
      <c r="Q2797" s="3">
        <f t="shared" si="218"/>
        <v>448.54</v>
      </c>
      <c r="R2797" s="4">
        <f t="shared" si="219"/>
        <v>0.54859999999999998</v>
      </c>
      <c r="S2797" s="2">
        <v>7</v>
      </c>
      <c r="T2797" t="s">
        <v>46</v>
      </c>
      <c r="U2797">
        <v>3</v>
      </c>
    </row>
    <row r="2798" spans="1:21" x14ac:dyDescent="0.25">
      <c r="A2798" s="1">
        <v>46177</v>
      </c>
      <c r="B2798" t="s">
        <v>2985</v>
      </c>
      <c r="C2798" t="s">
        <v>284</v>
      </c>
      <c r="D2798" t="s">
        <v>113</v>
      </c>
      <c r="E2798" t="s">
        <v>50</v>
      </c>
      <c r="F2798" t="s">
        <v>58</v>
      </c>
      <c r="G2798" t="s">
        <v>37</v>
      </c>
      <c r="H2798" t="s">
        <v>178</v>
      </c>
      <c r="I2798" t="s">
        <v>87</v>
      </c>
      <c r="J2798" s="2">
        <v>7</v>
      </c>
      <c r="K2798" s="3">
        <v>530.48</v>
      </c>
      <c r="L2798" s="3">
        <v>244.83</v>
      </c>
      <c r="M2798" s="4">
        <v>3.5000000000000003E-2</v>
      </c>
      <c r="N2798" s="3">
        <f t="shared" si="215"/>
        <v>3713.36</v>
      </c>
      <c r="O2798" s="3">
        <f t="shared" si="216"/>
        <v>3583.39</v>
      </c>
      <c r="P2798" s="3">
        <f t="shared" si="217"/>
        <v>1713.81</v>
      </c>
      <c r="Q2798" s="3">
        <f t="shared" si="218"/>
        <v>1869.58</v>
      </c>
      <c r="R2798" s="4">
        <f t="shared" si="219"/>
        <v>0.52170000000000005</v>
      </c>
      <c r="S2798" s="2">
        <v>8</v>
      </c>
      <c r="T2798" t="s">
        <v>46</v>
      </c>
      <c r="U2798">
        <v>5</v>
      </c>
    </row>
    <row r="2799" spans="1:21" x14ac:dyDescent="0.25">
      <c r="A2799" s="1">
        <v>46216</v>
      </c>
      <c r="B2799" t="s">
        <v>2986</v>
      </c>
      <c r="C2799" t="s">
        <v>23</v>
      </c>
      <c r="D2799" t="s">
        <v>121</v>
      </c>
      <c r="E2799" t="s">
        <v>72</v>
      </c>
      <c r="F2799" t="s">
        <v>64</v>
      </c>
      <c r="G2799" t="s">
        <v>44</v>
      </c>
      <c r="H2799" t="s">
        <v>73</v>
      </c>
      <c r="I2799" t="s">
        <v>74</v>
      </c>
      <c r="J2799" s="2">
        <v>4</v>
      </c>
      <c r="K2799" s="3">
        <v>1671.44</v>
      </c>
      <c r="L2799" s="3">
        <v>1099.05</v>
      </c>
      <c r="M2799" s="4">
        <v>0</v>
      </c>
      <c r="N2799" s="3">
        <f t="shared" si="215"/>
        <v>6685.76</v>
      </c>
      <c r="O2799" s="3">
        <f t="shared" si="216"/>
        <v>6685.76</v>
      </c>
      <c r="P2799" s="3">
        <f t="shared" si="217"/>
        <v>4396.2</v>
      </c>
      <c r="Q2799" s="3">
        <f t="shared" si="218"/>
        <v>2289.56</v>
      </c>
      <c r="R2799" s="4">
        <f t="shared" si="219"/>
        <v>0.34250000000000003</v>
      </c>
      <c r="S2799" s="2">
        <v>12</v>
      </c>
      <c r="T2799" t="s">
        <v>30</v>
      </c>
      <c r="U2799">
        <v>5</v>
      </c>
    </row>
    <row r="2800" spans="1:21" x14ac:dyDescent="0.25">
      <c r="A2800" s="1">
        <v>46181</v>
      </c>
      <c r="B2800" t="s">
        <v>2987</v>
      </c>
      <c r="C2800" t="s">
        <v>378</v>
      </c>
      <c r="D2800" t="s">
        <v>97</v>
      </c>
      <c r="E2800" t="s">
        <v>57</v>
      </c>
      <c r="F2800" t="s">
        <v>26</v>
      </c>
      <c r="G2800" t="s">
        <v>27</v>
      </c>
      <c r="H2800" t="s">
        <v>28</v>
      </c>
      <c r="I2800" t="s">
        <v>87</v>
      </c>
      <c r="J2800" s="2">
        <v>6</v>
      </c>
      <c r="K2800" s="3">
        <v>807.72</v>
      </c>
      <c r="L2800" s="3">
        <v>473.39</v>
      </c>
      <c r="M2800" s="4">
        <v>2.5999999999999999E-2</v>
      </c>
      <c r="N2800" s="3">
        <f t="shared" si="215"/>
        <v>4846.32</v>
      </c>
      <c r="O2800" s="3">
        <f t="shared" si="216"/>
        <v>4720.32</v>
      </c>
      <c r="P2800" s="3">
        <f t="shared" si="217"/>
        <v>2840.34</v>
      </c>
      <c r="Q2800" s="3">
        <f t="shared" si="218"/>
        <v>1879.98</v>
      </c>
      <c r="R2800" s="4">
        <f t="shared" si="219"/>
        <v>0.39829999999999999</v>
      </c>
      <c r="S2800" s="2">
        <v>11</v>
      </c>
      <c r="T2800" t="s">
        <v>30</v>
      </c>
      <c r="U2800">
        <v>4</v>
      </c>
    </row>
    <row r="2801" spans="1:21" x14ac:dyDescent="0.25">
      <c r="A2801" s="1">
        <v>46131</v>
      </c>
      <c r="B2801" t="s">
        <v>2988</v>
      </c>
      <c r="C2801" t="s">
        <v>321</v>
      </c>
      <c r="D2801" t="s">
        <v>56</v>
      </c>
      <c r="E2801" t="s">
        <v>57</v>
      </c>
      <c r="F2801" t="s">
        <v>26</v>
      </c>
      <c r="G2801" t="s">
        <v>51</v>
      </c>
      <c r="H2801" t="s">
        <v>52</v>
      </c>
      <c r="I2801" t="s">
        <v>87</v>
      </c>
      <c r="J2801" s="2">
        <v>5</v>
      </c>
      <c r="K2801" s="3">
        <v>244.58</v>
      </c>
      <c r="L2801" s="3">
        <v>117.17</v>
      </c>
      <c r="M2801" s="4">
        <v>0</v>
      </c>
      <c r="N2801" s="3">
        <f t="shared" si="215"/>
        <v>1222.9000000000001</v>
      </c>
      <c r="O2801" s="3">
        <f t="shared" si="216"/>
        <v>1222.9000000000001</v>
      </c>
      <c r="P2801" s="3">
        <f t="shared" si="217"/>
        <v>585.85</v>
      </c>
      <c r="Q2801" s="3">
        <f t="shared" si="218"/>
        <v>637.04999999999995</v>
      </c>
      <c r="R2801" s="4">
        <f t="shared" si="219"/>
        <v>0.52090000000000003</v>
      </c>
      <c r="S2801" s="2">
        <v>7</v>
      </c>
      <c r="T2801" t="s">
        <v>46</v>
      </c>
      <c r="U2801">
        <v>3</v>
      </c>
    </row>
    <row r="2802" spans="1:21" x14ac:dyDescent="0.25">
      <c r="A2802" s="1">
        <v>46119</v>
      </c>
      <c r="B2802" t="s">
        <v>2989</v>
      </c>
      <c r="C2802" t="s">
        <v>144</v>
      </c>
      <c r="D2802" t="s">
        <v>97</v>
      </c>
      <c r="E2802" t="s">
        <v>57</v>
      </c>
      <c r="F2802" t="s">
        <v>64</v>
      </c>
      <c r="G2802" t="s">
        <v>44</v>
      </c>
      <c r="H2802" t="s">
        <v>45</v>
      </c>
      <c r="I2802" t="s">
        <v>65</v>
      </c>
      <c r="J2802" s="2">
        <v>5</v>
      </c>
      <c r="K2802" s="3">
        <v>367.51</v>
      </c>
      <c r="L2802" s="3">
        <v>212.23</v>
      </c>
      <c r="M2802" s="4">
        <v>0</v>
      </c>
      <c r="N2802" s="3">
        <f t="shared" si="215"/>
        <v>1837.55</v>
      </c>
      <c r="O2802" s="3">
        <f t="shared" si="216"/>
        <v>1837.55</v>
      </c>
      <c r="P2802" s="3">
        <f t="shared" si="217"/>
        <v>1061.1500000000001</v>
      </c>
      <c r="Q2802" s="3">
        <f t="shared" si="218"/>
        <v>776.4</v>
      </c>
      <c r="R2802" s="4">
        <f t="shared" si="219"/>
        <v>0.42249999999999999</v>
      </c>
      <c r="S2802" s="2">
        <v>13</v>
      </c>
      <c r="T2802" t="s">
        <v>30</v>
      </c>
      <c r="U2802">
        <v>5</v>
      </c>
    </row>
    <row r="2803" spans="1:21" x14ac:dyDescent="0.25">
      <c r="A2803" s="1">
        <v>46115</v>
      </c>
      <c r="B2803" t="s">
        <v>2990</v>
      </c>
      <c r="C2803" t="s">
        <v>527</v>
      </c>
      <c r="D2803" t="s">
        <v>126</v>
      </c>
      <c r="E2803" t="s">
        <v>57</v>
      </c>
      <c r="F2803" t="s">
        <v>36</v>
      </c>
      <c r="G2803" t="s">
        <v>37</v>
      </c>
      <c r="H2803" t="s">
        <v>38</v>
      </c>
      <c r="I2803" t="s">
        <v>29</v>
      </c>
      <c r="J2803" s="2">
        <v>5</v>
      </c>
      <c r="K2803" s="3">
        <v>418.08</v>
      </c>
      <c r="L2803" s="3">
        <v>193.1</v>
      </c>
      <c r="M2803" s="4">
        <v>8.9999999999999998E-4</v>
      </c>
      <c r="N2803" s="3">
        <f t="shared" si="215"/>
        <v>2090.4</v>
      </c>
      <c r="O2803" s="3">
        <f t="shared" si="216"/>
        <v>2088.52</v>
      </c>
      <c r="P2803" s="3">
        <f t="shared" si="217"/>
        <v>965.5</v>
      </c>
      <c r="Q2803" s="3">
        <f t="shared" si="218"/>
        <v>1123.02</v>
      </c>
      <c r="R2803" s="4">
        <f t="shared" si="219"/>
        <v>0.53769999999999996</v>
      </c>
      <c r="S2803" s="2">
        <v>11</v>
      </c>
      <c r="T2803" t="s">
        <v>30</v>
      </c>
      <c r="U2803">
        <v>4</v>
      </c>
    </row>
    <row r="2804" spans="1:21" x14ac:dyDescent="0.25">
      <c r="A2804" s="1">
        <v>46165</v>
      </c>
      <c r="B2804" t="s">
        <v>2991</v>
      </c>
      <c r="C2804" t="s">
        <v>375</v>
      </c>
      <c r="D2804" t="s">
        <v>121</v>
      </c>
      <c r="E2804" t="s">
        <v>72</v>
      </c>
      <c r="F2804" t="s">
        <v>36</v>
      </c>
      <c r="G2804" t="s">
        <v>44</v>
      </c>
      <c r="H2804" t="s">
        <v>124</v>
      </c>
      <c r="I2804" t="s">
        <v>29</v>
      </c>
      <c r="J2804" s="2">
        <v>3</v>
      </c>
      <c r="K2804" s="3">
        <v>6128.05</v>
      </c>
      <c r="L2804" s="3">
        <v>4340.38</v>
      </c>
      <c r="M2804" s="4">
        <v>0</v>
      </c>
      <c r="N2804" s="3">
        <f t="shared" si="215"/>
        <v>18384.150000000001</v>
      </c>
      <c r="O2804" s="3">
        <f t="shared" si="216"/>
        <v>18384.150000000001</v>
      </c>
      <c r="P2804" s="3">
        <f t="shared" si="217"/>
        <v>13021.14</v>
      </c>
      <c r="Q2804" s="3">
        <f t="shared" si="218"/>
        <v>5363.01</v>
      </c>
      <c r="R2804" s="4">
        <f t="shared" si="219"/>
        <v>0.29170000000000001</v>
      </c>
      <c r="S2804" s="2">
        <v>3</v>
      </c>
      <c r="T2804" t="s">
        <v>46</v>
      </c>
      <c r="U2804">
        <v>2</v>
      </c>
    </row>
    <row r="2805" spans="1:21" x14ac:dyDescent="0.25">
      <c r="A2805" s="1">
        <v>46032</v>
      </c>
      <c r="B2805" t="s">
        <v>2992</v>
      </c>
      <c r="C2805" t="s">
        <v>153</v>
      </c>
      <c r="D2805" t="s">
        <v>56</v>
      </c>
      <c r="E2805" t="s">
        <v>57</v>
      </c>
      <c r="F2805" t="s">
        <v>26</v>
      </c>
      <c r="G2805" t="s">
        <v>44</v>
      </c>
      <c r="H2805" t="s">
        <v>124</v>
      </c>
      <c r="I2805" t="s">
        <v>29</v>
      </c>
      <c r="J2805" s="2">
        <v>6</v>
      </c>
      <c r="K2805" s="3">
        <v>5939.25</v>
      </c>
      <c r="L2805" s="3">
        <v>4201.83</v>
      </c>
      <c r="M2805" s="4">
        <v>0</v>
      </c>
      <c r="N2805" s="3">
        <f t="shared" si="215"/>
        <v>35635.5</v>
      </c>
      <c r="O2805" s="3">
        <f t="shared" si="216"/>
        <v>35635.5</v>
      </c>
      <c r="P2805" s="3">
        <f t="shared" si="217"/>
        <v>25210.98</v>
      </c>
      <c r="Q2805" s="3">
        <f t="shared" si="218"/>
        <v>10424.52</v>
      </c>
      <c r="R2805" s="4">
        <f t="shared" si="219"/>
        <v>0.29249999999999998</v>
      </c>
      <c r="S2805" s="2">
        <v>8</v>
      </c>
      <c r="T2805" t="s">
        <v>46</v>
      </c>
      <c r="U2805">
        <v>2</v>
      </c>
    </row>
    <row r="2806" spans="1:21" x14ac:dyDescent="0.25">
      <c r="A2806" s="1">
        <v>46099</v>
      </c>
      <c r="B2806" t="s">
        <v>2993</v>
      </c>
      <c r="C2806" t="s">
        <v>525</v>
      </c>
      <c r="D2806" t="s">
        <v>71</v>
      </c>
      <c r="E2806" t="s">
        <v>72</v>
      </c>
      <c r="F2806" t="s">
        <v>36</v>
      </c>
      <c r="G2806" t="s">
        <v>37</v>
      </c>
      <c r="H2806" t="s">
        <v>178</v>
      </c>
      <c r="I2806" t="s">
        <v>39</v>
      </c>
      <c r="J2806" s="2">
        <v>5</v>
      </c>
      <c r="K2806" s="3">
        <v>504.96</v>
      </c>
      <c r="L2806" s="3">
        <v>252.23</v>
      </c>
      <c r="M2806" s="4">
        <v>0</v>
      </c>
      <c r="N2806" s="3">
        <f t="shared" si="215"/>
        <v>2524.8000000000002</v>
      </c>
      <c r="O2806" s="3">
        <f t="shared" si="216"/>
        <v>2524.8000000000002</v>
      </c>
      <c r="P2806" s="3">
        <f t="shared" si="217"/>
        <v>1261.1500000000001</v>
      </c>
      <c r="Q2806" s="3">
        <f t="shared" si="218"/>
        <v>1263.6500000000001</v>
      </c>
      <c r="R2806" s="4">
        <f t="shared" si="219"/>
        <v>0.50049999999999994</v>
      </c>
      <c r="S2806" s="2">
        <v>10</v>
      </c>
      <c r="T2806" t="s">
        <v>46</v>
      </c>
      <c r="U2806">
        <v>2</v>
      </c>
    </row>
    <row r="2807" spans="1:21" x14ac:dyDescent="0.25">
      <c r="A2807" s="1">
        <v>46175</v>
      </c>
      <c r="B2807" t="s">
        <v>2994</v>
      </c>
      <c r="C2807" t="s">
        <v>243</v>
      </c>
      <c r="D2807" t="s">
        <v>97</v>
      </c>
      <c r="E2807" t="s">
        <v>57</v>
      </c>
      <c r="F2807" t="s">
        <v>58</v>
      </c>
      <c r="G2807" t="s">
        <v>51</v>
      </c>
      <c r="H2807" t="s">
        <v>116</v>
      </c>
      <c r="I2807" t="s">
        <v>94</v>
      </c>
      <c r="J2807" s="2">
        <v>5</v>
      </c>
      <c r="K2807" s="3">
        <v>2679.88</v>
      </c>
      <c r="L2807" s="3">
        <v>1794.45</v>
      </c>
      <c r="M2807" s="4">
        <v>9.9900000000000003E-2</v>
      </c>
      <c r="N2807" s="3">
        <f t="shared" si="215"/>
        <v>13399.4</v>
      </c>
      <c r="O2807" s="3">
        <f t="shared" si="216"/>
        <v>12060.8</v>
      </c>
      <c r="P2807" s="3">
        <f t="shared" si="217"/>
        <v>8972.25</v>
      </c>
      <c r="Q2807" s="3">
        <f t="shared" si="218"/>
        <v>3088.55</v>
      </c>
      <c r="R2807" s="4">
        <f t="shared" si="219"/>
        <v>0.25609999999999999</v>
      </c>
      <c r="S2807" s="2">
        <v>14</v>
      </c>
      <c r="T2807" t="s">
        <v>30</v>
      </c>
      <c r="U2807">
        <v>5</v>
      </c>
    </row>
    <row r="2808" spans="1:21" x14ac:dyDescent="0.25">
      <c r="A2808" s="1">
        <v>46174</v>
      </c>
      <c r="B2808" t="s">
        <v>2995</v>
      </c>
      <c r="C2808" t="s">
        <v>166</v>
      </c>
      <c r="D2808" t="s">
        <v>71</v>
      </c>
      <c r="E2808" t="s">
        <v>72</v>
      </c>
      <c r="F2808" t="s">
        <v>58</v>
      </c>
      <c r="G2808" t="s">
        <v>27</v>
      </c>
      <c r="H2808" t="s">
        <v>86</v>
      </c>
      <c r="I2808" t="s">
        <v>92</v>
      </c>
      <c r="J2808" s="2">
        <v>5</v>
      </c>
      <c r="K2808" s="3">
        <v>1958.52</v>
      </c>
      <c r="L2808" s="3">
        <v>1226.44</v>
      </c>
      <c r="M2808" s="4">
        <v>0.1195</v>
      </c>
      <c r="N2808" s="3">
        <f t="shared" si="215"/>
        <v>9792.6</v>
      </c>
      <c r="O2808" s="3">
        <f t="shared" si="216"/>
        <v>8622.3799999999992</v>
      </c>
      <c r="P2808" s="3">
        <f t="shared" si="217"/>
        <v>6132.2</v>
      </c>
      <c r="Q2808" s="3">
        <f t="shared" si="218"/>
        <v>2490.1799999999998</v>
      </c>
      <c r="R2808" s="4">
        <f t="shared" si="219"/>
        <v>0.2888</v>
      </c>
      <c r="S2808" s="2">
        <v>4</v>
      </c>
      <c r="T2808" t="s">
        <v>46</v>
      </c>
      <c r="U2808">
        <v>2</v>
      </c>
    </row>
    <row r="2809" spans="1:21" x14ac:dyDescent="0.25">
      <c r="A2809" s="1">
        <v>46098</v>
      </c>
      <c r="B2809" t="s">
        <v>2996</v>
      </c>
      <c r="C2809" t="s">
        <v>317</v>
      </c>
      <c r="D2809" t="s">
        <v>126</v>
      </c>
      <c r="E2809" t="s">
        <v>57</v>
      </c>
      <c r="F2809" t="s">
        <v>26</v>
      </c>
      <c r="G2809" t="s">
        <v>51</v>
      </c>
      <c r="H2809" t="s">
        <v>116</v>
      </c>
      <c r="I2809" t="s">
        <v>29</v>
      </c>
      <c r="J2809" s="2">
        <v>4</v>
      </c>
      <c r="K2809" s="3">
        <v>2953.03</v>
      </c>
      <c r="L2809" s="3">
        <v>1761.98</v>
      </c>
      <c r="M2809" s="4">
        <v>0.12870000000000001</v>
      </c>
      <c r="N2809" s="3">
        <f t="shared" si="215"/>
        <v>11812.12</v>
      </c>
      <c r="O2809" s="3">
        <f t="shared" si="216"/>
        <v>10291.9</v>
      </c>
      <c r="P2809" s="3">
        <f t="shared" si="217"/>
        <v>7047.92</v>
      </c>
      <c r="Q2809" s="3">
        <f t="shared" si="218"/>
        <v>3243.98</v>
      </c>
      <c r="R2809" s="4">
        <f t="shared" si="219"/>
        <v>0.31519999999999998</v>
      </c>
      <c r="S2809" s="2">
        <v>8</v>
      </c>
      <c r="T2809" t="s">
        <v>46</v>
      </c>
      <c r="U2809">
        <v>5</v>
      </c>
    </row>
    <row r="2810" spans="1:21" x14ac:dyDescent="0.25">
      <c r="A2810" s="1">
        <v>46186</v>
      </c>
      <c r="B2810" t="s">
        <v>2997</v>
      </c>
      <c r="C2810" t="s">
        <v>220</v>
      </c>
      <c r="D2810" t="s">
        <v>121</v>
      </c>
      <c r="E2810" t="s">
        <v>72</v>
      </c>
      <c r="F2810" t="s">
        <v>58</v>
      </c>
      <c r="G2810" t="s">
        <v>37</v>
      </c>
      <c r="H2810" t="s">
        <v>38</v>
      </c>
      <c r="I2810" t="s">
        <v>74</v>
      </c>
      <c r="J2810" s="2">
        <v>7</v>
      </c>
      <c r="K2810" s="3">
        <v>443.61</v>
      </c>
      <c r="L2810" s="3">
        <v>190.36</v>
      </c>
      <c r="M2810" s="4">
        <v>3.5000000000000003E-2</v>
      </c>
      <c r="N2810" s="3">
        <f t="shared" si="215"/>
        <v>3105.27</v>
      </c>
      <c r="O2810" s="3">
        <f t="shared" si="216"/>
        <v>2996.59</v>
      </c>
      <c r="P2810" s="3">
        <f t="shared" si="217"/>
        <v>1332.52</v>
      </c>
      <c r="Q2810" s="3">
        <f t="shared" si="218"/>
        <v>1664.07</v>
      </c>
      <c r="R2810" s="4">
        <f t="shared" si="219"/>
        <v>0.55530000000000002</v>
      </c>
      <c r="S2810" s="2">
        <v>9</v>
      </c>
      <c r="T2810" t="s">
        <v>46</v>
      </c>
      <c r="U2810">
        <v>5</v>
      </c>
    </row>
    <row r="2811" spans="1:21" x14ac:dyDescent="0.25">
      <c r="A2811" s="1">
        <v>46074</v>
      </c>
      <c r="B2811" t="s">
        <v>2998</v>
      </c>
      <c r="C2811" t="s">
        <v>96</v>
      </c>
      <c r="D2811" t="s">
        <v>207</v>
      </c>
      <c r="E2811" t="s">
        <v>35</v>
      </c>
      <c r="F2811" t="s">
        <v>58</v>
      </c>
      <c r="G2811" t="s">
        <v>37</v>
      </c>
      <c r="H2811" t="s">
        <v>104</v>
      </c>
      <c r="I2811" t="s">
        <v>74</v>
      </c>
      <c r="J2811" s="2">
        <v>7</v>
      </c>
      <c r="K2811" s="3">
        <v>326.29000000000002</v>
      </c>
      <c r="L2811" s="3">
        <v>134.52000000000001</v>
      </c>
      <c r="M2811" s="4">
        <v>3.5000000000000003E-2</v>
      </c>
      <c r="N2811" s="3">
        <f t="shared" si="215"/>
        <v>2284.0300000000002</v>
      </c>
      <c r="O2811" s="3">
        <f t="shared" si="216"/>
        <v>2204.09</v>
      </c>
      <c r="P2811" s="3">
        <f t="shared" si="217"/>
        <v>941.64</v>
      </c>
      <c r="Q2811" s="3">
        <f t="shared" si="218"/>
        <v>1262.45</v>
      </c>
      <c r="R2811" s="4">
        <f t="shared" si="219"/>
        <v>0.57279999999999998</v>
      </c>
      <c r="S2811" s="2">
        <v>12</v>
      </c>
      <c r="T2811" t="s">
        <v>30</v>
      </c>
      <c r="U2811">
        <v>3</v>
      </c>
    </row>
    <row r="2812" spans="1:21" x14ac:dyDescent="0.25">
      <c r="A2812" s="1">
        <v>46115</v>
      </c>
      <c r="B2812" t="s">
        <v>2270</v>
      </c>
      <c r="C2812" t="s">
        <v>260</v>
      </c>
      <c r="D2812" t="s">
        <v>43</v>
      </c>
      <c r="E2812" t="s">
        <v>25</v>
      </c>
      <c r="F2812" t="s">
        <v>64</v>
      </c>
      <c r="G2812" t="s">
        <v>51</v>
      </c>
      <c r="H2812" t="s">
        <v>59</v>
      </c>
      <c r="I2812" t="s">
        <v>92</v>
      </c>
      <c r="J2812" s="2">
        <v>6</v>
      </c>
      <c r="K2812" s="3">
        <v>2224.2199999999998</v>
      </c>
      <c r="L2812" s="3">
        <v>1458.67</v>
      </c>
      <c r="M2812" s="4">
        <v>0</v>
      </c>
      <c r="N2812" s="3">
        <f t="shared" si="215"/>
        <v>13345.32</v>
      </c>
      <c r="O2812" s="3">
        <f t="shared" si="216"/>
        <v>13345.32</v>
      </c>
      <c r="P2812" s="3">
        <f t="shared" si="217"/>
        <v>8752.02</v>
      </c>
      <c r="Q2812" s="3">
        <f t="shared" si="218"/>
        <v>4593.3</v>
      </c>
      <c r="R2812" s="4">
        <f t="shared" si="219"/>
        <v>0.34420000000000001</v>
      </c>
      <c r="S2812" s="2">
        <v>3</v>
      </c>
      <c r="T2812" t="s">
        <v>40</v>
      </c>
    </row>
    <row r="2813" spans="1:21" x14ac:dyDescent="0.25">
      <c r="A2813" s="1">
        <v>46097</v>
      </c>
      <c r="B2813" t="s">
        <v>2999</v>
      </c>
      <c r="C2813" t="s">
        <v>190</v>
      </c>
      <c r="D2813" t="s">
        <v>101</v>
      </c>
      <c r="E2813" t="s">
        <v>35</v>
      </c>
      <c r="F2813" t="s">
        <v>64</v>
      </c>
      <c r="G2813" t="s">
        <v>37</v>
      </c>
      <c r="H2813" t="s">
        <v>104</v>
      </c>
      <c r="I2813" t="s">
        <v>77</v>
      </c>
      <c r="J2813" s="2">
        <v>7</v>
      </c>
      <c r="K2813" s="3">
        <v>309.8</v>
      </c>
      <c r="L2813" s="3">
        <v>137.15</v>
      </c>
      <c r="M2813" s="4">
        <v>2.1000000000000001E-2</v>
      </c>
      <c r="N2813" s="3">
        <f t="shared" si="215"/>
        <v>2168.6</v>
      </c>
      <c r="O2813" s="3">
        <f t="shared" si="216"/>
        <v>2123.06</v>
      </c>
      <c r="P2813" s="3">
        <f t="shared" si="217"/>
        <v>960.05</v>
      </c>
      <c r="Q2813" s="3">
        <f t="shared" si="218"/>
        <v>1163.01</v>
      </c>
      <c r="R2813" s="4">
        <f t="shared" si="219"/>
        <v>0.54779999999999995</v>
      </c>
      <c r="S2813" s="2">
        <v>7</v>
      </c>
      <c r="T2813" t="s">
        <v>46</v>
      </c>
      <c r="U2813">
        <v>4</v>
      </c>
    </row>
    <row r="2814" spans="1:21" x14ac:dyDescent="0.25">
      <c r="A2814" s="1">
        <v>46051</v>
      </c>
      <c r="B2814" t="s">
        <v>3000</v>
      </c>
      <c r="C2814" t="s">
        <v>260</v>
      </c>
      <c r="D2814" t="s">
        <v>43</v>
      </c>
      <c r="E2814" t="s">
        <v>25</v>
      </c>
      <c r="F2814" t="s">
        <v>26</v>
      </c>
      <c r="G2814" t="s">
        <v>51</v>
      </c>
      <c r="H2814" t="s">
        <v>116</v>
      </c>
      <c r="I2814" t="s">
        <v>60</v>
      </c>
      <c r="J2814" s="2">
        <v>2</v>
      </c>
      <c r="K2814" s="3">
        <v>2839</v>
      </c>
      <c r="L2814" s="3">
        <v>1891.93</v>
      </c>
      <c r="M2814" s="4">
        <v>0</v>
      </c>
      <c r="N2814" s="3">
        <f t="shared" si="215"/>
        <v>5678</v>
      </c>
      <c r="O2814" s="3">
        <f t="shared" si="216"/>
        <v>5678</v>
      </c>
      <c r="P2814" s="3">
        <f t="shared" si="217"/>
        <v>3783.86</v>
      </c>
      <c r="Q2814" s="3">
        <f t="shared" si="218"/>
        <v>1894.14</v>
      </c>
      <c r="R2814" s="4">
        <f t="shared" si="219"/>
        <v>0.33360000000000001</v>
      </c>
      <c r="S2814" s="2">
        <v>6</v>
      </c>
      <c r="T2814" t="s">
        <v>40</v>
      </c>
    </row>
    <row r="2815" spans="1:21" x14ac:dyDescent="0.25">
      <c r="A2815" s="1">
        <v>46080</v>
      </c>
      <c r="B2815" t="s">
        <v>3001</v>
      </c>
      <c r="C2815" t="s">
        <v>243</v>
      </c>
      <c r="D2815" t="s">
        <v>63</v>
      </c>
      <c r="E2815" t="s">
        <v>35</v>
      </c>
      <c r="F2815" t="s">
        <v>36</v>
      </c>
      <c r="G2815" t="s">
        <v>37</v>
      </c>
      <c r="H2815" t="s">
        <v>178</v>
      </c>
      <c r="I2815" t="s">
        <v>29</v>
      </c>
      <c r="J2815" s="2">
        <v>7</v>
      </c>
      <c r="K2815" s="3">
        <v>521.66999999999996</v>
      </c>
      <c r="L2815" s="3">
        <v>246.98</v>
      </c>
      <c r="M2815" s="4">
        <v>0</v>
      </c>
      <c r="N2815" s="3">
        <f t="shared" si="215"/>
        <v>3651.69</v>
      </c>
      <c r="O2815" s="3">
        <f t="shared" si="216"/>
        <v>3651.69</v>
      </c>
      <c r="P2815" s="3">
        <f t="shared" si="217"/>
        <v>1728.86</v>
      </c>
      <c r="Q2815" s="3">
        <f t="shared" si="218"/>
        <v>1922.83</v>
      </c>
      <c r="R2815" s="4">
        <f t="shared" si="219"/>
        <v>0.52659999999999996</v>
      </c>
      <c r="S2815" s="2">
        <v>5</v>
      </c>
      <c r="T2815" t="s">
        <v>46</v>
      </c>
      <c r="U2815">
        <v>4</v>
      </c>
    </row>
    <row r="2816" spans="1:21" x14ac:dyDescent="0.25">
      <c r="A2816" s="1">
        <v>46117</v>
      </c>
      <c r="B2816" t="s">
        <v>3002</v>
      </c>
      <c r="C2816" t="s">
        <v>247</v>
      </c>
      <c r="D2816" t="s">
        <v>130</v>
      </c>
      <c r="E2816" t="s">
        <v>72</v>
      </c>
      <c r="F2816" t="s">
        <v>58</v>
      </c>
      <c r="G2816" t="s">
        <v>51</v>
      </c>
      <c r="H2816" t="s">
        <v>52</v>
      </c>
      <c r="I2816" t="s">
        <v>87</v>
      </c>
      <c r="J2816" s="2">
        <v>4</v>
      </c>
      <c r="K2816" s="3">
        <v>257.14</v>
      </c>
      <c r="L2816" s="3">
        <v>122.58</v>
      </c>
      <c r="M2816" s="4">
        <v>0.12089999999999999</v>
      </c>
      <c r="N2816" s="3">
        <f t="shared" si="215"/>
        <v>1028.56</v>
      </c>
      <c r="O2816" s="3">
        <f t="shared" si="216"/>
        <v>904.21</v>
      </c>
      <c r="P2816" s="3">
        <f t="shared" si="217"/>
        <v>490.32</v>
      </c>
      <c r="Q2816" s="3">
        <f t="shared" si="218"/>
        <v>413.89</v>
      </c>
      <c r="R2816" s="4">
        <f t="shared" si="219"/>
        <v>0.4577</v>
      </c>
      <c r="S2816" s="2">
        <v>6</v>
      </c>
      <c r="T2816" t="s">
        <v>46</v>
      </c>
      <c r="U2816">
        <v>4</v>
      </c>
    </row>
    <row r="2817" spans="1:21" x14ac:dyDescent="0.25">
      <c r="A2817" s="1">
        <v>46193</v>
      </c>
      <c r="B2817" t="s">
        <v>3003</v>
      </c>
      <c r="C2817" t="s">
        <v>466</v>
      </c>
      <c r="D2817" t="s">
        <v>101</v>
      </c>
      <c r="E2817" t="s">
        <v>35</v>
      </c>
      <c r="F2817" t="s">
        <v>58</v>
      </c>
      <c r="G2817" t="s">
        <v>44</v>
      </c>
      <c r="H2817" t="s">
        <v>124</v>
      </c>
      <c r="I2817" t="s">
        <v>94</v>
      </c>
      <c r="J2817" s="2">
        <v>6</v>
      </c>
      <c r="K2817" s="3">
        <v>5804.3</v>
      </c>
      <c r="L2817" s="3">
        <v>4278.84</v>
      </c>
      <c r="M2817" s="4">
        <v>8.4900000000000003E-2</v>
      </c>
      <c r="N2817" s="3">
        <f t="shared" si="215"/>
        <v>34825.800000000003</v>
      </c>
      <c r="O2817" s="3">
        <f t="shared" si="216"/>
        <v>31869.09</v>
      </c>
      <c r="P2817" s="3">
        <f t="shared" si="217"/>
        <v>25673.040000000001</v>
      </c>
      <c r="Q2817" s="3">
        <f t="shared" si="218"/>
        <v>6196.05</v>
      </c>
      <c r="R2817" s="4">
        <f t="shared" si="219"/>
        <v>0.19439999999999999</v>
      </c>
      <c r="S2817" s="2">
        <v>9</v>
      </c>
      <c r="T2817" t="s">
        <v>46</v>
      </c>
      <c r="U2817">
        <v>2</v>
      </c>
    </row>
    <row r="2818" spans="1:21" x14ac:dyDescent="0.25">
      <c r="A2818" s="1">
        <v>46086</v>
      </c>
      <c r="B2818" t="s">
        <v>3004</v>
      </c>
      <c r="C2818" t="s">
        <v>290</v>
      </c>
      <c r="D2818" t="s">
        <v>97</v>
      </c>
      <c r="E2818" t="s">
        <v>57</v>
      </c>
      <c r="F2818" t="s">
        <v>26</v>
      </c>
      <c r="G2818" t="s">
        <v>51</v>
      </c>
      <c r="H2818" t="s">
        <v>59</v>
      </c>
      <c r="I2818" t="s">
        <v>87</v>
      </c>
      <c r="J2818" s="2">
        <v>5</v>
      </c>
      <c r="K2818" s="3">
        <v>2285.02</v>
      </c>
      <c r="L2818" s="3">
        <v>1449.75</v>
      </c>
      <c r="M2818" s="4">
        <v>0</v>
      </c>
      <c r="N2818" s="3">
        <f t="shared" ref="N2818:N2881" si="220">ROUND(J2818*K2818,2)</f>
        <v>11425.1</v>
      </c>
      <c r="O2818" s="3">
        <f t="shared" ref="O2818:O2881" si="221">ROUND(N2818*(1-M2818),2)</f>
        <v>11425.1</v>
      </c>
      <c r="P2818" s="3">
        <f t="shared" ref="P2818:P2881" si="222">ROUND(J2818*L2818,2)</f>
        <v>7248.75</v>
      </c>
      <c r="Q2818" s="3">
        <f t="shared" ref="Q2818:Q2881" si="223">ROUND(O2818-P2818,2)</f>
        <v>4176.3500000000004</v>
      </c>
      <c r="R2818" s="4">
        <f t="shared" ref="R2818:R2881" si="224">IF(O2818=0,0,ROUND(Q2818/O2818,4))</f>
        <v>0.36549999999999999</v>
      </c>
      <c r="S2818" s="2">
        <v>3</v>
      </c>
      <c r="T2818" t="s">
        <v>46</v>
      </c>
      <c r="U2818">
        <v>3</v>
      </c>
    </row>
    <row r="2819" spans="1:21" x14ac:dyDescent="0.25">
      <c r="A2819" s="1">
        <v>46094</v>
      </c>
      <c r="B2819" t="s">
        <v>3005</v>
      </c>
      <c r="C2819" t="s">
        <v>253</v>
      </c>
      <c r="D2819" t="s">
        <v>101</v>
      </c>
      <c r="E2819" t="s">
        <v>35</v>
      </c>
      <c r="F2819" t="s">
        <v>58</v>
      </c>
      <c r="G2819" t="s">
        <v>51</v>
      </c>
      <c r="H2819" t="s">
        <v>52</v>
      </c>
      <c r="I2819" t="s">
        <v>94</v>
      </c>
      <c r="J2819" s="2">
        <v>5</v>
      </c>
      <c r="K2819" s="3">
        <v>248.1</v>
      </c>
      <c r="L2819" s="3">
        <v>123.1</v>
      </c>
      <c r="M2819" s="4">
        <v>3.7499999999999999E-2</v>
      </c>
      <c r="N2819" s="3">
        <f t="shared" si="220"/>
        <v>1240.5</v>
      </c>
      <c r="O2819" s="3">
        <f t="shared" si="221"/>
        <v>1193.98</v>
      </c>
      <c r="P2819" s="3">
        <f t="shared" si="222"/>
        <v>615.5</v>
      </c>
      <c r="Q2819" s="3">
        <f t="shared" si="223"/>
        <v>578.48</v>
      </c>
      <c r="R2819" s="4">
        <f t="shared" si="224"/>
        <v>0.48449999999999999</v>
      </c>
      <c r="S2819" s="2">
        <v>7</v>
      </c>
      <c r="T2819" t="s">
        <v>46</v>
      </c>
      <c r="U2819">
        <v>2</v>
      </c>
    </row>
    <row r="2820" spans="1:21" x14ac:dyDescent="0.25">
      <c r="A2820" s="1">
        <v>46230</v>
      </c>
      <c r="B2820" t="s">
        <v>3006</v>
      </c>
      <c r="C2820" t="s">
        <v>123</v>
      </c>
      <c r="D2820" t="s">
        <v>85</v>
      </c>
      <c r="E2820" t="s">
        <v>50</v>
      </c>
      <c r="F2820" t="s">
        <v>36</v>
      </c>
      <c r="G2820" t="s">
        <v>51</v>
      </c>
      <c r="H2820" t="s">
        <v>116</v>
      </c>
      <c r="I2820" t="s">
        <v>39</v>
      </c>
      <c r="J2820" s="2">
        <v>5</v>
      </c>
      <c r="K2820" s="3">
        <v>2798.97</v>
      </c>
      <c r="L2820" s="3">
        <v>1887.6</v>
      </c>
      <c r="M2820" s="4">
        <v>0.11650000000000001</v>
      </c>
      <c r="N2820" s="3">
        <f t="shared" si="220"/>
        <v>13994.85</v>
      </c>
      <c r="O2820" s="3">
        <f t="shared" si="221"/>
        <v>12364.45</v>
      </c>
      <c r="P2820" s="3">
        <f t="shared" si="222"/>
        <v>9438</v>
      </c>
      <c r="Q2820" s="3">
        <f t="shared" si="223"/>
        <v>2926.45</v>
      </c>
      <c r="R2820" s="4">
        <f t="shared" si="224"/>
        <v>0.23669999999999999</v>
      </c>
      <c r="S2820" s="2">
        <v>9</v>
      </c>
      <c r="T2820" t="s">
        <v>46</v>
      </c>
      <c r="U2820">
        <v>2</v>
      </c>
    </row>
    <row r="2821" spans="1:21" x14ac:dyDescent="0.25">
      <c r="A2821" s="1">
        <v>46088</v>
      </c>
      <c r="B2821" t="s">
        <v>3007</v>
      </c>
      <c r="C2821" t="s">
        <v>106</v>
      </c>
      <c r="D2821" t="s">
        <v>63</v>
      </c>
      <c r="E2821" t="s">
        <v>35</v>
      </c>
      <c r="F2821" t="s">
        <v>58</v>
      </c>
      <c r="G2821" t="s">
        <v>27</v>
      </c>
      <c r="H2821" t="s">
        <v>86</v>
      </c>
      <c r="I2821" t="s">
        <v>60</v>
      </c>
      <c r="J2821" s="2">
        <v>5</v>
      </c>
      <c r="K2821" s="3">
        <v>1837.14</v>
      </c>
      <c r="L2821" s="3">
        <v>1157.43</v>
      </c>
      <c r="M2821" s="4">
        <v>3.5000000000000003E-2</v>
      </c>
      <c r="N2821" s="3">
        <f t="shared" si="220"/>
        <v>9185.7000000000007</v>
      </c>
      <c r="O2821" s="3">
        <f t="shared" si="221"/>
        <v>8864.2000000000007</v>
      </c>
      <c r="P2821" s="3">
        <f t="shared" si="222"/>
        <v>5787.15</v>
      </c>
      <c r="Q2821" s="3">
        <f t="shared" si="223"/>
        <v>3077.05</v>
      </c>
      <c r="R2821" s="4">
        <f t="shared" si="224"/>
        <v>0.34710000000000002</v>
      </c>
      <c r="S2821" s="2">
        <v>2</v>
      </c>
      <c r="T2821" t="s">
        <v>46</v>
      </c>
      <c r="U2821">
        <v>3</v>
      </c>
    </row>
    <row r="2822" spans="1:21" x14ac:dyDescent="0.25">
      <c r="A2822" s="1">
        <v>46160</v>
      </c>
      <c r="B2822" t="s">
        <v>3008</v>
      </c>
      <c r="C2822" t="s">
        <v>172</v>
      </c>
      <c r="D2822" t="s">
        <v>139</v>
      </c>
      <c r="E2822" t="s">
        <v>72</v>
      </c>
      <c r="F2822" t="s">
        <v>26</v>
      </c>
      <c r="G2822" t="s">
        <v>44</v>
      </c>
      <c r="H2822" t="s">
        <v>45</v>
      </c>
      <c r="I2822" t="s">
        <v>29</v>
      </c>
      <c r="J2822" s="2">
        <v>3</v>
      </c>
      <c r="K2822" s="3">
        <v>387.86</v>
      </c>
      <c r="L2822" s="3">
        <v>211.84</v>
      </c>
      <c r="M2822" s="4">
        <v>3.7900000000000003E-2</v>
      </c>
      <c r="N2822" s="3">
        <f t="shared" si="220"/>
        <v>1163.58</v>
      </c>
      <c r="O2822" s="3">
        <f t="shared" si="221"/>
        <v>1119.48</v>
      </c>
      <c r="P2822" s="3">
        <f t="shared" si="222"/>
        <v>635.52</v>
      </c>
      <c r="Q2822" s="3">
        <f t="shared" si="223"/>
        <v>483.96</v>
      </c>
      <c r="R2822" s="4">
        <f t="shared" si="224"/>
        <v>0.43230000000000002</v>
      </c>
      <c r="S2822" s="2">
        <v>14</v>
      </c>
      <c r="T2822" t="s">
        <v>30</v>
      </c>
      <c r="U2822">
        <v>2</v>
      </c>
    </row>
    <row r="2823" spans="1:21" x14ac:dyDescent="0.25">
      <c r="A2823" s="1">
        <v>46224</v>
      </c>
      <c r="B2823" t="s">
        <v>3009</v>
      </c>
      <c r="C2823" t="s">
        <v>155</v>
      </c>
      <c r="D2823" t="s">
        <v>34</v>
      </c>
      <c r="E2823" t="s">
        <v>35</v>
      </c>
      <c r="F2823" t="s">
        <v>64</v>
      </c>
      <c r="G2823" t="s">
        <v>27</v>
      </c>
      <c r="H2823" t="s">
        <v>86</v>
      </c>
      <c r="I2823" t="s">
        <v>87</v>
      </c>
      <c r="J2823" s="2">
        <v>1</v>
      </c>
      <c r="K2823" s="3">
        <v>1855.71</v>
      </c>
      <c r="L2823" s="3">
        <v>1174.4100000000001</v>
      </c>
      <c r="M2823" s="4">
        <v>0</v>
      </c>
      <c r="N2823" s="3">
        <f t="shared" si="220"/>
        <v>1855.71</v>
      </c>
      <c r="O2823" s="3">
        <f t="shared" si="221"/>
        <v>1855.71</v>
      </c>
      <c r="P2823" s="3">
        <f t="shared" si="222"/>
        <v>1174.4100000000001</v>
      </c>
      <c r="Q2823" s="3">
        <f t="shared" si="223"/>
        <v>681.3</v>
      </c>
      <c r="R2823" s="4">
        <f t="shared" si="224"/>
        <v>0.36709999999999998</v>
      </c>
      <c r="S2823" s="2">
        <v>5</v>
      </c>
      <c r="T2823" t="s">
        <v>46</v>
      </c>
      <c r="U2823">
        <v>4</v>
      </c>
    </row>
    <row r="2824" spans="1:21" x14ac:dyDescent="0.25">
      <c r="A2824" s="1">
        <v>46170</v>
      </c>
      <c r="B2824" t="s">
        <v>3010</v>
      </c>
      <c r="C2824" t="s">
        <v>514</v>
      </c>
      <c r="D2824" t="s">
        <v>101</v>
      </c>
      <c r="E2824" t="s">
        <v>35</v>
      </c>
      <c r="F2824" t="s">
        <v>64</v>
      </c>
      <c r="G2824" t="s">
        <v>51</v>
      </c>
      <c r="H2824" t="s">
        <v>59</v>
      </c>
      <c r="I2824" t="s">
        <v>87</v>
      </c>
      <c r="J2824" s="2">
        <v>6</v>
      </c>
      <c r="K2824" s="3">
        <v>2313.71</v>
      </c>
      <c r="L2824" s="3">
        <v>1448.61</v>
      </c>
      <c r="M2824" s="4">
        <v>0.11169999999999999</v>
      </c>
      <c r="N2824" s="3">
        <f t="shared" si="220"/>
        <v>13882.26</v>
      </c>
      <c r="O2824" s="3">
        <f t="shared" si="221"/>
        <v>12331.61</v>
      </c>
      <c r="P2824" s="3">
        <f t="shared" si="222"/>
        <v>8691.66</v>
      </c>
      <c r="Q2824" s="3">
        <f t="shared" si="223"/>
        <v>3639.95</v>
      </c>
      <c r="R2824" s="4">
        <f t="shared" si="224"/>
        <v>0.29520000000000002</v>
      </c>
      <c r="S2824" s="2">
        <v>10</v>
      </c>
      <c r="T2824" t="s">
        <v>46</v>
      </c>
      <c r="U2824">
        <v>2</v>
      </c>
    </row>
    <row r="2825" spans="1:21" x14ac:dyDescent="0.25">
      <c r="A2825" s="1">
        <v>46073</v>
      </c>
      <c r="B2825" t="s">
        <v>3011</v>
      </c>
      <c r="C2825" t="s">
        <v>204</v>
      </c>
      <c r="D2825" t="s">
        <v>71</v>
      </c>
      <c r="E2825" t="s">
        <v>72</v>
      </c>
      <c r="F2825" t="s">
        <v>64</v>
      </c>
      <c r="G2825" t="s">
        <v>27</v>
      </c>
      <c r="H2825" t="s">
        <v>28</v>
      </c>
      <c r="I2825" t="s">
        <v>77</v>
      </c>
      <c r="J2825" s="2">
        <v>2</v>
      </c>
      <c r="K2825" s="3">
        <v>786.63</v>
      </c>
      <c r="L2825" s="3">
        <v>485.14</v>
      </c>
      <c r="M2825" s="4">
        <v>0.1069</v>
      </c>
      <c r="N2825" s="3">
        <f t="shared" si="220"/>
        <v>1573.26</v>
      </c>
      <c r="O2825" s="3">
        <f t="shared" si="221"/>
        <v>1405.08</v>
      </c>
      <c r="P2825" s="3">
        <f t="shared" si="222"/>
        <v>970.28</v>
      </c>
      <c r="Q2825" s="3">
        <f t="shared" si="223"/>
        <v>434.8</v>
      </c>
      <c r="R2825" s="4">
        <f t="shared" si="224"/>
        <v>0.30940000000000001</v>
      </c>
      <c r="S2825" s="2">
        <v>9</v>
      </c>
      <c r="T2825" t="s">
        <v>46</v>
      </c>
      <c r="U2825">
        <v>2</v>
      </c>
    </row>
    <row r="2826" spans="1:21" x14ac:dyDescent="0.25">
      <c r="A2826" s="1">
        <v>46139</v>
      </c>
      <c r="B2826" t="s">
        <v>3012</v>
      </c>
      <c r="C2826" t="s">
        <v>606</v>
      </c>
      <c r="D2826" t="s">
        <v>113</v>
      </c>
      <c r="E2826" t="s">
        <v>50</v>
      </c>
      <c r="F2826" t="s">
        <v>36</v>
      </c>
      <c r="G2826" t="s">
        <v>51</v>
      </c>
      <c r="H2826" t="s">
        <v>116</v>
      </c>
      <c r="I2826" t="s">
        <v>77</v>
      </c>
      <c r="J2826" s="2">
        <v>3</v>
      </c>
      <c r="K2826" s="3">
        <v>2655.47</v>
      </c>
      <c r="L2826" s="3">
        <v>1754.76</v>
      </c>
      <c r="M2826" s="4">
        <v>8.8999999999999999E-3</v>
      </c>
      <c r="N2826" s="3">
        <f t="shared" si="220"/>
        <v>7966.41</v>
      </c>
      <c r="O2826" s="3">
        <f t="shared" si="221"/>
        <v>7895.51</v>
      </c>
      <c r="P2826" s="3">
        <f t="shared" si="222"/>
        <v>5264.28</v>
      </c>
      <c r="Q2826" s="3">
        <f t="shared" si="223"/>
        <v>2631.23</v>
      </c>
      <c r="R2826" s="4">
        <f t="shared" si="224"/>
        <v>0.33329999999999999</v>
      </c>
      <c r="S2826" s="2">
        <v>7</v>
      </c>
      <c r="T2826" t="s">
        <v>46</v>
      </c>
      <c r="U2826">
        <v>4</v>
      </c>
    </row>
    <row r="2827" spans="1:21" x14ac:dyDescent="0.25">
      <c r="A2827" s="1">
        <v>46045</v>
      </c>
      <c r="B2827" t="s">
        <v>3013</v>
      </c>
      <c r="C2827" t="s">
        <v>247</v>
      </c>
      <c r="D2827" t="s">
        <v>139</v>
      </c>
      <c r="E2827" t="s">
        <v>72</v>
      </c>
      <c r="F2827" t="s">
        <v>58</v>
      </c>
      <c r="G2827" t="s">
        <v>37</v>
      </c>
      <c r="H2827" t="s">
        <v>38</v>
      </c>
      <c r="I2827" t="s">
        <v>39</v>
      </c>
      <c r="J2827" s="2">
        <v>3</v>
      </c>
      <c r="K2827" s="3">
        <v>449.22</v>
      </c>
      <c r="L2827" s="3">
        <v>200.48</v>
      </c>
      <c r="M2827" s="4">
        <v>0.1212</v>
      </c>
      <c r="N2827" s="3">
        <f t="shared" si="220"/>
        <v>1347.66</v>
      </c>
      <c r="O2827" s="3">
        <f t="shared" si="221"/>
        <v>1184.32</v>
      </c>
      <c r="P2827" s="3">
        <f t="shared" si="222"/>
        <v>601.44000000000005</v>
      </c>
      <c r="Q2827" s="3">
        <f t="shared" si="223"/>
        <v>582.88</v>
      </c>
      <c r="R2827" s="4">
        <f t="shared" si="224"/>
        <v>0.49220000000000003</v>
      </c>
      <c r="S2827" s="2">
        <v>13</v>
      </c>
      <c r="T2827" t="s">
        <v>30</v>
      </c>
      <c r="U2827">
        <v>4</v>
      </c>
    </row>
    <row r="2828" spans="1:21" x14ac:dyDescent="0.25">
      <c r="A2828" s="1">
        <v>46134</v>
      </c>
      <c r="B2828" t="s">
        <v>3014</v>
      </c>
      <c r="C2828" t="s">
        <v>148</v>
      </c>
      <c r="D2828" t="s">
        <v>49</v>
      </c>
      <c r="E2828" t="s">
        <v>50</v>
      </c>
      <c r="F2828" t="s">
        <v>58</v>
      </c>
      <c r="G2828" t="s">
        <v>51</v>
      </c>
      <c r="H2828" t="s">
        <v>59</v>
      </c>
      <c r="I2828" t="s">
        <v>92</v>
      </c>
      <c r="J2828" s="2">
        <v>7</v>
      </c>
      <c r="K2828" s="3">
        <v>2203.36</v>
      </c>
      <c r="L2828" s="3">
        <v>1451.92</v>
      </c>
      <c r="M2828" s="4">
        <v>3.5000000000000003E-2</v>
      </c>
      <c r="N2828" s="3">
        <f t="shared" si="220"/>
        <v>15423.52</v>
      </c>
      <c r="O2828" s="3">
        <f t="shared" si="221"/>
        <v>14883.7</v>
      </c>
      <c r="P2828" s="3">
        <f t="shared" si="222"/>
        <v>10163.44</v>
      </c>
      <c r="Q2828" s="3">
        <f t="shared" si="223"/>
        <v>4720.26</v>
      </c>
      <c r="R2828" s="4">
        <f t="shared" si="224"/>
        <v>0.31709999999999999</v>
      </c>
      <c r="S2828" s="2">
        <v>4</v>
      </c>
      <c r="T2828" t="s">
        <v>46</v>
      </c>
      <c r="U2828">
        <v>2</v>
      </c>
    </row>
    <row r="2829" spans="1:21" x14ac:dyDescent="0.25">
      <c r="A2829" s="1">
        <v>46100</v>
      </c>
      <c r="B2829" t="s">
        <v>3015</v>
      </c>
      <c r="C2829" t="s">
        <v>136</v>
      </c>
      <c r="D2829" t="s">
        <v>126</v>
      </c>
      <c r="E2829" t="s">
        <v>57</v>
      </c>
      <c r="F2829" t="s">
        <v>36</v>
      </c>
      <c r="G2829" t="s">
        <v>51</v>
      </c>
      <c r="H2829" t="s">
        <v>52</v>
      </c>
      <c r="I2829" t="s">
        <v>77</v>
      </c>
      <c r="J2829" s="2">
        <v>8</v>
      </c>
      <c r="K2829" s="3">
        <v>261.77999999999997</v>
      </c>
      <c r="L2829" s="3">
        <v>121.76</v>
      </c>
      <c r="M2829" s="4">
        <v>0.1278</v>
      </c>
      <c r="N2829" s="3">
        <f t="shared" si="220"/>
        <v>2094.2399999999998</v>
      </c>
      <c r="O2829" s="3">
        <f t="shared" si="221"/>
        <v>1826.6</v>
      </c>
      <c r="P2829" s="3">
        <f t="shared" si="222"/>
        <v>974.08</v>
      </c>
      <c r="Q2829" s="3">
        <f t="shared" si="223"/>
        <v>852.52</v>
      </c>
      <c r="R2829" s="4">
        <f t="shared" si="224"/>
        <v>0.4667</v>
      </c>
      <c r="S2829" s="2">
        <v>7</v>
      </c>
      <c r="T2829" t="s">
        <v>46</v>
      </c>
      <c r="U2829">
        <v>4</v>
      </c>
    </row>
    <row r="2830" spans="1:21" x14ac:dyDescent="0.25">
      <c r="A2830" s="1">
        <v>46079</v>
      </c>
      <c r="B2830" t="s">
        <v>3016</v>
      </c>
      <c r="C2830" t="s">
        <v>184</v>
      </c>
      <c r="D2830" t="s">
        <v>101</v>
      </c>
      <c r="E2830" t="s">
        <v>35</v>
      </c>
      <c r="F2830" t="s">
        <v>64</v>
      </c>
      <c r="G2830" t="s">
        <v>37</v>
      </c>
      <c r="H2830" t="s">
        <v>104</v>
      </c>
      <c r="I2830" t="s">
        <v>29</v>
      </c>
      <c r="J2830" s="2">
        <v>2</v>
      </c>
      <c r="K2830" s="3">
        <v>329.84</v>
      </c>
      <c r="L2830" s="3">
        <v>132.36000000000001</v>
      </c>
      <c r="M2830" s="4">
        <v>0</v>
      </c>
      <c r="N2830" s="3">
        <f t="shared" si="220"/>
        <v>659.68</v>
      </c>
      <c r="O2830" s="3">
        <f t="shared" si="221"/>
        <v>659.68</v>
      </c>
      <c r="P2830" s="3">
        <f t="shared" si="222"/>
        <v>264.72000000000003</v>
      </c>
      <c r="Q2830" s="3">
        <f t="shared" si="223"/>
        <v>394.96</v>
      </c>
      <c r="R2830" s="4">
        <f t="shared" si="224"/>
        <v>0.59870000000000001</v>
      </c>
      <c r="S2830" s="2">
        <v>13</v>
      </c>
      <c r="T2830" t="s">
        <v>30</v>
      </c>
      <c r="U2830">
        <v>4</v>
      </c>
    </row>
    <row r="2831" spans="1:21" x14ac:dyDescent="0.25">
      <c r="A2831" s="1">
        <v>46217</v>
      </c>
      <c r="B2831" t="s">
        <v>3017</v>
      </c>
      <c r="C2831" t="s">
        <v>500</v>
      </c>
      <c r="D2831" t="s">
        <v>71</v>
      </c>
      <c r="E2831" t="s">
        <v>72</v>
      </c>
      <c r="F2831" t="s">
        <v>58</v>
      </c>
      <c r="G2831" t="s">
        <v>44</v>
      </c>
      <c r="H2831" t="s">
        <v>124</v>
      </c>
      <c r="I2831" t="s">
        <v>29</v>
      </c>
      <c r="J2831" s="2">
        <v>1</v>
      </c>
      <c r="K2831" s="3">
        <v>5939.05</v>
      </c>
      <c r="L2831" s="3">
        <v>4532.13</v>
      </c>
      <c r="M2831" s="4">
        <v>3.5000000000000003E-2</v>
      </c>
      <c r="N2831" s="3">
        <f t="shared" si="220"/>
        <v>5939.05</v>
      </c>
      <c r="O2831" s="3">
        <f t="shared" si="221"/>
        <v>5731.18</v>
      </c>
      <c r="P2831" s="3">
        <f t="shared" si="222"/>
        <v>4532.13</v>
      </c>
      <c r="Q2831" s="3">
        <f t="shared" si="223"/>
        <v>1199.05</v>
      </c>
      <c r="R2831" s="4">
        <f t="shared" si="224"/>
        <v>0.2092</v>
      </c>
      <c r="S2831" s="2">
        <v>6</v>
      </c>
      <c r="T2831" t="s">
        <v>46</v>
      </c>
      <c r="U2831">
        <v>3</v>
      </c>
    </row>
    <row r="2832" spans="1:21" x14ac:dyDescent="0.25">
      <c r="A2832" s="1">
        <v>46053</v>
      </c>
      <c r="B2832" t="s">
        <v>3018</v>
      </c>
      <c r="C2832" t="s">
        <v>150</v>
      </c>
      <c r="D2832" t="s">
        <v>71</v>
      </c>
      <c r="E2832" t="s">
        <v>72</v>
      </c>
      <c r="F2832" t="s">
        <v>26</v>
      </c>
      <c r="G2832" t="s">
        <v>51</v>
      </c>
      <c r="H2832" t="s">
        <v>52</v>
      </c>
      <c r="I2832" t="s">
        <v>87</v>
      </c>
      <c r="J2832" s="2">
        <v>3</v>
      </c>
      <c r="K2832" s="3">
        <v>272.12</v>
      </c>
      <c r="L2832" s="3">
        <v>122.91</v>
      </c>
      <c r="M2832" s="4">
        <v>0</v>
      </c>
      <c r="N2832" s="3">
        <f t="shared" si="220"/>
        <v>816.36</v>
      </c>
      <c r="O2832" s="3">
        <f t="shared" si="221"/>
        <v>816.36</v>
      </c>
      <c r="P2832" s="3">
        <f t="shared" si="222"/>
        <v>368.73</v>
      </c>
      <c r="Q2832" s="3">
        <f t="shared" si="223"/>
        <v>447.63</v>
      </c>
      <c r="R2832" s="4">
        <f t="shared" si="224"/>
        <v>0.54830000000000001</v>
      </c>
      <c r="S2832" s="2">
        <v>9</v>
      </c>
      <c r="T2832" t="s">
        <v>46</v>
      </c>
      <c r="U2832">
        <v>5</v>
      </c>
    </row>
    <row r="2833" spans="1:21" x14ac:dyDescent="0.25">
      <c r="A2833" s="1">
        <v>46069</v>
      </c>
      <c r="B2833" t="s">
        <v>3019</v>
      </c>
      <c r="C2833" t="s">
        <v>260</v>
      </c>
      <c r="D2833" t="s">
        <v>126</v>
      </c>
      <c r="E2833" t="s">
        <v>57</v>
      </c>
      <c r="F2833" t="s">
        <v>58</v>
      </c>
      <c r="G2833" t="s">
        <v>37</v>
      </c>
      <c r="H2833" t="s">
        <v>104</v>
      </c>
      <c r="I2833" t="s">
        <v>94</v>
      </c>
      <c r="J2833" s="2">
        <v>3</v>
      </c>
      <c r="K2833" s="3">
        <v>334.96</v>
      </c>
      <c r="L2833" s="3">
        <v>134.54</v>
      </c>
      <c r="M2833" s="4">
        <v>0.1101</v>
      </c>
      <c r="N2833" s="3">
        <f t="shared" si="220"/>
        <v>1004.88</v>
      </c>
      <c r="O2833" s="3">
        <f t="shared" si="221"/>
        <v>894.24</v>
      </c>
      <c r="P2833" s="3">
        <f t="shared" si="222"/>
        <v>403.62</v>
      </c>
      <c r="Q2833" s="3">
        <f t="shared" si="223"/>
        <v>490.62</v>
      </c>
      <c r="R2833" s="4">
        <f t="shared" si="224"/>
        <v>0.54859999999999998</v>
      </c>
      <c r="S2833" s="2">
        <v>7</v>
      </c>
      <c r="T2833" t="s">
        <v>46</v>
      </c>
      <c r="U2833">
        <v>2</v>
      </c>
    </row>
    <row r="2834" spans="1:21" x14ac:dyDescent="0.25">
      <c r="A2834" s="1">
        <v>46037</v>
      </c>
      <c r="B2834" t="s">
        <v>3020</v>
      </c>
      <c r="C2834" t="s">
        <v>216</v>
      </c>
      <c r="D2834" t="s">
        <v>43</v>
      </c>
      <c r="E2834" t="s">
        <v>25</v>
      </c>
      <c r="F2834" t="s">
        <v>58</v>
      </c>
      <c r="G2834" t="s">
        <v>37</v>
      </c>
      <c r="H2834" t="s">
        <v>38</v>
      </c>
      <c r="I2834" t="s">
        <v>77</v>
      </c>
      <c r="J2834" s="2">
        <v>7</v>
      </c>
      <c r="K2834" s="3">
        <v>428.8</v>
      </c>
      <c r="L2834" s="3">
        <v>201.94</v>
      </c>
      <c r="M2834" s="4">
        <v>8.1600000000000006E-2</v>
      </c>
      <c r="N2834" s="3">
        <f t="shared" si="220"/>
        <v>3001.6</v>
      </c>
      <c r="O2834" s="3">
        <f t="shared" si="221"/>
        <v>2756.67</v>
      </c>
      <c r="P2834" s="3">
        <f t="shared" si="222"/>
        <v>1413.58</v>
      </c>
      <c r="Q2834" s="3">
        <f t="shared" si="223"/>
        <v>1343.09</v>
      </c>
      <c r="R2834" s="4">
        <f t="shared" si="224"/>
        <v>0.48720000000000002</v>
      </c>
      <c r="S2834" s="2">
        <v>2</v>
      </c>
      <c r="T2834" t="s">
        <v>46</v>
      </c>
      <c r="U2834">
        <v>4</v>
      </c>
    </row>
    <row r="2835" spans="1:21" x14ac:dyDescent="0.25">
      <c r="A2835" s="1">
        <v>46065</v>
      </c>
      <c r="B2835" t="s">
        <v>3021</v>
      </c>
      <c r="C2835" t="s">
        <v>176</v>
      </c>
      <c r="D2835" t="s">
        <v>34</v>
      </c>
      <c r="E2835" t="s">
        <v>35</v>
      </c>
      <c r="F2835" t="s">
        <v>26</v>
      </c>
      <c r="G2835" t="s">
        <v>27</v>
      </c>
      <c r="H2835" t="s">
        <v>86</v>
      </c>
      <c r="I2835" t="s">
        <v>77</v>
      </c>
      <c r="J2835" s="2">
        <v>6</v>
      </c>
      <c r="K2835" s="3">
        <v>1901.59</v>
      </c>
      <c r="L2835" s="3">
        <v>1164.49</v>
      </c>
      <c r="M2835" s="4">
        <v>0</v>
      </c>
      <c r="N2835" s="3">
        <f t="shared" si="220"/>
        <v>11409.54</v>
      </c>
      <c r="O2835" s="3">
        <f t="shared" si="221"/>
        <v>11409.54</v>
      </c>
      <c r="P2835" s="3">
        <f t="shared" si="222"/>
        <v>6986.94</v>
      </c>
      <c r="Q2835" s="3">
        <f t="shared" si="223"/>
        <v>4422.6000000000004</v>
      </c>
      <c r="R2835" s="4">
        <f t="shared" si="224"/>
        <v>0.3876</v>
      </c>
      <c r="S2835" s="2">
        <v>14</v>
      </c>
      <c r="T2835" t="s">
        <v>30</v>
      </c>
      <c r="U2835">
        <v>2</v>
      </c>
    </row>
    <row r="2836" spans="1:21" x14ac:dyDescent="0.25">
      <c r="A2836" s="1">
        <v>46172</v>
      </c>
      <c r="B2836" t="s">
        <v>3022</v>
      </c>
      <c r="C2836" t="s">
        <v>456</v>
      </c>
      <c r="D2836" t="s">
        <v>43</v>
      </c>
      <c r="E2836" t="s">
        <v>25</v>
      </c>
      <c r="F2836" t="s">
        <v>64</v>
      </c>
      <c r="G2836" t="s">
        <v>27</v>
      </c>
      <c r="H2836" t="s">
        <v>28</v>
      </c>
      <c r="I2836" t="s">
        <v>29</v>
      </c>
      <c r="J2836" s="2">
        <v>2</v>
      </c>
      <c r="K2836" s="3">
        <v>812.73</v>
      </c>
      <c r="L2836" s="3">
        <v>464.15</v>
      </c>
      <c r="M2836" s="4">
        <v>3.4799999999999998E-2</v>
      </c>
      <c r="N2836" s="3">
        <f t="shared" si="220"/>
        <v>1625.46</v>
      </c>
      <c r="O2836" s="3">
        <f t="shared" si="221"/>
        <v>1568.89</v>
      </c>
      <c r="P2836" s="3">
        <f t="shared" si="222"/>
        <v>928.3</v>
      </c>
      <c r="Q2836" s="3">
        <f t="shared" si="223"/>
        <v>640.59</v>
      </c>
      <c r="R2836" s="4">
        <f t="shared" si="224"/>
        <v>0.4083</v>
      </c>
      <c r="S2836" s="2">
        <v>10</v>
      </c>
      <c r="T2836" t="s">
        <v>46</v>
      </c>
      <c r="U2836">
        <v>3</v>
      </c>
    </row>
    <row r="2837" spans="1:21" x14ac:dyDescent="0.25">
      <c r="A2837" s="1">
        <v>46138</v>
      </c>
      <c r="B2837" t="s">
        <v>3023</v>
      </c>
      <c r="C2837" t="s">
        <v>297</v>
      </c>
      <c r="D2837" t="s">
        <v>34</v>
      </c>
      <c r="E2837" t="s">
        <v>35</v>
      </c>
      <c r="F2837" t="s">
        <v>58</v>
      </c>
      <c r="G2837" t="s">
        <v>51</v>
      </c>
      <c r="H2837" t="s">
        <v>52</v>
      </c>
      <c r="I2837" t="s">
        <v>53</v>
      </c>
      <c r="J2837" s="2">
        <v>5</v>
      </c>
      <c r="K2837" s="3">
        <v>249.28</v>
      </c>
      <c r="L2837" s="3">
        <v>116.96</v>
      </c>
      <c r="M2837" s="4">
        <v>3.5000000000000003E-2</v>
      </c>
      <c r="N2837" s="3">
        <f t="shared" si="220"/>
        <v>1246.4000000000001</v>
      </c>
      <c r="O2837" s="3">
        <f t="shared" si="221"/>
        <v>1202.78</v>
      </c>
      <c r="P2837" s="3">
        <f t="shared" si="222"/>
        <v>584.79999999999995</v>
      </c>
      <c r="Q2837" s="3">
        <f t="shared" si="223"/>
        <v>617.98</v>
      </c>
      <c r="R2837" s="4">
        <f t="shared" si="224"/>
        <v>0.51380000000000003</v>
      </c>
      <c r="S2837" s="2">
        <v>8</v>
      </c>
      <c r="T2837" t="s">
        <v>46</v>
      </c>
      <c r="U2837">
        <v>5</v>
      </c>
    </row>
    <row r="2838" spans="1:21" x14ac:dyDescent="0.25">
      <c r="A2838" s="1">
        <v>46097</v>
      </c>
      <c r="B2838" t="s">
        <v>3024</v>
      </c>
      <c r="C2838" t="s">
        <v>82</v>
      </c>
      <c r="D2838" t="s">
        <v>121</v>
      </c>
      <c r="E2838" t="s">
        <v>72</v>
      </c>
      <c r="F2838" t="s">
        <v>26</v>
      </c>
      <c r="G2838" t="s">
        <v>44</v>
      </c>
      <c r="H2838" t="s">
        <v>124</v>
      </c>
      <c r="I2838" t="s">
        <v>60</v>
      </c>
      <c r="J2838" s="2">
        <v>3</v>
      </c>
      <c r="K2838" s="3">
        <v>5568.03</v>
      </c>
      <c r="L2838" s="3">
        <v>4360.49</v>
      </c>
      <c r="M2838" s="4">
        <v>0</v>
      </c>
      <c r="N2838" s="3">
        <f t="shared" si="220"/>
        <v>16704.09</v>
      </c>
      <c r="O2838" s="3">
        <f t="shared" si="221"/>
        <v>16704.09</v>
      </c>
      <c r="P2838" s="3">
        <f t="shared" si="222"/>
        <v>13081.47</v>
      </c>
      <c r="Q2838" s="3">
        <f t="shared" si="223"/>
        <v>3622.62</v>
      </c>
      <c r="R2838" s="4">
        <f t="shared" si="224"/>
        <v>0.21690000000000001</v>
      </c>
      <c r="S2838" s="2">
        <v>8</v>
      </c>
      <c r="T2838" t="s">
        <v>46</v>
      </c>
      <c r="U2838">
        <v>3</v>
      </c>
    </row>
    <row r="2839" spans="1:21" x14ac:dyDescent="0.25">
      <c r="A2839" s="1">
        <v>46144</v>
      </c>
      <c r="B2839" t="s">
        <v>3025</v>
      </c>
      <c r="C2839" t="s">
        <v>527</v>
      </c>
      <c r="D2839" t="s">
        <v>130</v>
      </c>
      <c r="E2839" t="s">
        <v>72</v>
      </c>
      <c r="F2839" t="s">
        <v>36</v>
      </c>
      <c r="G2839" t="s">
        <v>27</v>
      </c>
      <c r="H2839" t="s">
        <v>28</v>
      </c>
      <c r="I2839" t="s">
        <v>53</v>
      </c>
      <c r="J2839" s="2">
        <v>3</v>
      </c>
      <c r="K2839" s="3">
        <v>818.98</v>
      </c>
      <c r="L2839" s="3">
        <v>453.61</v>
      </c>
      <c r="M2839" s="4">
        <v>2.8799999999999999E-2</v>
      </c>
      <c r="N2839" s="3">
        <f t="shared" si="220"/>
        <v>2456.94</v>
      </c>
      <c r="O2839" s="3">
        <f t="shared" si="221"/>
        <v>2386.1799999999998</v>
      </c>
      <c r="P2839" s="3">
        <f t="shared" si="222"/>
        <v>1360.83</v>
      </c>
      <c r="Q2839" s="3">
        <f t="shared" si="223"/>
        <v>1025.3499999999999</v>
      </c>
      <c r="R2839" s="4">
        <f t="shared" si="224"/>
        <v>0.42970000000000003</v>
      </c>
      <c r="S2839" s="2">
        <v>11</v>
      </c>
      <c r="T2839" t="s">
        <v>30</v>
      </c>
      <c r="U2839">
        <v>5</v>
      </c>
    </row>
    <row r="2840" spans="1:21" x14ac:dyDescent="0.25">
      <c r="A2840" s="1">
        <v>46177</v>
      </c>
      <c r="B2840" t="s">
        <v>3026</v>
      </c>
      <c r="C2840" t="s">
        <v>609</v>
      </c>
      <c r="D2840" t="s">
        <v>34</v>
      </c>
      <c r="E2840" t="s">
        <v>35</v>
      </c>
      <c r="F2840" t="s">
        <v>36</v>
      </c>
      <c r="G2840" t="s">
        <v>37</v>
      </c>
      <c r="H2840" t="s">
        <v>104</v>
      </c>
      <c r="I2840" t="s">
        <v>39</v>
      </c>
      <c r="J2840" s="2">
        <v>6</v>
      </c>
      <c r="K2840" s="3">
        <v>325.08999999999997</v>
      </c>
      <c r="L2840" s="3">
        <v>138.96</v>
      </c>
      <c r="M2840" s="4">
        <v>0</v>
      </c>
      <c r="N2840" s="3">
        <f t="shared" si="220"/>
        <v>1950.54</v>
      </c>
      <c r="O2840" s="3">
        <f t="shared" si="221"/>
        <v>1950.54</v>
      </c>
      <c r="P2840" s="3">
        <f t="shared" si="222"/>
        <v>833.76</v>
      </c>
      <c r="Q2840" s="3">
        <f t="shared" si="223"/>
        <v>1116.78</v>
      </c>
      <c r="R2840" s="4">
        <f t="shared" si="224"/>
        <v>0.57250000000000001</v>
      </c>
      <c r="S2840" s="2">
        <v>2</v>
      </c>
      <c r="T2840" t="s">
        <v>46</v>
      </c>
      <c r="U2840">
        <v>4</v>
      </c>
    </row>
    <row r="2841" spans="1:21" x14ac:dyDescent="0.25">
      <c r="A2841" s="1">
        <v>46199</v>
      </c>
      <c r="B2841" t="s">
        <v>3027</v>
      </c>
      <c r="C2841" t="s">
        <v>520</v>
      </c>
      <c r="D2841" t="s">
        <v>63</v>
      </c>
      <c r="E2841" t="s">
        <v>35</v>
      </c>
      <c r="F2841" t="s">
        <v>64</v>
      </c>
      <c r="G2841" t="s">
        <v>44</v>
      </c>
      <c r="H2841" t="s">
        <v>124</v>
      </c>
      <c r="I2841" t="s">
        <v>39</v>
      </c>
      <c r="J2841" s="2">
        <v>5</v>
      </c>
      <c r="K2841" s="3">
        <v>5743.81</v>
      </c>
      <c r="L2841" s="3">
        <v>4357.6099999999997</v>
      </c>
      <c r="M2841" s="4">
        <v>0.128</v>
      </c>
      <c r="N2841" s="3">
        <f t="shared" si="220"/>
        <v>28719.05</v>
      </c>
      <c r="O2841" s="3">
        <f t="shared" si="221"/>
        <v>25043.01</v>
      </c>
      <c r="P2841" s="3">
        <f t="shared" si="222"/>
        <v>21788.05</v>
      </c>
      <c r="Q2841" s="3">
        <f t="shared" si="223"/>
        <v>3254.96</v>
      </c>
      <c r="R2841" s="4">
        <f t="shared" si="224"/>
        <v>0.13</v>
      </c>
      <c r="S2841" s="2">
        <v>8</v>
      </c>
      <c r="T2841" t="s">
        <v>46</v>
      </c>
      <c r="U2841">
        <v>4</v>
      </c>
    </row>
    <row r="2842" spans="1:21" x14ac:dyDescent="0.25">
      <c r="A2842" s="1">
        <v>46052</v>
      </c>
      <c r="B2842" t="s">
        <v>3028</v>
      </c>
      <c r="C2842" t="s">
        <v>91</v>
      </c>
      <c r="D2842" t="s">
        <v>71</v>
      </c>
      <c r="E2842" t="s">
        <v>72</v>
      </c>
      <c r="F2842" t="s">
        <v>58</v>
      </c>
      <c r="G2842" t="s">
        <v>27</v>
      </c>
      <c r="H2842" t="s">
        <v>86</v>
      </c>
      <c r="I2842" t="s">
        <v>74</v>
      </c>
      <c r="J2842" s="2">
        <v>4</v>
      </c>
      <c r="K2842" s="3">
        <v>1865.29</v>
      </c>
      <c r="L2842" s="3">
        <v>1184.9100000000001</v>
      </c>
      <c r="M2842" s="4">
        <v>0.14119999999999999</v>
      </c>
      <c r="N2842" s="3">
        <f t="shared" si="220"/>
        <v>7461.16</v>
      </c>
      <c r="O2842" s="3">
        <f t="shared" si="221"/>
        <v>6407.64</v>
      </c>
      <c r="P2842" s="3">
        <f t="shared" si="222"/>
        <v>4739.6400000000003</v>
      </c>
      <c r="Q2842" s="3">
        <f t="shared" si="223"/>
        <v>1668</v>
      </c>
      <c r="R2842" s="4">
        <f t="shared" si="224"/>
        <v>0.26029999999999998</v>
      </c>
      <c r="S2842" s="2">
        <v>11</v>
      </c>
      <c r="T2842" t="s">
        <v>30</v>
      </c>
      <c r="U2842">
        <v>4</v>
      </c>
    </row>
    <row r="2843" spans="1:21" x14ac:dyDescent="0.25">
      <c r="A2843" s="1">
        <v>46137</v>
      </c>
      <c r="B2843" t="s">
        <v>3029</v>
      </c>
      <c r="C2843" t="s">
        <v>110</v>
      </c>
      <c r="D2843" t="s">
        <v>56</v>
      </c>
      <c r="E2843" t="s">
        <v>57</v>
      </c>
      <c r="F2843" t="s">
        <v>26</v>
      </c>
      <c r="G2843" t="s">
        <v>51</v>
      </c>
      <c r="H2843" t="s">
        <v>116</v>
      </c>
      <c r="I2843" t="s">
        <v>60</v>
      </c>
      <c r="J2843" s="2">
        <v>5</v>
      </c>
      <c r="K2843" s="3">
        <v>2710.6</v>
      </c>
      <c r="L2843" s="3">
        <v>1822.62</v>
      </c>
      <c r="M2843" s="4">
        <v>0</v>
      </c>
      <c r="N2843" s="3">
        <f t="shared" si="220"/>
        <v>13553</v>
      </c>
      <c r="O2843" s="3">
        <f t="shared" si="221"/>
        <v>13553</v>
      </c>
      <c r="P2843" s="3">
        <f t="shared" si="222"/>
        <v>9113.1</v>
      </c>
      <c r="Q2843" s="3">
        <f t="shared" si="223"/>
        <v>4439.8999999999996</v>
      </c>
      <c r="R2843" s="4">
        <f t="shared" si="224"/>
        <v>0.3276</v>
      </c>
      <c r="S2843" s="2">
        <v>13</v>
      </c>
      <c r="T2843" t="s">
        <v>30</v>
      </c>
      <c r="U2843">
        <v>3</v>
      </c>
    </row>
    <row r="2844" spans="1:21" x14ac:dyDescent="0.25">
      <c r="A2844" s="1">
        <v>46183</v>
      </c>
      <c r="B2844" t="s">
        <v>3030</v>
      </c>
      <c r="C2844" t="s">
        <v>321</v>
      </c>
      <c r="D2844" t="s">
        <v>113</v>
      </c>
      <c r="E2844" t="s">
        <v>50</v>
      </c>
      <c r="F2844" t="s">
        <v>58</v>
      </c>
      <c r="G2844" t="s">
        <v>44</v>
      </c>
      <c r="H2844" t="s">
        <v>124</v>
      </c>
      <c r="I2844" t="s">
        <v>77</v>
      </c>
      <c r="J2844" s="2">
        <v>3</v>
      </c>
      <c r="K2844" s="3">
        <v>5733.18</v>
      </c>
      <c r="L2844" s="3">
        <v>4187.47</v>
      </c>
      <c r="M2844" s="4">
        <v>3.5000000000000003E-2</v>
      </c>
      <c r="N2844" s="3">
        <f t="shared" si="220"/>
        <v>17199.54</v>
      </c>
      <c r="O2844" s="3">
        <f t="shared" si="221"/>
        <v>16597.560000000001</v>
      </c>
      <c r="P2844" s="3">
        <f t="shared" si="222"/>
        <v>12562.41</v>
      </c>
      <c r="Q2844" s="3">
        <f t="shared" si="223"/>
        <v>4035.15</v>
      </c>
      <c r="R2844" s="4">
        <f t="shared" si="224"/>
        <v>0.24310000000000001</v>
      </c>
      <c r="S2844" s="2">
        <v>13</v>
      </c>
      <c r="T2844" t="s">
        <v>30</v>
      </c>
      <c r="U2844">
        <v>2</v>
      </c>
    </row>
    <row r="2845" spans="1:21" x14ac:dyDescent="0.25">
      <c r="A2845" s="1">
        <v>46157</v>
      </c>
      <c r="B2845" t="s">
        <v>3031</v>
      </c>
      <c r="C2845" t="s">
        <v>106</v>
      </c>
      <c r="D2845" t="s">
        <v>63</v>
      </c>
      <c r="E2845" t="s">
        <v>35</v>
      </c>
      <c r="F2845" t="s">
        <v>58</v>
      </c>
      <c r="G2845" t="s">
        <v>37</v>
      </c>
      <c r="H2845" t="s">
        <v>178</v>
      </c>
      <c r="I2845" t="s">
        <v>77</v>
      </c>
      <c r="J2845" s="2">
        <v>5</v>
      </c>
      <c r="K2845" s="3">
        <v>493.47</v>
      </c>
      <c r="L2845" s="3">
        <v>237.11</v>
      </c>
      <c r="M2845" s="4">
        <v>0.16489999999999999</v>
      </c>
      <c r="N2845" s="3">
        <f t="shared" si="220"/>
        <v>2467.35</v>
      </c>
      <c r="O2845" s="3">
        <f t="shared" si="221"/>
        <v>2060.48</v>
      </c>
      <c r="P2845" s="3">
        <f t="shared" si="222"/>
        <v>1185.55</v>
      </c>
      <c r="Q2845" s="3">
        <f t="shared" si="223"/>
        <v>874.93</v>
      </c>
      <c r="R2845" s="4">
        <f t="shared" si="224"/>
        <v>0.42459999999999998</v>
      </c>
      <c r="S2845" s="2">
        <v>2</v>
      </c>
      <c r="T2845" t="s">
        <v>40</v>
      </c>
    </row>
    <row r="2846" spans="1:21" x14ac:dyDescent="0.25">
      <c r="A2846" s="1">
        <v>46179</v>
      </c>
      <c r="B2846" t="s">
        <v>3032</v>
      </c>
      <c r="C2846" t="s">
        <v>182</v>
      </c>
      <c r="D2846" t="s">
        <v>130</v>
      </c>
      <c r="E2846" t="s">
        <v>72</v>
      </c>
      <c r="F2846" t="s">
        <v>36</v>
      </c>
      <c r="G2846" t="s">
        <v>37</v>
      </c>
      <c r="H2846" t="s">
        <v>38</v>
      </c>
      <c r="I2846" t="s">
        <v>53</v>
      </c>
      <c r="J2846" s="2">
        <v>8</v>
      </c>
      <c r="K2846" s="3">
        <v>421.63</v>
      </c>
      <c r="L2846" s="3">
        <v>199.73</v>
      </c>
      <c r="M2846" s="4">
        <v>1.1000000000000001E-3</v>
      </c>
      <c r="N2846" s="3">
        <f t="shared" si="220"/>
        <v>3373.04</v>
      </c>
      <c r="O2846" s="3">
        <f t="shared" si="221"/>
        <v>3369.33</v>
      </c>
      <c r="P2846" s="3">
        <f t="shared" si="222"/>
        <v>1597.84</v>
      </c>
      <c r="Q2846" s="3">
        <f t="shared" si="223"/>
        <v>1771.49</v>
      </c>
      <c r="R2846" s="4">
        <f t="shared" si="224"/>
        <v>0.52580000000000005</v>
      </c>
      <c r="S2846" s="2">
        <v>4</v>
      </c>
      <c r="T2846" t="s">
        <v>46</v>
      </c>
      <c r="U2846">
        <v>4</v>
      </c>
    </row>
    <row r="2847" spans="1:21" x14ac:dyDescent="0.25">
      <c r="A2847" s="1">
        <v>46135</v>
      </c>
      <c r="B2847" t="s">
        <v>3033</v>
      </c>
      <c r="C2847" t="s">
        <v>356</v>
      </c>
      <c r="D2847" t="s">
        <v>97</v>
      </c>
      <c r="E2847" t="s">
        <v>57</v>
      </c>
      <c r="F2847" t="s">
        <v>26</v>
      </c>
      <c r="G2847" t="s">
        <v>44</v>
      </c>
      <c r="H2847" t="s">
        <v>45</v>
      </c>
      <c r="I2847" t="s">
        <v>87</v>
      </c>
      <c r="J2847" s="2">
        <v>4</v>
      </c>
      <c r="K2847" s="3">
        <v>405</v>
      </c>
      <c r="L2847" s="3">
        <v>204.03</v>
      </c>
      <c r="M2847" s="4">
        <v>5.4600000000000003E-2</v>
      </c>
      <c r="N2847" s="3">
        <f t="shared" si="220"/>
        <v>1620</v>
      </c>
      <c r="O2847" s="3">
        <f t="shared" si="221"/>
        <v>1531.55</v>
      </c>
      <c r="P2847" s="3">
        <f t="shared" si="222"/>
        <v>816.12</v>
      </c>
      <c r="Q2847" s="3">
        <f t="shared" si="223"/>
        <v>715.43</v>
      </c>
      <c r="R2847" s="4">
        <f t="shared" si="224"/>
        <v>0.46710000000000002</v>
      </c>
      <c r="S2847" s="2">
        <v>5</v>
      </c>
      <c r="T2847" t="s">
        <v>46</v>
      </c>
      <c r="U2847">
        <v>2</v>
      </c>
    </row>
    <row r="2848" spans="1:21" x14ac:dyDescent="0.25">
      <c r="A2848" s="1">
        <v>46163</v>
      </c>
      <c r="B2848" t="s">
        <v>3034</v>
      </c>
      <c r="C2848" t="s">
        <v>76</v>
      </c>
      <c r="D2848" t="s">
        <v>207</v>
      </c>
      <c r="E2848" t="s">
        <v>35</v>
      </c>
      <c r="F2848" t="s">
        <v>36</v>
      </c>
      <c r="G2848" t="s">
        <v>51</v>
      </c>
      <c r="H2848" t="s">
        <v>59</v>
      </c>
      <c r="I2848" t="s">
        <v>74</v>
      </c>
      <c r="J2848" s="2">
        <v>6</v>
      </c>
      <c r="K2848" s="3">
        <v>2134.31</v>
      </c>
      <c r="L2848" s="3">
        <v>1473.66</v>
      </c>
      <c r="M2848" s="4">
        <v>0</v>
      </c>
      <c r="N2848" s="3">
        <f t="shared" si="220"/>
        <v>12805.86</v>
      </c>
      <c r="O2848" s="3">
        <f t="shared" si="221"/>
        <v>12805.86</v>
      </c>
      <c r="P2848" s="3">
        <f t="shared" si="222"/>
        <v>8841.9599999999991</v>
      </c>
      <c r="Q2848" s="3">
        <f t="shared" si="223"/>
        <v>3963.9</v>
      </c>
      <c r="R2848" s="4">
        <f t="shared" si="224"/>
        <v>0.3095</v>
      </c>
      <c r="S2848" s="2">
        <v>3</v>
      </c>
      <c r="T2848" t="s">
        <v>46</v>
      </c>
      <c r="U2848">
        <v>4</v>
      </c>
    </row>
    <row r="2849" spans="1:22" x14ac:dyDescent="0.25">
      <c r="A2849" s="1">
        <v>46052</v>
      </c>
      <c r="B2849" t="s">
        <v>3035</v>
      </c>
      <c r="C2849" t="s">
        <v>172</v>
      </c>
      <c r="D2849" t="s">
        <v>24</v>
      </c>
      <c r="E2849" t="s">
        <v>25</v>
      </c>
      <c r="F2849" t="s">
        <v>64</v>
      </c>
      <c r="G2849" t="s">
        <v>37</v>
      </c>
      <c r="H2849" t="s">
        <v>38</v>
      </c>
      <c r="I2849" t="s">
        <v>65</v>
      </c>
      <c r="J2849" s="2">
        <v>1</v>
      </c>
      <c r="K2849" s="3">
        <v>404.7</v>
      </c>
      <c r="L2849" s="3">
        <v>193.96</v>
      </c>
      <c r="M2849" s="4">
        <v>0</v>
      </c>
      <c r="N2849" s="3">
        <f t="shared" si="220"/>
        <v>404.7</v>
      </c>
      <c r="O2849" s="3">
        <f t="shared" si="221"/>
        <v>404.7</v>
      </c>
      <c r="P2849" s="3">
        <f t="shared" si="222"/>
        <v>193.96</v>
      </c>
      <c r="Q2849" s="3">
        <f t="shared" si="223"/>
        <v>210.74</v>
      </c>
      <c r="R2849" s="4">
        <f t="shared" si="224"/>
        <v>0.52070000000000005</v>
      </c>
      <c r="S2849" s="2">
        <v>19</v>
      </c>
      <c r="T2849" t="s">
        <v>30</v>
      </c>
      <c r="U2849">
        <v>2</v>
      </c>
      <c r="V2849" t="s">
        <v>208</v>
      </c>
    </row>
    <row r="2850" spans="1:22" x14ac:dyDescent="0.25">
      <c r="A2850" s="1">
        <v>46160</v>
      </c>
      <c r="B2850" t="s">
        <v>3036</v>
      </c>
      <c r="C2850" t="s">
        <v>251</v>
      </c>
      <c r="D2850" t="s">
        <v>85</v>
      </c>
      <c r="E2850" t="s">
        <v>50</v>
      </c>
      <c r="F2850" t="s">
        <v>26</v>
      </c>
      <c r="G2850" t="s">
        <v>51</v>
      </c>
      <c r="H2850" t="s">
        <v>52</v>
      </c>
      <c r="I2850" t="s">
        <v>74</v>
      </c>
      <c r="J2850" s="2">
        <v>5</v>
      </c>
      <c r="K2850" s="3">
        <v>251.98</v>
      </c>
      <c r="L2850" s="3">
        <v>114.49</v>
      </c>
      <c r="M2850" s="4">
        <v>2.7E-2</v>
      </c>
      <c r="N2850" s="3">
        <f t="shared" si="220"/>
        <v>1259.9000000000001</v>
      </c>
      <c r="O2850" s="3">
        <f t="shared" si="221"/>
        <v>1225.8800000000001</v>
      </c>
      <c r="P2850" s="3">
        <f t="shared" si="222"/>
        <v>572.45000000000005</v>
      </c>
      <c r="Q2850" s="3">
        <f t="shared" si="223"/>
        <v>653.42999999999995</v>
      </c>
      <c r="R2850" s="4">
        <f t="shared" si="224"/>
        <v>0.53300000000000003</v>
      </c>
      <c r="S2850" s="2">
        <v>12</v>
      </c>
      <c r="T2850" t="s">
        <v>30</v>
      </c>
      <c r="U2850">
        <v>4</v>
      </c>
    </row>
    <row r="2851" spans="1:22" x14ac:dyDescent="0.25">
      <c r="A2851" s="1">
        <v>46210</v>
      </c>
      <c r="B2851" t="s">
        <v>3037</v>
      </c>
      <c r="C2851" t="s">
        <v>476</v>
      </c>
      <c r="D2851" t="s">
        <v>56</v>
      </c>
      <c r="E2851" t="s">
        <v>57</v>
      </c>
      <c r="F2851" t="s">
        <v>58</v>
      </c>
      <c r="G2851" t="s">
        <v>44</v>
      </c>
      <c r="H2851" t="s">
        <v>73</v>
      </c>
      <c r="I2851" t="s">
        <v>39</v>
      </c>
      <c r="J2851" s="2">
        <v>7</v>
      </c>
      <c r="K2851" s="3">
        <v>1766.77</v>
      </c>
      <c r="L2851" s="3">
        <v>1088.97</v>
      </c>
      <c r="M2851" s="4">
        <v>0.13589999999999999</v>
      </c>
      <c r="N2851" s="3">
        <f t="shared" si="220"/>
        <v>12367.39</v>
      </c>
      <c r="O2851" s="3">
        <f t="shared" si="221"/>
        <v>10686.66</v>
      </c>
      <c r="P2851" s="3">
        <f t="shared" si="222"/>
        <v>7622.79</v>
      </c>
      <c r="Q2851" s="3">
        <f t="shared" si="223"/>
        <v>3063.87</v>
      </c>
      <c r="R2851" s="4">
        <f t="shared" si="224"/>
        <v>0.28670000000000001</v>
      </c>
      <c r="S2851" s="2">
        <v>13</v>
      </c>
      <c r="T2851" t="s">
        <v>30</v>
      </c>
      <c r="U2851">
        <v>5</v>
      </c>
    </row>
    <row r="2852" spans="1:22" x14ac:dyDescent="0.25">
      <c r="A2852" s="1">
        <v>46138</v>
      </c>
      <c r="B2852" t="s">
        <v>3038</v>
      </c>
      <c r="C2852" t="s">
        <v>375</v>
      </c>
      <c r="D2852" t="s">
        <v>43</v>
      </c>
      <c r="E2852" t="s">
        <v>25</v>
      </c>
      <c r="F2852" t="s">
        <v>26</v>
      </c>
      <c r="G2852" t="s">
        <v>37</v>
      </c>
      <c r="H2852" t="s">
        <v>38</v>
      </c>
      <c r="I2852" t="s">
        <v>74</v>
      </c>
      <c r="J2852" s="2">
        <v>4</v>
      </c>
      <c r="K2852" s="3">
        <v>410.81</v>
      </c>
      <c r="L2852" s="3">
        <v>190.66</v>
      </c>
      <c r="M2852" s="4">
        <v>9.0300000000000005E-2</v>
      </c>
      <c r="N2852" s="3">
        <f t="shared" si="220"/>
        <v>1643.24</v>
      </c>
      <c r="O2852" s="3">
        <f t="shared" si="221"/>
        <v>1494.86</v>
      </c>
      <c r="P2852" s="3">
        <f t="shared" si="222"/>
        <v>762.64</v>
      </c>
      <c r="Q2852" s="3">
        <f t="shared" si="223"/>
        <v>732.22</v>
      </c>
      <c r="R2852" s="4">
        <f t="shared" si="224"/>
        <v>0.48980000000000001</v>
      </c>
      <c r="S2852" s="2">
        <v>9</v>
      </c>
      <c r="T2852" t="s">
        <v>46</v>
      </c>
      <c r="U2852">
        <v>3</v>
      </c>
    </row>
    <row r="2853" spans="1:22" x14ac:dyDescent="0.25">
      <c r="A2853" s="1">
        <v>46082</v>
      </c>
      <c r="B2853" t="s">
        <v>3039</v>
      </c>
      <c r="C2853" t="s">
        <v>447</v>
      </c>
      <c r="D2853" t="s">
        <v>71</v>
      </c>
      <c r="E2853" t="s">
        <v>72</v>
      </c>
      <c r="F2853" t="s">
        <v>26</v>
      </c>
      <c r="G2853" t="s">
        <v>51</v>
      </c>
      <c r="H2853" t="s">
        <v>52</v>
      </c>
      <c r="I2853" t="s">
        <v>94</v>
      </c>
      <c r="J2853" s="2">
        <v>1</v>
      </c>
      <c r="K2853" s="3">
        <v>275.33999999999997</v>
      </c>
      <c r="L2853" s="3">
        <v>122.78</v>
      </c>
      <c r="M2853" s="4">
        <v>0</v>
      </c>
      <c r="N2853" s="3">
        <f t="shared" si="220"/>
        <v>275.33999999999997</v>
      </c>
      <c r="O2853" s="3">
        <f t="shared" si="221"/>
        <v>275.33999999999997</v>
      </c>
      <c r="P2853" s="3">
        <f t="shared" si="222"/>
        <v>122.78</v>
      </c>
      <c r="Q2853" s="3">
        <f t="shared" si="223"/>
        <v>152.56</v>
      </c>
      <c r="R2853" s="4">
        <f t="shared" si="224"/>
        <v>0.55410000000000004</v>
      </c>
      <c r="S2853" s="2">
        <v>2</v>
      </c>
      <c r="T2853" t="s">
        <v>46</v>
      </c>
      <c r="U2853">
        <v>3</v>
      </c>
    </row>
    <row r="2854" spans="1:22" x14ac:dyDescent="0.25">
      <c r="A2854" s="1">
        <v>46210</v>
      </c>
      <c r="B2854" t="s">
        <v>3040</v>
      </c>
      <c r="C2854" t="s">
        <v>315</v>
      </c>
      <c r="D2854" t="s">
        <v>101</v>
      </c>
      <c r="E2854" t="s">
        <v>35</v>
      </c>
      <c r="F2854" t="s">
        <v>36</v>
      </c>
      <c r="G2854" t="s">
        <v>44</v>
      </c>
      <c r="H2854" t="s">
        <v>45</v>
      </c>
      <c r="I2854" t="s">
        <v>87</v>
      </c>
      <c r="J2854" s="2">
        <v>8</v>
      </c>
      <c r="K2854" s="3">
        <v>386.59</v>
      </c>
      <c r="L2854" s="3">
        <v>206.14</v>
      </c>
      <c r="M2854" s="4">
        <v>9.0499999999999997E-2</v>
      </c>
      <c r="N2854" s="3">
        <f t="shared" si="220"/>
        <v>3092.72</v>
      </c>
      <c r="O2854" s="3">
        <f t="shared" si="221"/>
        <v>2812.83</v>
      </c>
      <c r="P2854" s="3">
        <f t="shared" si="222"/>
        <v>1649.12</v>
      </c>
      <c r="Q2854" s="3">
        <f t="shared" si="223"/>
        <v>1163.71</v>
      </c>
      <c r="R2854" s="4">
        <f t="shared" si="224"/>
        <v>0.41370000000000001</v>
      </c>
      <c r="S2854" s="2">
        <v>13</v>
      </c>
      <c r="T2854" t="s">
        <v>30</v>
      </c>
      <c r="U2854">
        <v>4</v>
      </c>
    </row>
    <row r="2855" spans="1:22" x14ac:dyDescent="0.25">
      <c r="A2855" s="1">
        <v>46042</v>
      </c>
      <c r="B2855" t="s">
        <v>3041</v>
      </c>
      <c r="C2855" t="s">
        <v>216</v>
      </c>
      <c r="D2855" t="s">
        <v>121</v>
      </c>
      <c r="E2855" t="s">
        <v>72</v>
      </c>
      <c r="F2855" t="s">
        <v>64</v>
      </c>
      <c r="G2855" t="s">
        <v>51</v>
      </c>
      <c r="H2855" t="s">
        <v>116</v>
      </c>
      <c r="I2855" t="s">
        <v>94</v>
      </c>
      <c r="J2855" s="2">
        <v>4</v>
      </c>
      <c r="K2855" s="3">
        <v>2803.71</v>
      </c>
      <c r="L2855" s="3">
        <v>1943.67</v>
      </c>
      <c r="M2855" s="4">
        <v>7.4300000000000005E-2</v>
      </c>
      <c r="N2855" s="3">
        <f t="shared" si="220"/>
        <v>11214.84</v>
      </c>
      <c r="O2855" s="3">
        <f t="shared" si="221"/>
        <v>10381.58</v>
      </c>
      <c r="P2855" s="3">
        <f t="shared" si="222"/>
        <v>7774.68</v>
      </c>
      <c r="Q2855" s="3">
        <f t="shared" si="223"/>
        <v>2606.9</v>
      </c>
      <c r="R2855" s="4">
        <f t="shared" si="224"/>
        <v>0.25109999999999999</v>
      </c>
      <c r="S2855" s="2">
        <v>4</v>
      </c>
      <c r="T2855" t="s">
        <v>46</v>
      </c>
      <c r="U2855">
        <v>5</v>
      </c>
    </row>
    <row r="2856" spans="1:22" x14ac:dyDescent="0.25">
      <c r="A2856" s="1">
        <v>46107</v>
      </c>
      <c r="B2856" t="s">
        <v>3042</v>
      </c>
      <c r="C2856" t="s">
        <v>286</v>
      </c>
      <c r="D2856" t="s">
        <v>34</v>
      </c>
      <c r="E2856" t="s">
        <v>35</v>
      </c>
      <c r="F2856" t="s">
        <v>36</v>
      </c>
      <c r="G2856" t="s">
        <v>51</v>
      </c>
      <c r="H2856" t="s">
        <v>59</v>
      </c>
      <c r="I2856" t="s">
        <v>53</v>
      </c>
      <c r="J2856" s="2">
        <v>3</v>
      </c>
      <c r="K2856" s="3">
        <v>2192.73</v>
      </c>
      <c r="L2856" s="3">
        <v>1460.2</v>
      </c>
      <c r="M2856" s="4">
        <v>4.7199999999999999E-2</v>
      </c>
      <c r="N2856" s="3">
        <f t="shared" si="220"/>
        <v>6578.19</v>
      </c>
      <c r="O2856" s="3">
        <f t="shared" si="221"/>
        <v>6267.7</v>
      </c>
      <c r="P2856" s="3">
        <f t="shared" si="222"/>
        <v>4380.6000000000004</v>
      </c>
      <c r="Q2856" s="3">
        <f t="shared" si="223"/>
        <v>1887.1</v>
      </c>
      <c r="R2856" s="4">
        <f t="shared" si="224"/>
        <v>0.30109999999999998</v>
      </c>
      <c r="S2856" s="2">
        <v>2</v>
      </c>
      <c r="T2856" t="s">
        <v>46</v>
      </c>
      <c r="U2856">
        <v>4</v>
      </c>
    </row>
    <row r="2857" spans="1:22" x14ac:dyDescent="0.25">
      <c r="A2857" s="1">
        <v>46074</v>
      </c>
      <c r="B2857" t="s">
        <v>3043</v>
      </c>
      <c r="C2857" t="s">
        <v>251</v>
      </c>
      <c r="D2857" t="s">
        <v>85</v>
      </c>
      <c r="E2857" t="s">
        <v>50</v>
      </c>
      <c r="F2857" t="s">
        <v>26</v>
      </c>
      <c r="G2857" t="s">
        <v>27</v>
      </c>
      <c r="H2857" t="s">
        <v>28</v>
      </c>
      <c r="I2857" t="s">
        <v>53</v>
      </c>
      <c r="J2857" s="2">
        <v>6</v>
      </c>
      <c r="K2857" s="3">
        <v>761.98</v>
      </c>
      <c r="L2857" s="3">
        <v>457.62</v>
      </c>
      <c r="M2857" s="4">
        <v>4.3299999999999998E-2</v>
      </c>
      <c r="N2857" s="3">
        <f t="shared" si="220"/>
        <v>4571.88</v>
      </c>
      <c r="O2857" s="3">
        <f t="shared" si="221"/>
        <v>4373.92</v>
      </c>
      <c r="P2857" s="3">
        <f t="shared" si="222"/>
        <v>2745.72</v>
      </c>
      <c r="Q2857" s="3">
        <f t="shared" si="223"/>
        <v>1628.2</v>
      </c>
      <c r="R2857" s="4">
        <f t="shared" si="224"/>
        <v>0.37230000000000002</v>
      </c>
      <c r="S2857" s="2">
        <v>5</v>
      </c>
      <c r="T2857" t="s">
        <v>46</v>
      </c>
      <c r="U2857">
        <v>4</v>
      </c>
    </row>
    <row r="2858" spans="1:22" x14ac:dyDescent="0.25">
      <c r="A2858" s="1">
        <v>46101</v>
      </c>
      <c r="B2858" t="s">
        <v>3044</v>
      </c>
      <c r="C2858" t="s">
        <v>433</v>
      </c>
      <c r="D2858" t="s">
        <v>139</v>
      </c>
      <c r="E2858" t="s">
        <v>72</v>
      </c>
      <c r="F2858" t="s">
        <v>36</v>
      </c>
      <c r="G2858" t="s">
        <v>51</v>
      </c>
      <c r="H2858" t="s">
        <v>59</v>
      </c>
      <c r="I2858" t="s">
        <v>87</v>
      </c>
      <c r="J2858" s="2">
        <v>2</v>
      </c>
      <c r="K2858" s="3">
        <v>2311.4299999999998</v>
      </c>
      <c r="L2858" s="3">
        <v>1479.41</v>
      </c>
      <c r="M2858" s="4">
        <v>6.6400000000000001E-2</v>
      </c>
      <c r="N2858" s="3">
        <f t="shared" si="220"/>
        <v>4622.8599999999997</v>
      </c>
      <c r="O2858" s="3">
        <f t="shared" si="221"/>
        <v>4315.8999999999996</v>
      </c>
      <c r="P2858" s="3">
        <f t="shared" si="222"/>
        <v>2958.82</v>
      </c>
      <c r="Q2858" s="3">
        <f t="shared" si="223"/>
        <v>1357.08</v>
      </c>
      <c r="R2858" s="4">
        <f t="shared" si="224"/>
        <v>0.31440000000000001</v>
      </c>
      <c r="S2858" s="2">
        <v>12</v>
      </c>
      <c r="T2858" t="s">
        <v>30</v>
      </c>
      <c r="U2858">
        <v>3</v>
      </c>
    </row>
    <row r="2859" spans="1:22" x14ac:dyDescent="0.25">
      <c r="A2859" s="1">
        <v>46212</v>
      </c>
      <c r="B2859" t="s">
        <v>3045</v>
      </c>
      <c r="C2859" t="s">
        <v>294</v>
      </c>
      <c r="D2859" t="s">
        <v>139</v>
      </c>
      <c r="E2859" t="s">
        <v>72</v>
      </c>
      <c r="F2859" t="s">
        <v>64</v>
      </c>
      <c r="G2859" t="s">
        <v>51</v>
      </c>
      <c r="H2859" t="s">
        <v>116</v>
      </c>
      <c r="I2859" t="s">
        <v>77</v>
      </c>
      <c r="J2859" s="2">
        <v>7</v>
      </c>
      <c r="K2859" s="3">
        <v>2674.78</v>
      </c>
      <c r="L2859" s="3">
        <v>1881.47</v>
      </c>
      <c r="M2859" s="4">
        <v>0</v>
      </c>
      <c r="N2859" s="3">
        <f t="shared" si="220"/>
        <v>18723.46</v>
      </c>
      <c r="O2859" s="3">
        <f t="shared" si="221"/>
        <v>18723.46</v>
      </c>
      <c r="P2859" s="3">
        <f t="shared" si="222"/>
        <v>13170.29</v>
      </c>
      <c r="Q2859" s="3">
        <f t="shared" si="223"/>
        <v>5553.17</v>
      </c>
      <c r="R2859" s="4">
        <f t="shared" si="224"/>
        <v>0.29659999999999997</v>
      </c>
      <c r="S2859" s="2">
        <v>12</v>
      </c>
      <c r="T2859" t="s">
        <v>40</v>
      </c>
    </row>
    <row r="2860" spans="1:22" x14ac:dyDescent="0.25">
      <c r="A2860" s="1">
        <v>46132</v>
      </c>
      <c r="B2860" t="s">
        <v>3046</v>
      </c>
      <c r="C2860" t="s">
        <v>464</v>
      </c>
      <c r="D2860" t="s">
        <v>139</v>
      </c>
      <c r="E2860" t="s">
        <v>72</v>
      </c>
      <c r="F2860" t="s">
        <v>58</v>
      </c>
      <c r="G2860" t="s">
        <v>37</v>
      </c>
      <c r="H2860" t="s">
        <v>178</v>
      </c>
      <c r="I2860" t="s">
        <v>39</v>
      </c>
      <c r="J2860" s="2">
        <v>8</v>
      </c>
      <c r="K2860" s="3">
        <v>531.30999999999995</v>
      </c>
      <c r="L2860" s="3">
        <v>246.59</v>
      </c>
      <c r="M2860" s="4">
        <v>3.5000000000000003E-2</v>
      </c>
      <c r="N2860" s="3">
        <f t="shared" si="220"/>
        <v>4250.4799999999996</v>
      </c>
      <c r="O2860" s="3">
        <f t="shared" si="221"/>
        <v>4101.71</v>
      </c>
      <c r="P2860" s="3">
        <f t="shared" si="222"/>
        <v>1972.72</v>
      </c>
      <c r="Q2860" s="3">
        <f t="shared" si="223"/>
        <v>2128.9899999999998</v>
      </c>
      <c r="R2860" s="4">
        <f t="shared" si="224"/>
        <v>0.51900000000000002</v>
      </c>
      <c r="S2860" s="2">
        <v>7</v>
      </c>
      <c r="T2860" t="s">
        <v>46</v>
      </c>
      <c r="U2860">
        <v>3</v>
      </c>
    </row>
    <row r="2861" spans="1:22" x14ac:dyDescent="0.25">
      <c r="A2861" s="1">
        <v>46219</v>
      </c>
      <c r="B2861" t="s">
        <v>3047</v>
      </c>
      <c r="C2861" t="s">
        <v>428</v>
      </c>
      <c r="D2861" t="s">
        <v>126</v>
      </c>
      <c r="E2861" t="s">
        <v>57</v>
      </c>
      <c r="F2861" t="s">
        <v>64</v>
      </c>
      <c r="G2861" t="s">
        <v>51</v>
      </c>
      <c r="H2861" t="s">
        <v>59</v>
      </c>
      <c r="I2861" t="s">
        <v>74</v>
      </c>
      <c r="J2861" s="2">
        <v>3</v>
      </c>
      <c r="K2861" s="3">
        <v>2227.02</v>
      </c>
      <c r="L2861" s="3">
        <v>1398.37</v>
      </c>
      <c r="M2861" s="4">
        <v>0</v>
      </c>
      <c r="N2861" s="3">
        <f t="shared" si="220"/>
        <v>6681.06</v>
      </c>
      <c r="O2861" s="3">
        <f t="shared" si="221"/>
        <v>6681.06</v>
      </c>
      <c r="P2861" s="3">
        <f t="shared" si="222"/>
        <v>4195.1099999999997</v>
      </c>
      <c r="Q2861" s="3">
        <f t="shared" si="223"/>
        <v>2485.9499999999998</v>
      </c>
      <c r="R2861" s="4">
        <f t="shared" si="224"/>
        <v>0.37209999999999999</v>
      </c>
      <c r="S2861" s="2">
        <v>3</v>
      </c>
      <c r="T2861" t="s">
        <v>46</v>
      </c>
      <c r="U2861">
        <v>2</v>
      </c>
    </row>
    <row r="2862" spans="1:22" x14ac:dyDescent="0.25">
      <c r="A2862" s="1">
        <v>46067</v>
      </c>
      <c r="B2862" t="s">
        <v>3048</v>
      </c>
      <c r="C2862" t="s">
        <v>103</v>
      </c>
      <c r="D2862" t="s">
        <v>121</v>
      </c>
      <c r="E2862" t="s">
        <v>72</v>
      </c>
      <c r="F2862" t="s">
        <v>36</v>
      </c>
      <c r="G2862" t="s">
        <v>51</v>
      </c>
      <c r="H2862" t="s">
        <v>116</v>
      </c>
      <c r="I2862" t="s">
        <v>39</v>
      </c>
      <c r="J2862" s="2">
        <v>5</v>
      </c>
      <c r="K2862" s="3">
        <v>2781.44</v>
      </c>
      <c r="L2862" s="3">
        <v>1921.79</v>
      </c>
      <c r="M2862" s="4">
        <v>7.0400000000000004E-2</v>
      </c>
      <c r="N2862" s="3">
        <f t="shared" si="220"/>
        <v>13907.2</v>
      </c>
      <c r="O2862" s="3">
        <f t="shared" si="221"/>
        <v>12928.13</v>
      </c>
      <c r="P2862" s="3">
        <f t="shared" si="222"/>
        <v>9608.9500000000007</v>
      </c>
      <c r="Q2862" s="3">
        <f t="shared" si="223"/>
        <v>3319.18</v>
      </c>
      <c r="R2862" s="4">
        <f t="shared" si="224"/>
        <v>0.25669999999999998</v>
      </c>
      <c r="S2862" s="2">
        <v>14</v>
      </c>
      <c r="T2862" t="s">
        <v>30</v>
      </c>
      <c r="U2862">
        <v>2</v>
      </c>
    </row>
    <row r="2863" spans="1:22" x14ac:dyDescent="0.25">
      <c r="A2863" s="1">
        <v>46037</v>
      </c>
      <c r="B2863" t="s">
        <v>3049</v>
      </c>
      <c r="C2863" t="s">
        <v>110</v>
      </c>
      <c r="D2863" t="s">
        <v>63</v>
      </c>
      <c r="E2863" t="s">
        <v>35</v>
      </c>
      <c r="F2863" t="s">
        <v>26</v>
      </c>
      <c r="G2863" t="s">
        <v>44</v>
      </c>
      <c r="H2863" t="s">
        <v>45</v>
      </c>
      <c r="I2863" t="s">
        <v>77</v>
      </c>
      <c r="J2863" s="2">
        <v>6</v>
      </c>
      <c r="K2863" s="3">
        <v>381.12</v>
      </c>
      <c r="L2863" s="3">
        <v>211.13</v>
      </c>
      <c r="M2863" s="4">
        <v>0</v>
      </c>
      <c r="N2863" s="3">
        <f t="shared" si="220"/>
        <v>2286.7199999999998</v>
      </c>
      <c r="O2863" s="3">
        <f t="shared" si="221"/>
        <v>2286.7199999999998</v>
      </c>
      <c r="P2863" s="3">
        <f t="shared" si="222"/>
        <v>1266.78</v>
      </c>
      <c r="Q2863" s="3">
        <f t="shared" si="223"/>
        <v>1019.94</v>
      </c>
      <c r="R2863" s="4">
        <f t="shared" si="224"/>
        <v>0.44600000000000001</v>
      </c>
      <c r="S2863" s="2">
        <v>4</v>
      </c>
      <c r="T2863" t="s">
        <v>46</v>
      </c>
      <c r="U2863">
        <v>2</v>
      </c>
    </row>
    <row r="2864" spans="1:22" x14ac:dyDescent="0.25">
      <c r="A2864" s="1">
        <v>46217</v>
      </c>
      <c r="B2864" t="s">
        <v>3050</v>
      </c>
      <c r="C2864" t="s">
        <v>96</v>
      </c>
      <c r="D2864" t="s">
        <v>49</v>
      </c>
      <c r="E2864" t="s">
        <v>50</v>
      </c>
      <c r="F2864" t="s">
        <v>58</v>
      </c>
      <c r="G2864" t="s">
        <v>37</v>
      </c>
      <c r="H2864" t="s">
        <v>38</v>
      </c>
      <c r="I2864" t="s">
        <v>74</v>
      </c>
      <c r="J2864" s="2">
        <v>2</v>
      </c>
      <c r="K2864" s="3">
        <v>431.6</v>
      </c>
      <c r="L2864" s="3">
        <v>195.84</v>
      </c>
      <c r="M2864" s="4">
        <v>3.5000000000000003E-2</v>
      </c>
      <c r="N2864" s="3">
        <f t="shared" si="220"/>
        <v>863.2</v>
      </c>
      <c r="O2864" s="3">
        <f t="shared" si="221"/>
        <v>832.99</v>
      </c>
      <c r="P2864" s="3">
        <f t="shared" si="222"/>
        <v>391.68</v>
      </c>
      <c r="Q2864" s="3">
        <f t="shared" si="223"/>
        <v>441.31</v>
      </c>
      <c r="R2864" s="4">
        <f t="shared" si="224"/>
        <v>0.52980000000000005</v>
      </c>
      <c r="S2864" s="2">
        <v>10</v>
      </c>
      <c r="T2864" t="s">
        <v>46</v>
      </c>
      <c r="U2864">
        <v>5</v>
      </c>
    </row>
    <row r="2865" spans="1:21" x14ac:dyDescent="0.25">
      <c r="A2865" s="1">
        <v>46234</v>
      </c>
      <c r="B2865" t="s">
        <v>3051</v>
      </c>
      <c r="C2865" t="s">
        <v>349</v>
      </c>
      <c r="D2865" t="s">
        <v>85</v>
      </c>
      <c r="E2865" t="s">
        <v>50</v>
      </c>
      <c r="F2865" t="s">
        <v>26</v>
      </c>
      <c r="G2865" t="s">
        <v>44</v>
      </c>
      <c r="H2865" t="s">
        <v>124</v>
      </c>
      <c r="I2865" t="s">
        <v>53</v>
      </c>
      <c r="J2865" s="2">
        <v>3</v>
      </c>
      <c r="K2865" s="3">
        <v>5556.22</v>
      </c>
      <c r="L2865" s="3">
        <v>4351.37</v>
      </c>
      <c r="M2865" s="4">
        <v>5.0099999999999999E-2</v>
      </c>
      <c r="N2865" s="3">
        <f t="shared" si="220"/>
        <v>16668.66</v>
      </c>
      <c r="O2865" s="3">
        <f t="shared" si="221"/>
        <v>15833.56</v>
      </c>
      <c r="P2865" s="3">
        <f t="shared" si="222"/>
        <v>13054.11</v>
      </c>
      <c r="Q2865" s="3">
        <f t="shared" si="223"/>
        <v>2779.45</v>
      </c>
      <c r="R2865" s="4">
        <f t="shared" si="224"/>
        <v>0.17549999999999999</v>
      </c>
      <c r="S2865" s="2">
        <v>7</v>
      </c>
      <c r="T2865" t="s">
        <v>46</v>
      </c>
      <c r="U2865">
        <v>5</v>
      </c>
    </row>
    <row r="2866" spans="1:21" x14ac:dyDescent="0.25">
      <c r="A2866" s="1">
        <v>46207</v>
      </c>
      <c r="B2866" t="s">
        <v>3052</v>
      </c>
      <c r="C2866" t="s">
        <v>82</v>
      </c>
      <c r="D2866" t="s">
        <v>101</v>
      </c>
      <c r="E2866" t="s">
        <v>35</v>
      </c>
      <c r="F2866" t="s">
        <v>26</v>
      </c>
      <c r="G2866" t="s">
        <v>44</v>
      </c>
      <c r="H2866" t="s">
        <v>73</v>
      </c>
      <c r="I2866" t="s">
        <v>65</v>
      </c>
      <c r="J2866" s="2">
        <v>5</v>
      </c>
      <c r="K2866" s="3">
        <v>1767.25</v>
      </c>
      <c r="L2866" s="3">
        <v>1118.54</v>
      </c>
      <c r="M2866" s="4">
        <v>0</v>
      </c>
      <c r="N2866" s="3">
        <f t="shared" si="220"/>
        <v>8836.25</v>
      </c>
      <c r="O2866" s="3">
        <f t="shared" si="221"/>
        <v>8836.25</v>
      </c>
      <c r="P2866" s="3">
        <f t="shared" si="222"/>
        <v>5592.7</v>
      </c>
      <c r="Q2866" s="3">
        <f t="shared" si="223"/>
        <v>3243.55</v>
      </c>
      <c r="R2866" s="4">
        <f t="shared" si="224"/>
        <v>0.36709999999999998</v>
      </c>
      <c r="S2866" s="2">
        <v>12</v>
      </c>
      <c r="T2866" t="s">
        <v>30</v>
      </c>
      <c r="U2866">
        <v>4</v>
      </c>
    </row>
    <row r="2867" spans="1:21" x14ac:dyDescent="0.25">
      <c r="A2867" s="1">
        <v>46233</v>
      </c>
      <c r="B2867" t="s">
        <v>3053</v>
      </c>
      <c r="C2867" t="s">
        <v>198</v>
      </c>
      <c r="D2867" t="s">
        <v>139</v>
      </c>
      <c r="E2867" t="s">
        <v>72</v>
      </c>
      <c r="F2867" t="s">
        <v>64</v>
      </c>
      <c r="G2867" t="s">
        <v>37</v>
      </c>
      <c r="H2867" t="s">
        <v>38</v>
      </c>
      <c r="I2867" t="s">
        <v>92</v>
      </c>
      <c r="J2867" s="2">
        <v>4</v>
      </c>
      <c r="K2867" s="3">
        <v>413.83</v>
      </c>
      <c r="L2867" s="3">
        <v>193.63</v>
      </c>
      <c r="M2867" s="4">
        <v>4.9799999999999997E-2</v>
      </c>
      <c r="N2867" s="3">
        <f t="shared" si="220"/>
        <v>1655.32</v>
      </c>
      <c r="O2867" s="3">
        <f t="shared" si="221"/>
        <v>1572.89</v>
      </c>
      <c r="P2867" s="3">
        <f t="shared" si="222"/>
        <v>774.52</v>
      </c>
      <c r="Q2867" s="3">
        <f t="shared" si="223"/>
        <v>798.37</v>
      </c>
      <c r="R2867" s="4">
        <f t="shared" si="224"/>
        <v>0.50760000000000005</v>
      </c>
      <c r="S2867" s="2">
        <v>4</v>
      </c>
      <c r="T2867" t="s">
        <v>46</v>
      </c>
      <c r="U2867">
        <v>2</v>
      </c>
    </row>
    <row r="2868" spans="1:21" x14ac:dyDescent="0.25">
      <c r="A2868" s="1">
        <v>46188</v>
      </c>
      <c r="B2868" t="s">
        <v>3054</v>
      </c>
      <c r="C2868" t="s">
        <v>164</v>
      </c>
      <c r="D2868" t="s">
        <v>130</v>
      </c>
      <c r="E2868" t="s">
        <v>72</v>
      </c>
      <c r="F2868" t="s">
        <v>36</v>
      </c>
      <c r="G2868" t="s">
        <v>27</v>
      </c>
      <c r="H2868" t="s">
        <v>28</v>
      </c>
      <c r="I2868" t="s">
        <v>29</v>
      </c>
      <c r="J2868" s="2">
        <v>4</v>
      </c>
      <c r="K2868" s="3">
        <v>802.3</v>
      </c>
      <c r="L2868" s="3">
        <v>488.48</v>
      </c>
      <c r="M2868" s="4">
        <v>0</v>
      </c>
      <c r="N2868" s="3">
        <f t="shared" si="220"/>
        <v>3209.2</v>
      </c>
      <c r="O2868" s="3">
        <f t="shared" si="221"/>
        <v>3209.2</v>
      </c>
      <c r="P2868" s="3">
        <f t="shared" si="222"/>
        <v>1953.92</v>
      </c>
      <c r="Q2868" s="3">
        <f t="shared" si="223"/>
        <v>1255.28</v>
      </c>
      <c r="R2868" s="4">
        <f t="shared" si="224"/>
        <v>0.39119999999999999</v>
      </c>
      <c r="S2868" s="2">
        <v>10</v>
      </c>
      <c r="T2868" t="s">
        <v>46</v>
      </c>
      <c r="U2868">
        <v>5</v>
      </c>
    </row>
    <row r="2869" spans="1:21" x14ac:dyDescent="0.25">
      <c r="A2869" s="1">
        <v>46229</v>
      </c>
      <c r="B2869" t="s">
        <v>3055</v>
      </c>
      <c r="C2869" t="s">
        <v>159</v>
      </c>
      <c r="D2869" t="s">
        <v>85</v>
      </c>
      <c r="E2869" t="s">
        <v>50</v>
      </c>
      <c r="F2869" t="s">
        <v>58</v>
      </c>
      <c r="G2869" t="s">
        <v>27</v>
      </c>
      <c r="H2869" t="s">
        <v>28</v>
      </c>
      <c r="I2869" t="s">
        <v>60</v>
      </c>
      <c r="J2869" s="2">
        <v>1</v>
      </c>
      <c r="K2869" s="3">
        <v>806.91</v>
      </c>
      <c r="L2869" s="3">
        <v>440.79</v>
      </c>
      <c r="M2869" s="4">
        <v>0.1172</v>
      </c>
      <c r="N2869" s="3">
        <f t="shared" si="220"/>
        <v>806.91</v>
      </c>
      <c r="O2869" s="3">
        <f t="shared" si="221"/>
        <v>712.34</v>
      </c>
      <c r="P2869" s="3">
        <f t="shared" si="222"/>
        <v>440.79</v>
      </c>
      <c r="Q2869" s="3">
        <f t="shared" si="223"/>
        <v>271.55</v>
      </c>
      <c r="R2869" s="4">
        <f t="shared" si="224"/>
        <v>0.38119999999999998</v>
      </c>
      <c r="S2869" s="2">
        <v>3</v>
      </c>
      <c r="T2869" t="s">
        <v>40</v>
      </c>
    </row>
    <row r="2870" spans="1:21" x14ac:dyDescent="0.25">
      <c r="A2870" s="1">
        <v>46138</v>
      </c>
      <c r="B2870" t="s">
        <v>3056</v>
      </c>
      <c r="C2870" t="s">
        <v>590</v>
      </c>
      <c r="D2870" t="s">
        <v>126</v>
      </c>
      <c r="E2870" t="s">
        <v>57</v>
      </c>
      <c r="F2870" t="s">
        <v>36</v>
      </c>
      <c r="G2870" t="s">
        <v>27</v>
      </c>
      <c r="H2870" t="s">
        <v>28</v>
      </c>
      <c r="I2870" t="s">
        <v>87</v>
      </c>
      <c r="J2870" s="2">
        <v>7</v>
      </c>
      <c r="K2870" s="3">
        <v>834.68</v>
      </c>
      <c r="L2870" s="3">
        <v>437.37</v>
      </c>
      <c r="M2870" s="4">
        <v>8.6999999999999994E-3</v>
      </c>
      <c r="N2870" s="3">
        <f t="shared" si="220"/>
        <v>5842.76</v>
      </c>
      <c r="O2870" s="3">
        <f t="shared" si="221"/>
        <v>5791.93</v>
      </c>
      <c r="P2870" s="3">
        <f t="shared" si="222"/>
        <v>3061.59</v>
      </c>
      <c r="Q2870" s="3">
        <f t="shared" si="223"/>
        <v>2730.34</v>
      </c>
      <c r="R2870" s="4">
        <f t="shared" si="224"/>
        <v>0.47139999999999999</v>
      </c>
      <c r="S2870" s="2">
        <v>7</v>
      </c>
      <c r="T2870" t="s">
        <v>46</v>
      </c>
      <c r="U2870">
        <v>3</v>
      </c>
    </row>
    <row r="2871" spans="1:21" x14ac:dyDescent="0.25">
      <c r="A2871" s="1">
        <v>46205</v>
      </c>
      <c r="B2871" t="s">
        <v>3057</v>
      </c>
      <c r="C2871" t="s">
        <v>253</v>
      </c>
      <c r="D2871" t="s">
        <v>126</v>
      </c>
      <c r="E2871" t="s">
        <v>57</v>
      </c>
      <c r="F2871" t="s">
        <v>64</v>
      </c>
      <c r="G2871" t="s">
        <v>37</v>
      </c>
      <c r="H2871" t="s">
        <v>104</v>
      </c>
      <c r="I2871" t="s">
        <v>87</v>
      </c>
      <c r="J2871" s="2">
        <v>3</v>
      </c>
      <c r="K2871" s="3">
        <v>302.81</v>
      </c>
      <c r="L2871" s="3">
        <v>140.28</v>
      </c>
      <c r="M2871" s="4">
        <v>4.2700000000000002E-2</v>
      </c>
      <c r="N2871" s="3">
        <f t="shared" si="220"/>
        <v>908.43</v>
      </c>
      <c r="O2871" s="3">
        <f t="shared" si="221"/>
        <v>869.64</v>
      </c>
      <c r="P2871" s="3">
        <f t="shared" si="222"/>
        <v>420.84</v>
      </c>
      <c r="Q2871" s="3">
        <f t="shared" si="223"/>
        <v>448.8</v>
      </c>
      <c r="R2871" s="4">
        <f t="shared" si="224"/>
        <v>0.5161</v>
      </c>
      <c r="S2871" s="2">
        <v>10</v>
      </c>
      <c r="T2871" t="s">
        <v>46</v>
      </c>
      <c r="U2871">
        <v>5</v>
      </c>
    </row>
    <row r="2872" spans="1:21" x14ac:dyDescent="0.25">
      <c r="A2872" s="1">
        <v>46028</v>
      </c>
      <c r="B2872" t="s">
        <v>3058</v>
      </c>
      <c r="C2872" t="s">
        <v>329</v>
      </c>
      <c r="D2872" t="s">
        <v>85</v>
      </c>
      <c r="E2872" t="s">
        <v>50</v>
      </c>
      <c r="F2872" t="s">
        <v>64</v>
      </c>
      <c r="G2872" t="s">
        <v>27</v>
      </c>
      <c r="H2872" t="s">
        <v>28</v>
      </c>
      <c r="I2872" t="s">
        <v>29</v>
      </c>
      <c r="J2872" s="2">
        <v>1</v>
      </c>
      <c r="K2872" s="3">
        <v>813.13</v>
      </c>
      <c r="L2872" s="3">
        <v>450.52</v>
      </c>
      <c r="M2872" s="4">
        <v>0</v>
      </c>
      <c r="N2872" s="3">
        <f t="shared" si="220"/>
        <v>813.13</v>
      </c>
      <c r="O2872" s="3">
        <f t="shared" si="221"/>
        <v>813.13</v>
      </c>
      <c r="P2872" s="3">
        <f t="shared" si="222"/>
        <v>450.52</v>
      </c>
      <c r="Q2872" s="3">
        <f t="shared" si="223"/>
        <v>362.61</v>
      </c>
      <c r="R2872" s="4">
        <f t="shared" si="224"/>
        <v>0.44590000000000002</v>
      </c>
      <c r="S2872" s="2">
        <v>2</v>
      </c>
      <c r="T2872" t="s">
        <v>46</v>
      </c>
      <c r="U2872">
        <v>4</v>
      </c>
    </row>
    <row r="2873" spans="1:21" x14ac:dyDescent="0.25">
      <c r="A2873" s="1">
        <v>46199</v>
      </c>
      <c r="B2873" t="s">
        <v>3059</v>
      </c>
      <c r="C2873" t="s">
        <v>55</v>
      </c>
      <c r="D2873" t="s">
        <v>34</v>
      </c>
      <c r="E2873" t="s">
        <v>35</v>
      </c>
      <c r="F2873" t="s">
        <v>64</v>
      </c>
      <c r="G2873" t="s">
        <v>44</v>
      </c>
      <c r="H2873" t="s">
        <v>124</v>
      </c>
      <c r="I2873" t="s">
        <v>65</v>
      </c>
      <c r="J2873" s="2">
        <v>3</v>
      </c>
      <c r="K2873" s="3">
        <v>6074.11</v>
      </c>
      <c r="L2873" s="3">
        <v>4258.55</v>
      </c>
      <c r="M2873" s="4">
        <v>0</v>
      </c>
      <c r="N2873" s="3">
        <f t="shared" si="220"/>
        <v>18222.330000000002</v>
      </c>
      <c r="O2873" s="3">
        <f t="shared" si="221"/>
        <v>18222.330000000002</v>
      </c>
      <c r="P2873" s="3">
        <f t="shared" si="222"/>
        <v>12775.65</v>
      </c>
      <c r="Q2873" s="3">
        <f t="shared" si="223"/>
        <v>5446.68</v>
      </c>
      <c r="R2873" s="4">
        <f t="shared" si="224"/>
        <v>0.2989</v>
      </c>
      <c r="S2873" s="2">
        <v>13</v>
      </c>
      <c r="T2873" t="s">
        <v>30</v>
      </c>
      <c r="U2873">
        <v>2</v>
      </c>
    </row>
    <row r="2874" spans="1:21" x14ac:dyDescent="0.25">
      <c r="A2874" s="1">
        <v>46190</v>
      </c>
      <c r="B2874" t="s">
        <v>3060</v>
      </c>
      <c r="C2874" t="s">
        <v>103</v>
      </c>
      <c r="D2874" t="s">
        <v>101</v>
      </c>
      <c r="E2874" t="s">
        <v>35</v>
      </c>
      <c r="F2874" t="s">
        <v>36</v>
      </c>
      <c r="G2874" t="s">
        <v>37</v>
      </c>
      <c r="H2874" t="s">
        <v>38</v>
      </c>
      <c r="I2874" t="s">
        <v>87</v>
      </c>
      <c r="J2874" s="2">
        <v>1</v>
      </c>
      <c r="K2874" s="3">
        <v>442.36</v>
      </c>
      <c r="L2874" s="3">
        <v>197.06</v>
      </c>
      <c r="M2874" s="4">
        <v>4.3200000000000002E-2</v>
      </c>
      <c r="N2874" s="3">
        <f t="shared" si="220"/>
        <v>442.36</v>
      </c>
      <c r="O2874" s="3">
        <f t="shared" si="221"/>
        <v>423.25</v>
      </c>
      <c r="P2874" s="3">
        <f t="shared" si="222"/>
        <v>197.06</v>
      </c>
      <c r="Q2874" s="3">
        <f t="shared" si="223"/>
        <v>226.19</v>
      </c>
      <c r="R2874" s="4">
        <f t="shared" si="224"/>
        <v>0.53439999999999999</v>
      </c>
      <c r="S2874" s="2">
        <v>4</v>
      </c>
      <c r="T2874" t="s">
        <v>46</v>
      </c>
      <c r="U2874">
        <v>3</v>
      </c>
    </row>
    <row r="2875" spans="1:21" x14ac:dyDescent="0.25">
      <c r="A2875" s="1">
        <v>46121</v>
      </c>
      <c r="B2875" t="s">
        <v>3061</v>
      </c>
      <c r="C2875" t="s">
        <v>150</v>
      </c>
      <c r="D2875" t="s">
        <v>97</v>
      </c>
      <c r="E2875" t="s">
        <v>57</v>
      </c>
      <c r="F2875" t="s">
        <v>58</v>
      </c>
      <c r="G2875" t="s">
        <v>27</v>
      </c>
      <c r="H2875" t="s">
        <v>28</v>
      </c>
      <c r="I2875" t="s">
        <v>74</v>
      </c>
      <c r="J2875" s="2">
        <v>2</v>
      </c>
      <c r="K2875" s="3">
        <v>834.58</v>
      </c>
      <c r="L2875" s="3">
        <v>455.84</v>
      </c>
      <c r="M2875" s="4">
        <v>5.16E-2</v>
      </c>
      <c r="N2875" s="3">
        <f t="shared" si="220"/>
        <v>1669.16</v>
      </c>
      <c r="O2875" s="3">
        <f t="shared" si="221"/>
        <v>1583.03</v>
      </c>
      <c r="P2875" s="3">
        <f t="shared" si="222"/>
        <v>911.68</v>
      </c>
      <c r="Q2875" s="3">
        <f t="shared" si="223"/>
        <v>671.35</v>
      </c>
      <c r="R2875" s="4">
        <f t="shared" si="224"/>
        <v>0.42409999999999998</v>
      </c>
      <c r="S2875" s="2">
        <v>10</v>
      </c>
      <c r="T2875" t="s">
        <v>40</v>
      </c>
    </row>
    <row r="2876" spans="1:21" x14ac:dyDescent="0.25">
      <c r="A2876" s="1">
        <v>46120</v>
      </c>
      <c r="B2876" t="s">
        <v>3062</v>
      </c>
      <c r="C2876" t="s">
        <v>527</v>
      </c>
      <c r="D2876" t="s">
        <v>71</v>
      </c>
      <c r="E2876" t="s">
        <v>72</v>
      </c>
      <c r="F2876" t="s">
        <v>36</v>
      </c>
      <c r="G2876" t="s">
        <v>51</v>
      </c>
      <c r="H2876" t="s">
        <v>52</v>
      </c>
      <c r="I2876" t="s">
        <v>74</v>
      </c>
      <c r="J2876" s="2">
        <v>4</v>
      </c>
      <c r="K2876" s="3">
        <v>273.29000000000002</v>
      </c>
      <c r="L2876" s="3">
        <v>122.33</v>
      </c>
      <c r="M2876" s="4">
        <v>5.5599999999999997E-2</v>
      </c>
      <c r="N2876" s="3">
        <f t="shared" si="220"/>
        <v>1093.1600000000001</v>
      </c>
      <c r="O2876" s="3">
        <f t="shared" si="221"/>
        <v>1032.3800000000001</v>
      </c>
      <c r="P2876" s="3">
        <f t="shared" si="222"/>
        <v>489.32</v>
      </c>
      <c r="Q2876" s="3">
        <f t="shared" si="223"/>
        <v>543.05999999999995</v>
      </c>
      <c r="R2876" s="4">
        <f t="shared" si="224"/>
        <v>0.52600000000000002</v>
      </c>
      <c r="S2876" s="2">
        <v>5</v>
      </c>
      <c r="T2876" t="s">
        <v>46</v>
      </c>
      <c r="U2876">
        <v>5</v>
      </c>
    </row>
    <row r="2877" spans="1:21" x14ac:dyDescent="0.25">
      <c r="A2877" s="1">
        <v>46209</v>
      </c>
      <c r="B2877" t="s">
        <v>3063</v>
      </c>
      <c r="C2877" t="s">
        <v>294</v>
      </c>
      <c r="D2877" t="s">
        <v>113</v>
      </c>
      <c r="E2877" t="s">
        <v>50</v>
      </c>
      <c r="F2877" t="s">
        <v>64</v>
      </c>
      <c r="G2877" t="s">
        <v>37</v>
      </c>
      <c r="H2877" t="s">
        <v>178</v>
      </c>
      <c r="I2877" t="s">
        <v>65</v>
      </c>
      <c r="J2877" s="2">
        <v>6</v>
      </c>
      <c r="K2877" s="3">
        <v>531.62</v>
      </c>
      <c r="L2877" s="3">
        <v>234.44</v>
      </c>
      <c r="M2877" s="4">
        <v>5.4100000000000002E-2</v>
      </c>
      <c r="N2877" s="3">
        <f t="shared" si="220"/>
        <v>3189.72</v>
      </c>
      <c r="O2877" s="3">
        <f t="shared" si="221"/>
        <v>3017.16</v>
      </c>
      <c r="P2877" s="3">
        <f t="shared" si="222"/>
        <v>1406.64</v>
      </c>
      <c r="Q2877" s="3">
        <f t="shared" si="223"/>
        <v>1610.52</v>
      </c>
      <c r="R2877" s="4">
        <f t="shared" si="224"/>
        <v>0.53380000000000005</v>
      </c>
      <c r="S2877" s="2">
        <v>9</v>
      </c>
      <c r="T2877" t="s">
        <v>46</v>
      </c>
      <c r="U2877">
        <v>2</v>
      </c>
    </row>
    <row r="2878" spans="1:21" x14ac:dyDescent="0.25">
      <c r="A2878" s="1">
        <v>46233</v>
      </c>
      <c r="B2878" t="s">
        <v>3064</v>
      </c>
      <c r="C2878" t="s">
        <v>146</v>
      </c>
      <c r="D2878" t="s">
        <v>139</v>
      </c>
      <c r="E2878" t="s">
        <v>72</v>
      </c>
      <c r="F2878" t="s">
        <v>58</v>
      </c>
      <c r="G2878" t="s">
        <v>27</v>
      </c>
      <c r="H2878" t="s">
        <v>68</v>
      </c>
      <c r="I2878" t="s">
        <v>94</v>
      </c>
      <c r="J2878" s="2">
        <v>8</v>
      </c>
      <c r="K2878" s="3">
        <v>1254.1099999999999</v>
      </c>
      <c r="L2878" s="3">
        <v>792.87</v>
      </c>
      <c r="M2878" s="4">
        <v>0.1527</v>
      </c>
      <c r="N2878" s="3">
        <f t="shared" si="220"/>
        <v>10032.879999999999</v>
      </c>
      <c r="O2878" s="3">
        <f t="shared" si="221"/>
        <v>8500.86</v>
      </c>
      <c r="P2878" s="3">
        <f t="shared" si="222"/>
        <v>6342.96</v>
      </c>
      <c r="Q2878" s="3">
        <f t="shared" si="223"/>
        <v>2157.9</v>
      </c>
      <c r="R2878" s="4">
        <f t="shared" si="224"/>
        <v>0.25380000000000003</v>
      </c>
      <c r="S2878" s="2">
        <v>6</v>
      </c>
      <c r="T2878" t="s">
        <v>46</v>
      </c>
      <c r="U2878">
        <v>3</v>
      </c>
    </row>
    <row r="2879" spans="1:21" x14ac:dyDescent="0.25">
      <c r="A2879" s="1">
        <v>46054</v>
      </c>
      <c r="B2879" t="s">
        <v>3065</v>
      </c>
      <c r="C2879" t="s">
        <v>321</v>
      </c>
      <c r="D2879" t="s">
        <v>71</v>
      </c>
      <c r="E2879" t="s">
        <v>72</v>
      </c>
      <c r="F2879" t="s">
        <v>36</v>
      </c>
      <c r="G2879" t="s">
        <v>27</v>
      </c>
      <c r="H2879" t="s">
        <v>68</v>
      </c>
      <c r="I2879" t="s">
        <v>74</v>
      </c>
      <c r="J2879" s="2">
        <v>4</v>
      </c>
      <c r="K2879" s="3">
        <v>1228.6099999999999</v>
      </c>
      <c r="L2879" s="3">
        <v>835.71</v>
      </c>
      <c r="M2879" s="4">
        <v>9.7699999999999995E-2</v>
      </c>
      <c r="N2879" s="3">
        <f t="shared" si="220"/>
        <v>4914.4399999999996</v>
      </c>
      <c r="O2879" s="3">
        <f t="shared" si="221"/>
        <v>4434.3</v>
      </c>
      <c r="P2879" s="3">
        <f t="shared" si="222"/>
        <v>3342.84</v>
      </c>
      <c r="Q2879" s="3">
        <f t="shared" si="223"/>
        <v>1091.46</v>
      </c>
      <c r="R2879" s="4">
        <f t="shared" si="224"/>
        <v>0.24610000000000001</v>
      </c>
      <c r="S2879" s="2">
        <v>6</v>
      </c>
      <c r="T2879" t="s">
        <v>46</v>
      </c>
      <c r="U2879">
        <v>4</v>
      </c>
    </row>
    <row r="2880" spans="1:21" x14ac:dyDescent="0.25">
      <c r="A2880" s="1">
        <v>46139</v>
      </c>
      <c r="B2880" t="s">
        <v>3066</v>
      </c>
      <c r="C2880" t="s">
        <v>55</v>
      </c>
      <c r="D2880" t="s">
        <v>49</v>
      </c>
      <c r="E2880" t="s">
        <v>50</v>
      </c>
      <c r="F2880" t="s">
        <v>36</v>
      </c>
      <c r="G2880" t="s">
        <v>51</v>
      </c>
      <c r="H2880" t="s">
        <v>59</v>
      </c>
      <c r="I2880" t="s">
        <v>53</v>
      </c>
      <c r="J2880" s="2">
        <v>4</v>
      </c>
      <c r="K2880" s="3">
        <v>2100.1799999999998</v>
      </c>
      <c r="L2880" s="3">
        <v>1359.02</v>
      </c>
      <c r="M2880" s="4">
        <v>0</v>
      </c>
      <c r="N2880" s="3">
        <f t="shared" si="220"/>
        <v>8400.7199999999993</v>
      </c>
      <c r="O2880" s="3">
        <f t="shared" si="221"/>
        <v>8400.7199999999993</v>
      </c>
      <c r="P2880" s="3">
        <f t="shared" si="222"/>
        <v>5436.08</v>
      </c>
      <c r="Q2880" s="3">
        <f t="shared" si="223"/>
        <v>2964.64</v>
      </c>
      <c r="R2880" s="4">
        <f t="shared" si="224"/>
        <v>0.35289999999999999</v>
      </c>
      <c r="S2880" s="2">
        <v>7</v>
      </c>
      <c r="T2880" t="s">
        <v>46</v>
      </c>
      <c r="U2880">
        <v>2</v>
      </c>
    </row>
    <row r="2881" spans="1:21" x14ac:dyDescent="0.25">
      <c r="A2881" s="1">
        <v>46231</v>
      </c>
      <c r="B2881" t="s">
        <v>3067</v>
      </c>
      <c r="C2881" t="s">
        <v>166</v>
      </c>
      <c r="D2881" t="s">
        <v>71</v>
      </c>
      <c r="E2881" t="s">
        <v>72</v>
      </c>
      <c r="F2881" t="s">
        <v>64</v>
      </c>
      <c r="G2881" t="s">
        <v>44</v>
      </c>
      <c r="H2881" t="s">
        <v>45</v>
      </c>
      <c r="I2881" t="s">
        <v>87</v>
      </c>
      <c r="J2881" s="2">
        <v>4</v>
      </c>
      <c r="K2881" s="3">
        <v>373.96</v>
      </c>
      <c r="L2881" s="3">
        <v>217.42</v>
      </c>
      <c r="M2881" s="4">
        <v>0</v>
      </c>
      <c r="N2881" s="3">
        <f t="shared" si="220"/>
        <v>1495.84</v>
      </c>
      <c r="O2881" s="3">
        <f t="shared" si="221"/>
        <v>1495.84</v>
      </c>
      <c r="P2881" s="3">
        <f t="shared" si="222"/>
        <v>869.68</v>
      </c>
      <c r="Q2881" s="3">
        <f t="shared" si="223"/>
        <v>626.16</v>
      </c>
      <c r="R2881" s="4">
        <f t="shared" si="224"/>
        <v>0.41860000000000003</v>
      </c>
      <c r="S2881" s="2">
        <v>9</v>
      </c>
      <c r="T2881" t="s">
        <v>46</v>
      </c>
      <c r="U2881">
        <v>5</v>
      </c>
    </row>
    <row r="2882" spans="1:21" x14ac:dyDescent="0.25">
      <c r="A2882" s="1">
        <v>46145</v>
      </c>
      <c r="B2882" t="s">
        <v>3068</v>
      </c>
      <c r="C2882" t="s">
        <v>220</v>
      </c>
      <c r="D2882" t="s">
        <v>24</v>
      </c>
      <c r="E2882" t="s">
        <v>25</v>
      </c>
      <c r="F2882" t="s">
        <v>26</v>
      </c>
      <c r="G2882" t="s">
        <v>51</v>
      </c>
      <c r="H2882" t="s">
        <v>52</v>
      </c>
      <c r="I2882" t="s">
        <v>29</v>
      </c>
      <c r="J2882" s="2">
        <v>4</v>
      </c>
      <c r="K2882" s="3">
        <v>253.29</v>
      </c>
      <c r="L2882" s="3">
        <v>118.21</v>
      </c>
      <c r="M2882" s="4">
        <v>0.1018</v>
      </c>
      <c r="N2882" s="3">
        <f t="shared" ref="N2882:N2945" si="225">ROUND(J2882*K2882,2)</f>
        <v>1013.16</v>
      </c>
      <c r="O2882" s="3">
        <f t="shared" ref="O2882:O2945" si="226">ROUND(N2882*(1-M2882),2)</f>
        <v>910.02</v>
      </c>
      <c r="P2882" s="3">
        <f t="shared" ref="P2882:P2945" si="227">ROUND(J2882*L2882,2)</f>
        <v>472.84</v>
      </c>
      <c r="Q2882" s="3">
        <f t="shared" ref="Q2882:Q2945" si="228">ROUND(O2882-P2882,2)</f>
        <v>437.18</v>
      </c>
      <c r="R2882" s="4">
        <f t="shared" ref="R2882:R2945" si="229">IF(O2882=0,0,ROUND(Q2882/O2882,4))</f>
        <v>0.48039999999999999</v>
      </c>
      <c r="S2882" s="2">
        <v>14</v>
      </c>
      <c r="T2882" t="s">
        <v>30</v>
      </c>
      <c r="U2882">
        <v>5</v>
      </c>
    </row>
    <row r="2883" spans="1:21" x14ac:dyDescent="0.25">
      <c r="A2883" s="1">
        <v>46198</v>
      </c>
      <c r="B2883" t="s">
        <v>3069</v>
      </c>
      <c r="C2883" t="s">
        <v>329</v>
      </c>
      <c r="D2883" t="s">
        <v>101</v>
      </c>
      <c r="E2883" t="s">
        <v>35</v>
      </c>
      <c r="F2883" t="s">
        <v>26</v>
      </c>
      <c r="G2883" t="s">
        <v>27</v>
      </c>
      <c r="H2883" t="s">
        <v>86</v>
      </c>
      <c r="I2883" t="s">
        <v>65</v>
      </c>
      <c r="J2883" s="2">
        <v>2</v>
      </c>
      <c r="K2883" s="3">
        <v>1796.76</v>
      </c>
      <c r="L2883" s="3">
        <v>1150.79</v>
      </c>
      <c r="M2883" s="4">
        <v>0</v>
      </c>
      <c r="N2883" s="3">
        <f t="shared" si="225"/>
        <v>3593.52</v>
      </c>
      <c r="O2883" s="3">
        <f t="shared" si="226"/>
        <v>3593.52</v>
      </c>
      <c r="P2883" s="3">
        <f t="shared" si="227"/>
        <v>2301.58</v>
      </c>
      <c r="Q2883" s="3">
        <f t="shared" si="228"/>
        <v>1291.94</v>
      </c>
      <c r="R2883" s="4">
        <f t="shared" si="229"/>
        <v>0.35949999999999999</v>
      </c>
      <c r="S2883" s="2">
        <v>12</v>
      </c>
      <c r="T2883" t="s">
        <v>30</v>
      </c>
      <c r="U2883">
        <v>5</v>
      </c>
    </row>
    <row r="2884" spans="1:21" x14ac:dyDescent="0.25">
      <c r="A2884" s="1">
        <v>46023</v>
      </c>
      <c r="B2884" t="s">
        <v>3070</v>
      </c>
      <c r="C2884" t="s">
        <v>118</v>
      </c>
      <c r="D2884" t="s">
        <v>139</v>
      </c>
      <c r="E2884" t="s">
        <v>72</v>
      </c>
      <c r="F2884" t="s">
        <v>64</v>
      </c>
      <c r="G2884" t="s">
        <v>51</v>
      </c>
      <c r="H2884" t="s">
        <v>59</v>
      </c>
      <c r="I2884" t="s">
        <v>77</v>
      </c>
      <c r="J2884" s="2">
        <v>7</v>
      </c>
      <c r="K2884" s="3">
        <v>2228.34</v>
      </c>
      <c r="L2884" s="3">
        <v>1445.32</v>
      </c>
      <c r="M2884" s="4">
        <v>0</v>
      </c>
      <c r="N2884" s="3">
        <f t="shared" si="225"/>
        <v>15598.38</v>
      </c>
      <c r="O2884" s="3">
        <f t="shared" si="226"/>
        <v>15598.38</v>
      </c>
      <c r="P2884" s="3">
        <f t="shared" si="227"/>
        <v>10117.24</v>
      </c>
      <c r="Q2884" s="3">
        <f t="shared" si="228"/>
        <v>5481.14</v>
      </c>
      <c r="R2884" s="4">
        <f t="shared" si="229"/>
        <v>0.35139999999999999</v>
      </c>
      <c r="S2884" s="2">
        <v>9</v>
      </c>
      <c r="T2884" t="s">
        <v>46</v>
      </c>
      <c r="U2884">
        <v>3</v>
      </c>
    </row>
    <row r="2885" spans="1:21" x14ac:dyDescent="0.25">
      <c r="A2885" s="1">
        <v>46161</v>
      </c>
      <c r="B2885" t="s">
        <v>3071</v>
      </c>
      <c r="C2885" t="s">
        <v>464</v>
      </c>
      <c r="D2885" t="s">
        <v>85</v>
      </c>
      <c r="E2885" t="s">
        <v>50</v>
      </c>
      <c r="F2885" t="s">
        <v>64</v>
      </c>
      <c r="G2885" t="s">
        <v>44</v>
      </c>
      <c r="H2885" t="s">
        <v>73</v>
      </c>
      <c r="I2885" t="s">
        <v>60</v>
      </c>
      <c r="J2885" s="2">
        <v>2</v>
      </c>
      <c r="K2885" s="3">
        <v>1675.07</v>
      </c>
      <c r="L2885" s="3">
        <v>1037.31</v>
      </c>
      <c r="M2885" s="4">
        <v>1.3100000000000001E-2</v>
      </c>
      <c r="N2885" s="3">
        <f t="shared" si="225"/>
        <v>3350.14</v>
      </c>
      <c r="O2885" s="3">
        <f t="shared" si="226"/>
        <v>3306.25</v>
      </c>
      <c r="P2885" s="3">
        <f t="shared" si="227"/>
        <v>2074.62</v>
      </c>
      <c r="Q2885" s="3">
        <f t="shared" si="228"/>
        <v>1231.6300000000001</v>
      </c>
      <c r="R2885" s="4">
        <f t="shared" si="229"/>
        <v>0.3725</v>
      </c>
      <c r="S2885" s="2">
        <v>12</v>
      </c>
      <c r="T2885" t="s">
        <v>30</v>
      </c>
      <c r="U2885">
        <v>2</v>
      </c>
    </row>
    <row r="2886" spans="1:21" x14ac:dyDescent="0.25">
      <c r="A2886" s="1">
        <v>46027</v>
      </c>
      <c r="B2886" t="s">
        <v>3072</v>
      </c>
      <c r="C2886" t="s">
        <v>168</v>
      </c>
      <c r="D2886" t="s">
        <v>97</v>
      </c>
      <c r="E2886" t="s">
        <v>57</v>
      </c>
      <c r="F2886" t="s">
        <v>58</v>
      </c>
      <c r="G2886" t="s">
        <v>27</v>
      </c>
      <c r="H2886" t="s">
        <v>68</v>
      </c>
      <c r="I2886" t="s">
        <v>29</v>
      </c>
      <c r="J2886" s="2">
        <v>4</v>
      </c>
      <c r="K2886" s="3">
        <v>1231.48</v>
      </c>
      <c r="L2886" s="3">
        <v>780.4</v>
      </c>
      <c r="M2886" s="4">
        <v>0.16389999999999999</v>
      </c>
      <c r="N2886" s="3">
        <f t="shared" si="225"/>
        <v>4925.92</v>
      </c>
      <c r="O2886" s="3">
        <f t="shared" si="226"/>
        <v>4118.5600000000004</v>
      </c>
      <c r="P2886" s="3">
        <f t="shared" si="227"/>
        <v>3121.6</v>
      </c>
      <c r="Q2886" s="3">
        <f t="shared" si="228"/>
        <v>996.96</v>
      </c>
      <c r="R2886" s="4">
        <f t="shared" si="229"/>
        <v>0.24210000000000001</v>
      </c>
      <c r="S2886" s="2">
        <v>10</v>
      </c>
      <c r="T2886" t="s">
        <v>46</v>
      </c>
      <c r="U2886">
        <v>2</v>
      </c>
    </row>
    <row r="2887" spans="1:21" x14ac:dyDescent="0.25">
      <c r="A2887" s="1">
        <v>46141</v>
      </c>
      <c r="B2887" t="s">
        <v>3073</v>
      </c>
      <c r="C2887" t="s">
        <v>224</v>
      </c>
      <c r="D2887" t="s">
        <v>97</v>
      </c>
      <c r="E2887" t="s">
        <v>57</v>
      </c>
      <c r="F2887" t="s">
        <v>36</v>
      </c>
      <c r="G2887" t="s">
        <v>37</v>
      </c>
      <c r="H2887" t="s">
        <v>104</v>
      </c>
      <c r="I2887" t="s">
        <v>39</v>
      </c>
      <c r="J2887" s="2">
        <v>4</v>
      </c>
      <c r="K2887" s="3">
        <v>309.88</v>
      </c>
      <c r="L2887" s="3">
        <v>136.32</v>
      </c>
      <c r="M2887" s="4">
        <v>0</v>
      </c>
      <c r="N2887" s="3">
        <f t="shared" si="225"/>
        <v>1239.52</v>
      </c>
      <c r="O2887" s="3">
        <f t="shared" si="226"/>
        <v>1239.52</v>
      </c>
      <c r="P2887" s="3">
        <f t="shared" si="227"/>
        <v>545.28</v>
      </c>
      <c r="Q2887" s="3">
        <f t="shared" si="228"/>
        <v>694.24</v>
      </c>
      <c r="R2887" s="4">
        <f t="shared" si="229"/>
        <v>0.56010000000000004</v>
      </c>
      <c r="S2887" s="2">
        <v>9</v>
      </c>
      <c r="T2887" t="s">
        <v>46</v>
      </c>
      <c r="U2887">
        <v>5</v>
      </c>
    </row>
    <row r="2888" spans="1:21" x14ac:dyDescent="0.25">
      <c r="A2888" s="1">
        <v>46213</v>
      </c>
      <c r="B2888" t="s">
        <v>3074</v>
      </c>
      <c r="C2888" t="s">
        <v>527</v>
      </c>
      <c r="D2888" t="s">
        <v>56</v>
      </c>
      <c r="E2888" t="s">
        <v>57</v>
      </c>
      <c r="F2888" t="s">
        <v>58</v>
      </c>
      <c r="G2888" t="s">
        <v>51</v>
      </c>
      <c r="H2888" t="s">
        <v>116</v>
      </c>
      <c r="I2888" t="s">
        <v>94</v>
      </c>
      <c r="J2888" s="2">
        <v>2</v>
      </c>
      <c r="K2888" s="3">
        <v>2936.32</v>
      </c>
      <c r="L2888" s="3">
        <v>1886.07</v>
      </c>
      <c r="M2888" s="4">
        <v>3.5000000000000003E-2</v>
      </c>
      <c r="N2888" s="3">
        <f t="shared" si="225"/>
        <v>5872.64</v>
      </c>
      <c r="O2888" s="3">
        <f t="shared" si="226"/>
        <v>5667.1</v>
      </c>
      <c r="P2888" s="3">
        <f t="shared" si="227"/>
        <v>3772.14</v>
      </c>
      <c r="Q2888" s="3">
        <f t="shared" si="228"/>
        <v>1894.96</v>
      </c>
      <c r="R2888" s="4">
        <f t="shared" si="229"/>
        <v>0.33439999999999998</v>
      </c>
      <c r="S2888" s="2">
        <v>10</v>
      </c>
      <c r="T2888" t="s">
        <v>46</v>
      </c>
      <c r="U2888">
        <v>4</v>
      </c>
    </row>
    <row r="2889" spans="1:21" x14ac:dyDescent="0.25">
      <c r="A2889" s="1">
        <v>46048</v>
      </c>
      <c r="B2889" t="s">
        <v>3075</v>
      </c>
      <c r="C2889" t="s">
        <v>216</v>
      </c>
      <c r="D2889" t="s">
        <v>121</v>
      </c>
      <c r="E2889" t="s">
        <v>72</v>
      </c>
      <c r="F2889" t="s">
        <v>64</v>
      </c>
      <c r="G2889" t="s">
        <v>37</v>
      </c>
      <c r="H2889" t="s">
        <v>38</v>
      </c>
      <c r="I2889" t="s">
        <v>94</v>
      </c>
      <c r="J2889" s="2">
        <v>7</v>
      </c>
      <c r="K2889" s="3">
        <v>429.59</v>
      </c>
      <c r="L2889" s="3">
        <v>196.37</v>
      </c>
      <c r="M2889" s="4">
        <v>0</v>
      </c>
      <c r="N2889" s="3">
        <f t="shared" si="225"/>
        <v>3007.13</v>
      </c>
      <c r="O2889" s="3">
        <f t="shared" si="226"/>
        <v>3007.13</v>
      </c>
      <c r="P2889" s="3">
        <f t="shared" si="227"/>
        <v>1374.59</v>
      </c>
      <c r="Q2889" s="3">
        <f t="shared" si="228"/>
        <v>1632.54</v>
      </c>
      <c r="R2889" s="4">
        <f t="shared" si="229"/>
        <v>0.54290000000000005</v>
      </c>
      <c r="S2889" s="2">
        <v>6</v>
      </c>
      <c r="T2889" t="s">
        <v>46</v>
      </c>
      <c r="U2889">
        <v>5</v>
      </c>
    </row>
    <row r="2890" spans="1:21" x14ac:dyDescent="0.25">
      <c r="A2890" s="1">
        <v>46071</v>
      </c>
      <c r="B2890" t="s">
        <v>3076</v>
      </c>
      <c r="C2890" t="s">
        <v>386</v>
      </c>
      <c r="D2890" t="s">
        <v>49</v>
      </c>
      <c r="E2890" t="s">
        <v>50</v>
      </c>
      <c r="F2890" t="s">
        <v>36</v>
      </c>
      <c r="G2890" t="s">
        <v>44</v>
      </c>
      <c r="H2890" t="s">
        <v>45</v>
      </c>
      <c r="I2890" t="s">
        <v>29</v>
      </c>
      <c r="J2890" s="2">
        <v>6</v>
      </c>
      <c r="K2890" s="3">
        <v>372.81</v>
      </c>
      <c r="L2890" s="3">
        <v>219.22</v>
      </c>
      <c r="M2890" s="4">
        <v>3.3300000000000003E-2</v>
      </c>
      <c r="N2890" s="3">
        <f t="shared" si="225"/>
        <v>2236.86</v>
      </c>
      <c r="O2890" s="3">
        <f t="shared" si="226"/>
        <v>2162.37</v>
      </c>
      <c r="P2890" s="3">
        <f t="shared" si="227"/>
        <v>1315.32</v>
      </c>
      <c r="Q2890" s="3">
        <f t="shared" si="228"/>
        <v>847.05</v>
      </c>
      <c r="R2890" s="4">
        <f t="shared" si="229"/>
        <v>0.39169999999999999</v>
      </c>
      <c r="S2890" s="2">
        <v>12</v>
      </c>
      <c r="T2890" t="s">
        <v>30</v>
      </c>
      <c r="U2890">
        <v>3</v>
      </c>
    </row>
    <row r="2891" spans="1:21" x14ac:dyDescent="0.25">
      <c r="A2891" s="1">
        <v>46157</v>
      </c>
      <c r="B2891" t="s">
        <v>3077</v>
      </c>
      <c r="C2891" t="s">
        <v>271</v>
      </c>
      <c r="D2891" t="s">
        <v>139</v>
      </c>
      <c r="E2891" t="s">
        <v>72</v>
      </c>
      <c r="F2891" t="s">
        <v>58</v>
      </c>
      <c r="G2891" t="s">
        <v>27</v>
      </c>
      <c r="H2891" t="s">
        <v>68</v>
      </c>
      <c r="I2891" t="s">
        <v>92</v>
      </c>
      <c r="J2891" s="2">
        <v>1</v>
      </c>
      <c r="K2891" s="3">
        <v>1316.29</v>
      </c>
      <c r="L2891" s="3">
        <v>789.02</v>
      </c>
      <c r="M2891" s="4">
        <v>3.5000000000000003E-2</v>
      </c>
      <c r="N2891" s="3">
        <f t="shared" si="225"/>
        <v>1316.29</v>
      </c>
      <c r="O2891" s="3">
        <f t="shared" si="226"/>
        <v>1270.22</v>
      </c>
      <c r="P2891" s="3">
        <f t="shared" si="227"/>
        <v>789.02</v>
      </c>
      <c r="Q2891" s="3">
        <f t="shared" si="228"/>
        <v>481.2</v>
      </c>
      <c r="R2891" s="4">
        <f t="shared" si="229"/>
        <v>0.37880000000000003</v>
      </c>
      <c r="S2891" s="2">
        <v>11</v>
      </c>
      <c r="T2891" t="s">
        <v>30</v>
      </c>
      <c r="U2891">
        <v>2</v>
      </c>
    </row>
    <row r="2892" spans="1:21" x14ac:dyDescent="0.25">
      <c r="A2892" s="1">
        <v>46156</v>
      </c>
      <c r="B2892" t="s">
        <v>3078</v>
      </c>
      <c r="C2892" t="s">
        <v>609</v>
      </c>
      <c r="D2892" t="s">
        <v>97</v>
      </c>
      <c r="E2892" t="s">
        <v>57</v>
      </c>
      <c r="F2892" t="s">
        <v>26</v>
      </c>
      <c r="G2892" t="s">
        <v>44</v>
      </c>
      <c r="H2892" t="s">
        <v>73</v>
      </c>
      <c r="I2892" t="s">
        <v>92</v>
      </c>
      <c r="J2892" s="2">
        <v>3</v>
      </c>
      <c r="K2892" s="3">
        <v>1743.71</v>
      </c>
      <c r="L2892" s="3">
        <v>1085.71</v>
      </c>
      <c r="M2892" s="4">
        <v>0</v>
      </c>
      <c r="N2892" s="3">
        <f t="shared" si="225"/>
        <v>5231.13</v>
      </c>
      <c r="O2892" s="3">
        <f t="shared" si="226"/>
        <v>5231.13</v>
      </c>
      <c r="P2892" s="3">
        <f t="shared" si="227"/>
        <v>3257.13</v>
      </c>
      <c r="Q2892" s="3">
        <f t="shared" si="228"/>
        <v>1974</v>
      </c>
      <c r="R2892" s="4">
        <f t="shared" si="229"/>
        <v>0.37740000000000001</v>
      </c>
      <c r="S2892" s="2">
        <v>6</v>
      </c>
      <c r="T2892" t="s">
        <v>46</v>
      </c>
      <c r="U2892">
        <v>5</v>
      </c>
    </row>
    <row r="2893" spans="1:21" x14ac:dyDescent="0.25">
      <c r="A2893" s="1">
        <v>46226</v>
      </c>
      <c r="B2893" t="s">
        <v>3079</v>
      </c>
      <c r="C2893" t="s">
        <v>240</v>
      </c>
      <c r="D2893" t="s">
        <v>85</v>
      </c>
      <c r="E2893" t="s">
        <v>50</v>
      </c>
      <c r="F2893" t="s">
        <v>58</v>
      </c>
      <c r="G2893" t="s">
        <v>44</v>
      </c>
      <c r="H2893" t="s">
        <v>45</v>
      </c>
      <c r="I2893" t="s">
        <v>39</v>
      </c>
      <c r="J2893" s="2">
        <v>2</v>
      </c>
      <c r="K2893" s="3">
        <v>369.8</v>
      </c>
      <c r="L2893" s="3">
        <v>205.19</v>
      </c>
      <c r="M2893" s="4">
        <v>3.9300000000000002E-2</v>
      </c>
      <c r="N2893" s="3">
        <f t="shared" si="225"/>
        <v>739.6</v>
      </c>
      <c r="O2893" s="3">
        <f t="shared" si="226"/>
        <v>710.53</v>
      </c>
      <c r="P2893" s="3">
        <f t="shared" si="227"/>
        <v>410.38</v>
      </c>
      <c r="Q2893" s="3">
        <f t="shared" si="228"/>
        <v>300.14999999999998</v>
      </c>
      <c r="R2893" s="4">
        <f t="shared" si="229"/>
        <v>0.4224</v>
      </c>
      <c r="S2893" s="2">
        <v>13</v>
      </c>
      <c r="T2893" t="s">
        <v>30</v>
      </c>
      <c r="U2893">
        <v>4</v>
      </c>
    </row>
    <row r="2894" spans="1:21" x14ac:dyDescent="0.25">
      <c r="A2894" s="1">
        <v>46214</v>
      </c>
      <c r="B2894" t="s">
        <v>3080</v>
      </c>
      <c r="C2894" t="s">
        <v>132</v>
      </c>
      <c r="D2894" t="s">
        <v>43</v>
      </c>
      <c r="E2894" t="s">
        <v>25</v>
      </c>
      <c r="F2894" t="s">
        <v>58</v>
      </c>
      <c r="G2894" t="s">
        <v>44</v>
      </c>
      <c r="H2894" t="s">
        <v>124</v>
      </c>
      <c r="I2894" t="s">
        <v>29</v>
      </c>
      <c r="J2894" s="2">
        <v>3</v>
      </c>
      <c r="K2894" s="3">
        <v>5841.67</v>
      </c>
      <c r="L2894" s="3">
        <v>4406.67</v>
      </c>
      <c r="M2894" s="4">
        <v>0.14710000000000001</v>
      </c>
      <c r="N2894" s="3">
        <f t="shared" si="225"/>
        <v>17525.009999999998</v>
      </c>
      <c r="O2894" s="3">
        <f t="shared" si="226"/>
        <v>14947.08</v>
      </c>
      <c r="P2894" s="3">
        <f t="shared" si="227"/>
        <v>13220.01</v>
      </c>
      <c r="Q2894" s="3">
        <f t="shared" si="228"/>
        <v>1727.07</v>
      </c>
      <c r="R2894" s="4">
        <f t="shared" si="229"/>
        <v>0.11550000000000001</v>
      </c>
      <c r="S2894" s="2">
        <v>2</v>
      </c>
      <c r="T2894" t="s">
        <v>46</v>
      </c>
      <c r="U2894">
        <v>5</v>
      </c>
    </row>
    <row r="2895" spans="1:21" x14ac:dyDescent="0.25">
      <c r="A2895" s="1">
        <v>46115</v>
      </c>
      <c r="B2895" t="s">
        <v>3081</v>
      </c>
      <c r="C2895" t="s">
        <v>260</v>
      </c>
      <c r="D2895" t="s">
        <v>34</v>
      </c>
      <c r="E2895" t="s">
        <v>35</v>
      </c>
      <c r="F2895" t="s">
        <v>64</v>
      </c>
      <c r="G2895" t="s">
        <v>27</v>
      </c>
      <c r="H2895" t="s">
        <v>86</v>
      </c>
      <c r="I2895" t="s">
        <v>77</v>
      </c>
      <c r="J2895" s="2">
        <v>8</v>
      </c>
      <c r="K2895" s="3">
        <v>1917.76</v>
      </c>
      <c r="L2895" s="3">
        <v>1208.22</v>
      </c>
      <c r="M2895" s="4">
        <v>0.10539999999999999</v>
      </c>
      <c r="N2895" s="3">
        <f t="shared" si="225"/>
        <v>15342.08</v>
      </c>
      <c r="O2895" s="3">
        <f t="shared" si="226"/>
        <v>13725.02</v>
      </c>
      <c r="P2895" s="3">
        <f t="shared" si="227"/>
        <v>9665.76</v>
      </c>
      <c r="Q2895" s="3">
        <f t="shared" si="228"/>
        <v>4059.26</v>
      </c>
      <c r="R2895" s="4">
        <f t="shared" si="229"/>
        <v>0.29580000000000001</v>
      </c>
      <c r="S2895" s="2">
        <v>4</v>
      </c>
      <c r="T2895" t="s">
        <v>46</v>
      </c>
      <c r="U2895">
        <v>3</v>
      </c>
    </row>
    <row r="2896" spans="1:21" x14ac:dyDescent="0.25">
      <c r="A2896" s="1">
        <v>46101</v>
      </c>
      <c r="B2896" t="s">
        <v>3082</v>
      </c>
      <c r="C2896" t="s">
        <v>70</v>
      </c>
      <c r="D2896" t="s">
        <v>56</v>
      </c>
      <c r="E2896" t="s">
        <v>57</v>
      </c>
      <c r="F2896" t="s">
        <v>58</v>
      </c>
      <c r="G2896" t="s">
        <v>37</v>
      </c>
      <c r="H2896" t="s">
        <v>178</v>
      </c>
      <c r="I2896" t="s">
        <v>39</v>
      </c>
      <c r="J2896" s="2">
        <v>4</v>
      </c>
      <c r="K2896" s="3">
        <v>516.67999999999995</v>
      </c>
      <c r="L2896" s="3">
        <v>232.83</v>
      </c>
      <c r="M2896" s="4">
        <v>3.5000000000000003E-2</v>
      </c>
      <c r="N2896" s="3">
        <f t="shared" si="225"/>
        <v>2066.7199999999998</v>
      </c>
      <c r="O2896" s="3">
        <f t="shared" si="226"/>
        <v>1994.38</v>
      </c>
      <c r="P2896" s="3">
        <f t="shared" si="227"/>
        <v>931.32</v>
      </c>
      <c r="Q2896" s="3">
        <f t="shared" si="228"/>
        <v>1063.06</v>
      </c>
      <c r="R2896" s="4">
        <f t="shared" si="229"/>
        <v>0.53300000000000003</v>
      </c>
      <c r="S2896" s="2">
        <v>5</v>
      </c>
      <c r="T2896" t="s">
        <v>46</v>
      </c>
      <c r="U2896">
        <v>4</v>
      </c>
    </row>
    <row r="2897" spans="1:21" x14ac:dyDescent="0.25">
      <c r="A2897" s="1">
        <v>46230</v>
      </c>
      <c r="B2897" t="s">
        <v>3083</v>
      </c>
      <c r="C2897" t="s">
        <v>23</v>
      </c>
      <c r="D2897" t="s">
        <v>56</v>
      </c>
      <c r="E2897" t="s">
        <v>57</v>
      </c>
      <c r="F2897" t="s">
        <v>26</v>
      </c>
      <c r="G2897" t="s">
        <v>51</v>
      </c>
      <c r="H2897" t="s">
        <v>52</v>
      </c>
      <c r="I2897" t="s">
        <v>29</v>
      </c>
      <c r="J2897" s="2">
        <v>7</v>
      </c>
      <c r="K2897" s="3">
        <v>268.63</v>
      </c>
      <c r="L2897" s="3">
        <v>121.47</v>
      </c>
      <c r="M2897" s="4">
        <v>2.2200000000000001E-2</v>
      </c>
      <c r="N2897" s="3">
        <f t="shared" si="225"/>
        <v>1880.41</v>
      </c>
      <c r="O2897" s="3">
        <f t="shared" si="226"/>
        <v>1838.66</v>
      </c>
      <c r="P2897" s="3">
        <f t="shared" si="227"/>
        <v>850.29</v>
      </c>
      <c r="Q2897" s="3">
        <f t="shared" si="228"/>
        <v>988.37</v>
      </c>
      <c r="R2897" s="4">
        <f t="shared" si="229"/>
        <v>0.53749999999999998</v>
      </c>
      <c r="S2897" s="2">
        <v>9</v>
      </c>
      <c r="T2897" t="s">
        <v>46</v>
      </c>
      <c r="U2897">
        <v>5</v>
      </c>
    </row>
    <row r="2898" spans="1:21" x14ac:dyDescent="0.25">
      <c r="A2898" s="1">
        <v>46130</v>
      </c>
      <c r="B2898" t="s">
        <v>3084</v>
      </c>
      <c r="C2898" t="s">
        <v>560</v>
      </c>
      <c r="D2898" t="s">
        <v>207</v>
      </c>
      <c r="E2898" t="s">
        <v>35</v>
      </c>
      <c r="F2898" t="s">
        <v>36</v>
      </c>
      <c r="G2898" t="s">
        <v>27</v>
      </c>
      <c r="H2898" t="s">
        <v>86</v>
      </c>
      <c r="I2898" t="s">
        <v>87</v>
      </c>
      <c r="J2898" s="2">
        <v>8</v>
      </c>
      <c r="K2898" s="3">
        <v>1898.56</v>
      </c>
      <c r="L2898" s="3">
        <v>1170.76</v>
      </c>
      <c r="M2898" s="4">
        <v>0</v>
      </c>
      <c r="N2898" s="3">
        <f t="shared" si="225"/>
        <v>15188.48</v>
      </c>
      <c r="O2898" s="3">
        <f t="shared" si="226"/>
        <v>15188.48</v>
      </c>
      <c r="P2898" s="3">
        <f t="shared" si="227"/>
        <v>9366.08</v>
      </c>
      <c r="Q2898" s="3">
        <f t="shared" si="228"/>
        <v>5822.4</v>
      </c>
      <c r="R2898" s="4">
        <f t="shared" si="229"/>
        <v>0.38329999999999997</v>
      </c>
      <c r="S2898" s="2">
        <v>8</v>
      </c>
      <c r="T2898" t="s">
        <v>46</v>
      </c>
      <c r="U2898">
        <v>4</v>
      </c>
    </row>
    <row r="2899" spans="1:21" x14ac:dyDescent="0.25">
      <c r="A2899" s="1">
        <v>46041</v>
      </c>
      <c r="B2899" t="s">
        <v>3085</v>
      </c>
      <c r="C2899" t="s">
        <v>153</v>
      </c>
      <c r="D2899" t="s">
        <v>126</v>
      </c>
      <c r="E2899" t="s">
        <v>57</v>
      </c>
      <c r="F2899" t="s">
        <v>36</v>
      </c>
      <c r="G2899" t="s">
        <v>37</v>
      </c>
      <c r="H2899" t="s">
        <v>178</v>
      </c>
      <c r="I2899" t="s">
        <v>39</v>
      </c>
      <c r="J2899" s="2">
        <v>7</v>
      </c>
      <c r="K2899" s="3">
        <v>533.6</v>
      </c>
      <c r="L2899" s="3">
        <v>245.81</v>
      </c>
      <c r="M2899" s="4">
        <v>0</v>
      </c>
      <c r="N2899" s="3">
        <f t="shared" si="225"/>
        <v>3735.2</v>
      </c>
      <c r="O2899" s="3">
        <f t="shared" si="226"/>
        <v>3735.2</v>
      </c>
      <c r="P2899" s="3">
        <f t="shared" si="227"/>
        <v>1720.67</v>
      </c>
      <c r="Q2899" s="3">
        <f t="shared" si="228"/>
        <v>2014.53</v>
      </c>
      <c r="R2899" s="4">
        <f t="shared" si="229"/>
        <v>0.5393</v>
      </c>
      <c r="S2899" s="2">
        <v>3</v>
      </c>
      <c r="T2899" t="s">
        <v>46</v>
      </c>
      <c r="U2899">
        <v>2</v>
      </c>
    </row>
    <row r="2900" spans="1:21" x14ac:dyDescent="0.25">
      <c r="A2900" s="1">
        <v>46101</v>
      </c>
      <c r="B2900" t="s">
        <v>3086</v>
      </c>
      <c r="C2900" t="s">
        <v>331</v>
      </c>
      <c r="D2900" t="s">
        <v>43</v>
      </c>
      <c r="E2900" t="s">
        <v>25</v>
      </c>
      <c r="F2900" t="s">
        <v>64</v>
      </c>
      <c r="G2900" t="s">
        <v>51</v>
      </c>
      <c r="H2900" t="s">
        <v>52</v>
      </c>
      <c r="I2900" t="s">
        <v>94</v>
      </c>
      <c r="J2900" s="2">
        <v>1</v>
      </c>
      <c r="K2900" s="3">
        <v>246.71</v>
      </c>
      <c r="L2900" s="3">
        <v>127.77</v>
      </c>
      <c r="M2900" s="4">
        <v>5.6399999999999999E-2</v>
      </c>
      <c r="N2900" s="3">
        <f t="shared" si="225"/>
        <v>246.71</v>
      </c>
      <c r="O2900" s="3">
        <f t="shared" si="226"/>
        <v>232.8</v>
      </c>
      <c r="P2900" s="3">
        <f t="shared" si="227"/>
        <v>127.77</v>
      </c>
      <c r="Q2900" s="3">
        <f t="shared" si="228"/>
        <v>105.03</v>
      </c>
      <c r="R2900" s="4">
        <f t="shared" si="229"/>
        <v>0.45119999999999999</v>
      </c>
      <c r="S2900" s="2">
        <v>11</v>
      </c>
      <c r="T2900" t="s">
        <v>30</v>
      </c>
      <c r="U2900">
        <v>4</v>
      </c>
    </row>
    <row r="2901" spans="1:21" x14ac:dyDescent="0.25">
      <c r="A2901" s="1">
        <v>46047</v>
      </c>
      <c r="B2901" t="s">
        <v>3087</v>
      </c>
      <c r="C2901" t="s">
        <v>168</v>
      </c>
      <c r="D2901" t="s">
        <v>207</v>
      </c>
      <c r="E2901" t="s">
        <v>35</v>
      </c>
      <c r="F2901" t="s">
        <v>36</v>
      </c>
      <c r="G2901" t="s">
        <v>37</v>
      </c>
      <c r="H2901" t="s">
        <v>178</v>
      </c>
      <c r="I2901" t="s">
        <v>94</v>
      </c>
      <c r="J2901" s="2">
        <v>3</v>
      </c>
      <c r="K2901" s="3">
        <v>522.25</v>
      </c>
      <c r="L2901" s="3">
        <v>238.35</v>
      </c>
      <c r="M2901" s="4">
        <v>5.1999999999999998E-2</v>
      </c>
      <c r="N2901" s="3">
        <f t="shared" si="225"/>
        <v>1566.75</v>
      </c>
      <c r="O2901" s="3">
        <f t="shared" si="226"/>
        <v>1485.28</v>
      </c>
      <c r="P2901" s="3">
        <f t="shared" si="227"/>
        <v>715.05</v>
      </c>
      <c r="Q2901" s="3">
        <f t="shared" si="228"/>
        <v>770.23</v>
      </c>
      <c r="R2901" s="4">
        <f t="shared" si="229"/>
        <v>0.51859999999999995</v>
      </c>
      <c r="S2901" s="2">
        <v>5</v>
      </c>
      <c r="T2901" t="s">
        <v>46</v>
      </c>
      <c r="U2901">
        <v>2</v>
      </c>
    </row>
    <row r="2902" spans="1:21" x14ac:dyDescent="0.25">
      <c r="A2902" s="1">
        <v>46227</v>
      </c>
      <c r="B2902" t="s">
        <v>3088</v>
      </c>
      <c r="C2902" t="s">
        <v>500</v>
      </c>
      <c r="D2902" t="s">
        <v>207</v>
      </c>
      <c r="E2902" t="s">
        <v>35</v>
      </c>
      <c r="F2902" t="s">
        <v>58</v>
      </c>
      <c r="G2902" t="s">
        <v>51</v>
      </c>
      <c r="H2902" t="s">
        <v>116</v>
      </c>
      <c r="I2902" t="s">
        <v>94</v>
      </c>
      <c r="J2902" s="2">
        <v>8</v>
      </c>
      <c r="K2902" s="3">
        <v>2833.45</v>
      </c>
      <c r="L2902" s="3">
        <v>1831.55</v>
      </c>
      <c r="M2902" s="4">
        <v>3.5000000000000003E-2</v>
      </c>
      <c r="N2902" s="3">
        <f t="shared" si="225"/>
        <v>22667.599999999999</v>
      </c>
      <c r="O2902" s="3">
        <f t="shared" si="226"/>
        <v>21874.23</v>
      </c>
      <c r="P2902" s="3">
        <f t="shared" si="227"/>
        <v>14652.4</v>
      </c>
      <c r="Q2902" s="3">
        <f t="shared" si="228"/>
        <v>7221.83</v>
      </c>
      <c r="R2902" s="4">
        <f t="shared" si="229"/>
        <v>0.33019999999999999</v>
      </c>
      <c r="S2902" s="2">
        <v>8</v>
      </c>
      <c r="T2902" t="s">
        <v>46</v>
      </c>
      <c r="U2902">
        <v>5</v>
      </c>
    </row>
    <row r="2903" spans="1:21" x14ac:dyDescent="0.25">
      <c r="A2903" s="1">
        <v>46181</v>
      </c>
      <c r="B2903" t="s">
        <v>3089</v>
      </c>
      <c r="C2903" t="s">
        <v>148</v>
      </c>
      <c r="D2903" t="s">
        <v>97</v>
      </c>
      <c r="E2903" t="s">
        <v>57</v>
      </c>
      <c r="F2903" t="s">
        <v>36</v>
      </c>
      <c r="G2903" t="s">
        <v>27</v>
      </c>
      <c r="H2903" t="s">
        <v>28</v>
      </c>
      <c r="I2903" t="s">
        <v>65</v>
      </c>
      <c r="J2903" s="2">
        <v>5</v>
      </c>
      <c r="K2903" s="3">
        <v>820.49</v>
      </c>
      <c r="L2903" s="3">
        <v>475.22</v>
      </c>
      <c r="M2903" s="4">
        <v>0</v>
      </c>
      <c r="N2903" s="3">
        <f t="shared" si="225"/>
        <v>4102.45</v>
      </c>
      <c r="O2903" s="3">
        <f t="shared" si="226"/>
        <v>4102.45</v>
      </c>
      <c r="P2903" s="3">
        <f t="shared" si="227"/>
        <v>2376.1</v>
      </c>
      <c r="Q2903" s="3">
        <f t="shared" si="228"/>
        <v>1726.35</v>
      </c>
      <c r="R2903" s="4">
        <f t="shared" si="229"/>
        <v>0.42080000000000001</v>
      </c>
      <c r="S2903" s="2">
        <v>9</v>
      </c>
      <c r="T2903" t="s">
        <v>46</v>
      </c>
      <c r="U2903">
        <v>4</v>
      </c>
    </row>
    <row r="2904" spans="1:21" x14ac:dyDescent="0.25">
      <c r="A2904" s="1">
        <v>46167</v>
      </c>
      <c r="B2904" t="s">
        <v>3090</v>
      </c>
      <c r="C2904" t="s">
        <v>195</v>
      </c>
      <c r="D2904" t="s">
        <v>139</v>
      </c>
      <c r="E2904" t="s">
        <v>72</v>
      </c>
      <c r="F2904" t="s">
        <v>26</v>
      </c>
      <c r="G2904" t="s">
        <v>44</v>
      </c>
      <c r="H2904" t="s">
        <v>73</v>
      </c>
      <c r="I2904" t="s">
        <v>29</v>
      </c>
      <c r="J2904" s="2">
        <v>5</v>
      </c>
      <c r="K2904" s="3">
        <v>1668.09</v>
      </c>
      <c r="L2904" s="3">
        <v>1145.32</v>
      </c>
      <c r="M2904" s="4">
        <v>0</v>
      </c>
      <c r="N2904" s="3">
        <f t="shared" si="225"/>
        <v>8340.4500000000007</v>
      </c>
      <c r="O2904" s="3">
        <f t="shared" si="226"/>
        <v>8340.4500000000007</v>
      </c>
      <c r="P2904" s="3">
        <f t="shared" si="227"/>
        <v>5726.6</v>
      </c>
      <c r="Q2904" s="3">
        <f t="shared" si="228"/>
        <v>2613.85</v>
      </c>
      <c r="R2904" s="4">
        <f t="shared" si="229"/>
        <v>0.31340000000000001</v>
      </c>
      <c r="S2904" s="2">
        <v>8</v>
      </c>
      <c r="T2904" t="s">
        <v>46</v>
      </c>
      <c r="U2904">
        <v>4</v>
      </c>
    </row>
    <row r="2905" spans="1:21" x14ac:dyDescent="0.25">
      <c r="A2905" s="1">
        <v>46097</v>
      </c>
      <c r="B2905" t="s">
        <v>3091</v>
      </c>
      <c r="C2905" t="s">
        <v>271</v>
      </c>
      <c r="D2905" t="s">
        <v>130</v>
      </c>
      <c r="E2905" t="s">
        <v>72</v>
      </c>
      <c r="F2905" t="s">
        <v>26</v>
      </c>
      <c r="G2905" t="s">
        <v>51</v>
      </c>
      <c r="H2905" t="s">
        <v>52</v>
      </c>
      <c r="I2905" t="s">
        <v>92</v>
      </c>
      <c r="J2905" s="2">
        <v>4</v>
      </c>
      <c r="K2905" s="3">
        <v>251.83</v>
      </c>
      <c r="L2905" s="3">
        <v>122.23</v>
      </c>
      <c r="M2905" s="4">
        <v>0</v>
      </c>
      <c r="N2905" s="3">
        <f t="shared" si="225"/>
        <v>1007.32</v>
      </c>
      <c r="O2905" s="3">
        <f t="shared" si="226"/>
        <v>1007.32</v>
      </c>
      <c r="P2905" s="3">
        <f t="shared" si="227"/>
        <v>488.92</v>
      </c>
      <c r="Q2905" s="3">
        <f t="shared" si="228"/>
        <v>518.4</v>
      </c>
      <c r="R2905" s="4">
        <f t="shared" si="229"/>
        <v>0.51459999999999995</v>
      </c>
      <c r="S2905" s="2">
        <v>7</v>
      </c>
      <c r="T2905" t="s">
        <v>46</v>
      </c>
      <c r="U2905">
        <v>2</v>
      </c>
    </row>
    <row r="2906" spans="1:21" x14ac:dyDescent="0.25">
      <c r="A2906" s="1">
        <v>46024</v>
      </c>
      <c r="B2906" t="s">
        <v>3092</v>
      </c>
      <c r="C2906" t="s">
        <v>67</v>
      </c>
      <c r="D2906" t="s">
        <v>113</v>
      </c>
      <c r="E2906" t="s">
        <v>50</v>
      </c>
      <c r="F2906" t="s">
        <v>64</v>
      </c>
      <c r="G2906" t="s">
        <v>27</v>
      </c>
      <c r="H2906" t="s">
        <v>28</v>
      </c>
      <c r="I2906" t="s">
        <v>39</v>
      </c>
      <c r="J2906" s="2">
        <v>4</v>
      </c>
      <c r="K2906" s="3">
        <v>768.73</v>
      </c>
      <c r="L2906" s="3">
        <v>440.06</v>
      </c>
      <c r="M2906" s="4">
        <v>0</v>
      </c>
      <c r="N2906" s="3">
        <f t="shared" si="225"/>
        <v>3074.92</v>
      </c>
      <c r="O2906" s="3">
        <f t="shared" si="226"/>
        <v>3074.92</v>
      </c>
      <c r="P2906" s="3">
        <f t="shared" si="227"/>
        <v>1760.24</v>
      </c>
      <c r="Q2906" s="3">
        <f t="shared" si="228"/>
        <v>1314.68</v>
      </c>
      <c r="R2906" s="4">
        <f t="shared" si="229"/>
        <v>0.42749999999999999</v>
      </c>
      <c r="S2906" s="2">
        <v>11</v>
      </c>
      <c r="T2906" t="s">
        <v>30</v>
      </c>
      <c r="U2906">
        <v>5</v>
      </c>
    </row>
    <row r="2907" spans="1:21" x14ac:dyDescent="0.25">
      <c r="A2907" s="1">
        <v>46206</v>
      </c>
      <c r="B2907" t="s">
        <v>3093</v>
      </c>
      <c r="C2907" t="s">
        <v>349</v>
      </c>
      <c r="D2907" t="s">
        <v>97</v>
      </c>
      <c r="E2907" t="s">
        <v>57</v>
      </c>
      <c r="F2907" t="s">
        <v>64</v>
      </c>
      <c r="G2907" t="s">
        <v>37</v>
      </c>
      <c r="H2907" t="s">
        <v>38</v>
      </c>
      <c r="I2907" t="s">
        <v>92</v>
      </c>
      <c r="J2907" s="2">
        <v>7</v>
      </c>
      <c r="K2907" s="3">
        <v>415.73</v>
      </c>
      <c r="L2907" s="3">
        <v>184.63</v>
      </c>
      <c r="M2907" s="4">
        <v>0</v>
      </c>
      <c r="N2907" s="3">
        <f t="shared" si="225"/>
        <v>2910.11</v>
      </c>
      <c r="O2907" s="3">
        <f t="shared" si="226"/>
        <v>2910.11</v>
      </c>
      <c r="P2907" s="3">
        <f t="shared" si="227"/>
        <v>1292.4100000000001</v>
      </c>
      <c r="Q2907" s="3">
        <f t="shared" si="228"/>
        <v>1617.7</v>
      </c>
      <c r="R2907" s="4">
        <f t="shared" si="229"/>
        <v>0.55589999999999995</v>
      </c>
      <c r="S2907" s="2">
        <v>6</v>
      </c>
      <c r="T2907" t="s">
        <v>46</v>
      </c>
      <c r="U2907">
        <v>4</v>
      </c>
    </row>
    <row r="2908" spans="1:21" x14ac:dyDescent="0.25">
      <c r="A2908" s="1">
        <v>46036</v>
      </c>
      <c r="B2908" t="s">
        <v>3094</v>
      </c>
      <c r="C2908" t="s">
        <v>349</v>
      </c>
      <c r="D2908" t="s">
        <v>130</v>
      </c>
      <c r="E2908" t="s">
        <v>72</v>
      </c>
      <c r="F2908" t="s">
        <v>64</v>
      </c>
      <c r="G2908" t="s">
        <v>51</v>
      </c>
      <c r="H2908" t="s">
        <v>59</v>
      </c>
      <c r="I2908" t="s">
        <v>94</v>
      </c>
      <c r="J2908" s="2">
        <v>2</v>
      </c>
      <c r="K2908" s="3">
        <v>2091.36</v>
      </c>
      <c r="L2908" s="3">
        <v>1505.18</v>
      </c>
      <c r="M2908" s="4">
        <v>0</v>
      </c>
      <c r="N2908" s="3">
        <f t="shared" si="225"/>
        <v>4182.72</v>
      </c>
      <c r="O2908" s="3">
        <f t="shared" si="226"/>
        <v>4182.72</v>
      </c>
      <c r="P2908" s="3">
        <f t="shared" si="227"/>
        <v>3010.36</v>
      </c>
      <c r="Q2908" s="3">
        <f t="shared" si="228"/>
        <v>1172.3599999999999</v>
      </c>
      <c r="R2908" s="4">
        <f t="shared" si="229"/>
        <v>0.28029999999999999</v>
      </c>
      <c r="S2908" s="2">
        <v>9</v>
      </c>
      <c r="T2908" t="s">
        <v>46</v>
      </c>
      <c r="U2908">
        <v>3</v>
      </c>
    </row>
    <row r="2909" spans="1:21" x14ac:dyDescent="0.25">
      <c r="A2909" s="1">
        <v>46073</v>
      </c>
      <c r="B2909" t="s">
        <v>3095</v>
      </c>
      <c r="C2909" t="s">
        <v>195</v>
      </c>
      <c r="D2909" t="s">
        <v>130</v>
      </c>
      <c r="E2909" t="s">
        <v>72</v>
      </c>
      <c r="F2909" t="s">
        <v>64</v>
      </c>
      <c r="G2909" t="s">
        <v>27</v>
      </c>
      <c r="H2909" t="s">
        <v>86</v>
      </c>
      <c r="I2909" t="s">
        <v>74</v>
      </c>
      <c r="J2909" s="2">
        <v>2</v>
      </c>
      <c r="K2909" s="3">
        <v>1924.37</v>
      </c>
      <c r="L2909" s="3">
        <v>1198.06</v>
      </c>
      <c r="M2909" s="4">
        <v>0</v>
      </c>
      <c r="N2909" s="3">
        <f t="shared" si="225"/>
        <v>3848.74</v>
      </c>
      <c r="O2909" s="3">
        <f t="shared" si="226"/>
        <v>3848.74</v>
      </c>
      <c r="P2909" s="3">
        <f t="shared" si="227"/>
        <v>2396.12</v>
      </c>
      <c r="Q2909" s="3">
        <f t="shared" si="228"/>
        <v>1452.62</v>
      </c>
      <c r="R2909" s="4">
        <f t="shared" si="229"/>
        <v>0.37740000000000001</v>
      </c>
      <c r="S2909" s="2">
        <v>4</v>
      </c>
      <c r="T2909" t="s">
        <v>46</v>
      </c>
      <c r="U2909">
        <v>2</v>
      </c>
    </row>
    <row r="2910" spans="1:21" x14ac:dyDescent="0.25">
      <c r="A2910" s="1">
        <v>46134</v>
      </c>
      <c r="B2910" t="s">
        <v>3096</v>
      </c>
      <c r="C2910" t="s">
        <v>144</v>
      </c>
      <c r="D2910" t="s">
        <v>85</v>
      </c>
      <c r="E2910" t="s">
        <v>50</v>
      </c>
      <c r="F2910" t="s">
        <v>26</v>
      </c>
      <c r="G2910" t="s">
        <v>27</v>
      </c>
      <c r="H2910" t="s">
        <v>28</v>
      </c>
      <c r="I2910" t="s">
        <v>53</v>
      </c>
      <c r="J2910" s="2">
        <v>5</v>
      </c>
      <c r="K2910" s="3">
        <v>761.2</v>
      </c>
      <c r="L2910" s="3">
        <v>441.31</v>
      </c>
      <c r="M2910" s="4">
        <v>3.8600000000000002E-2</v>
      </c>
      <c r="N2910" s="3">
        <f t="shared" si="225"/>
        <v>3806</v>
      </c>
      <c r="O2910" s="3">
        <f t="shared" si="226"/>
        <v>3659.09</v>
      </c>
      <c r="P2910" s="3">
        <f t="shared" si="227"/>
        <v>2206.5500000000002</v>
      </c>
      <c r="Q2910" s="3">
        <f t="shared" si="228"/>
        <v>1452.54</v>
      </c>
      <c r="R2910" s="4">
        <f t="shared" si="229"/>
        <v>0.39700000000000002</v>
      </c>
      <c r="S2910" s="2">
        <v>10</v>
      </c>
      <c r="T2910" t="s">
        <v>46</v>
      </c>
      <c r="U2910">
        <v>5</v>
      </c>
    </row>
    <row r="2911" spans="1:21" x14ac:dyDescent="0.25">
      <c r="A2911" s="1">
        <v>46076</v>
      </c>
      <c r="B2911" t="s">
        <v>3097</v>
      </c>
      <c r="C2911" t="s">
        <v>148</v>
      </c>
      <c r="D2911" t="s">
        <v>113</v>
      </c>
      <c r="E2911" t="s">
        <v>50</v>
      </c>
      <c r="F2911" t="s">
        <v>58</v>
      </c>
      <c r="G2911" t="s">
        <v>51</v>
      </c>
      <c r="H2911" t="s">
        <v>52</v>
      </c>
      <c r="I2911" t="s">
        <v>39</v>
      </c>
      <c r="J2911" s="2">
        <v>4</v>
      </c>
      <c r="K2911" s="3">
        <v>254.34</v>
      </c>
      <c r="L2911" s="3">
        <v>120.52</v>
      </c>
      <c r="M2911" s="4">
        <v>7.5899999999999995E-2</v>
      </c>
      <c r="N2911" s="3">
        <f t="shared" si="225"/>
        <v>1017.36</v>
      </c>
      <c r="O2911" s="3">
        <f t="shared" si="226"/>
        <v>940.14</v>
      </c>
      <c r="P2911" s="3">
        <f t="shared" si="227"/>
        <v>482.08</v>
      </c>
      <c r="Q2911" s="3">
        <f t="shared" si="228"/>
        <v>458.06</v>
      </c>
      <c r="R2911" s="4">
        <f t="shared" si="229"/>
        <v>0.48720000000000002</v>
      </c>
      <c r="S2911" s="2">
        <v>10</v>
      </c>
      <c r="T2911" t="s">
        <v>46</v>
      </c>
      <c r="U2911">
        <v>4</v>
      </c>
    </row>
    <row r="2912" spans="1:21" x14ac:dyDescent="0.25">
      <c r="A2912" s="1">
        <v>46103</v>
      </c>
      <c r="B2912" t="s">
        <v>3098</v>
      </c>
      <c r="C2912" t="s">
        <v>187</v>
      </c>
      <c r="D2912" t="s">
        <v>85</v>
      </c>
      <c r="E2912" t="s">
        <v>50</v>
      </c>
      <c r="F2912" t="s">
        <v>58</v>
      </c>
      <c r="G2912" t="s">
        <v>51</v>
      </c>
      <c r="H2912" t="s">
        <v>116</v>
      </c>
      <c r="I2912" t="s">
        <v>74</v>
      </c>
      <c r="J2912" s="2">
        <v>5</v>
      </c>
      <c r="K2912" s="3">
        <v>2665.83</v>
      </c>
      <c r="L2912" s="3">
        <v>1875.18</v>
      </c>
      <c r="M2912" s="4">
        <v>0.1081</v>
      </c>
      <c r="N2912" s="3">
        <f t="shared" si="225"/>
        <v>13329.15</v>
      </c>
      <c r="O2912" s="3">
        <f t="shared" si="226"/>
        <v>11888.27</v>
      </c>
      <c r="P2912" s="3">
        <f t="shared" si="227"/>
        <v>9375.9</v>
      </c>
      <c r="Q2912" s="3">
        <f t="shared" si="228"/>
        <v>2512.37</v>
      </c>
      <c r="R2912" s="4">
        <f t="shared" si="229"/>
        <v>0.21129999999999999</v>
      </c>
      <c r="S2912" s="2">
        <v>2</v>
      </c>
      <c r="T2912" t="s">
        <v>46</v>
      </c>
      <c r="U2912">
        <v>4</v>
      </c>
    </row>
    <row r="2913" spans="1:22" x14ac:dyDescent="0.25">
      <c r="A2913" s="1">
        <v>46213</v>
      </c>
      <c r="B2913" t="s">
        <v>3099</v>
      </c>
      <c r="C2913" t="s">
        <v>428</v>
      </c>
      <c r="D2913" t="s">
        <v>71</v>
      </c>
      <c r="E2913" t="s">
        <v>72</v>
      </c>
      <c r="F2913" t="s">
        <v>36</v>
      </c>
      <c r="G2913" t="s">
        <v>27</v>
      </c>
      <c r="H2913" t="s">
        <v>68</v>
      </c>
      <c r="I2913" t="s">
        <v>77</v>
      </c>
      <c r="J2913" s="2">
        <v>1</v>
      </c>
      <c r="K2913" s="3">
        <v>1231.82</v>
      </c>
      <c r="L2913" s="3">
        <v>798.86</v>
      </c>
      <c r="M2913" s="4">
        <v>8.6900000000000005E-2</v>
      </c>
      <c r="N2913" s="3">
        <f t="shared" si="225"/>
        <v>1231.82</v>
      </c>
      <c r="O2913" s="3">
        <f t="shared" si="226"/>
        <v>1124.77</v>
      </c>
      <c r="P2913" s="3">
        <f t="shared" si="227"/>
        <v>798.86</v>
      </c>
      <c r="Q2913" s="3">
        <f t="shared" si="228"/>
        <v>325.91000000000003</v>
      </c>
      <c r="R2913" s="4">
        <f t="shared" si="229"/>
        <v>0.2898</v>
      </c>
      <c r="S2913" s="2">
        <v>7</v>
      </c>
      <c r="T2913" t="s">
        <v>46</v>
      </c>
      <c r="U2913">
        <v>5</v>
      </c>
    </row>
    <row r="2914" spans="1:22" x14ac:dyDescent="0.25">
      <c r="A2914" s="1">
        <v>46055</v>
      </c>
      <c r="B2914" t="s">
        <v>3100</v>
      </c>
      <c r="C2914" t="s">
        <v>168</v>
      </c>
      <c r="D2914" t="s">
        <v>139</v>
      </c>
      <c r="E2914" t="s">
        <v>72</v>
      </c>
      <c r="F2914" t="s">
        <v>26</v>
      </c>
      <c r="G2914" t="s">
        <v>37</v>
      </c>
      <c r="H2914" t="s">
        <v>178</v>
      </c>
      <c r="I2914" t="s">
        <v>87</v>
      </c>
      <c r="J2914" s="2">
        <v>7</v>
      </c>
      <c r="K2914" s="3">
        <v>535.17999999999995</v>
      </c>
      <c r="L2914" s="3">
        <v>254.65</v>
      </c>
      <c r="M2914" s="4">
        <v>0</v>
      </c>
      <c r="N2914" s="3">
        <f t="shared" si="225"/>
        <v>3746.26</v>
      </c>
      <c r="O2914" s="3">
        <f t="shared" si="226"/>
        <v>3746.26</v>
      </c>
      <c r="P2914" s="3">
        <f t="shared" si="227"/>
        <v>1782.55</v>
      </c>
      <c r="Q2914" s="3">
        <f t="shared" si="228"/>
        <v>1963.71</v>
      </c>
      <c r="R2914" s="4">
        <f t="shared" si="229"/>
        <v>0.5242</v>
      </c>
      <c r="S2914" s="2">
        <v>7</v>
      </c>
      <c r="T2914" t="s">
        <v>46</v>
      </c>
      <c r="U2914">
        <v>2</v>
      </c>
    </row>
    <row r="2915" spans="1:22" x14ac:dyDescent="0.25">
      <c r="A2915" s="1">
        <v>46135</v>
      </c>
      <c r="B2915" t="s">
        <v>3101</v>
      </c>
      <c r="C2915" t="s">
        <v>464</v>
      </c>
      <c r="D2915" t="s">
        <v>130</v>
      </c>
      <c r="E2915" t="s">
        <v>72</v>
      </c>
      <c r="F2915" t="s">
        <v>58</v>
      </c>
      <c r="G2915" t="s">
        <v>51</v>
      </c>
      <c r="H2915" t="s">
        <v>52</v>
      </c>
      <c r="I2915" t="s">
        <v>94</v>
      </c>
      <c r="J2915" s="2">
        <v>8</v>
      </c>
      <c r="K2915" s="3">
        <v>248.51</v>
      </c>
      <c r="L2915" s="3">
        <v>118.59</v>
      </c>
      <c r="M2915" s="4">
        <v>3.5000000000000003E-2</v>
      </c>
      <c r="N2915" s="3">
        <f t="shared" si="225"/>
        <v>1988.08</v>
      </c>
      <c r="O2915" s="3">
        <f t="shared" si="226"/>
        <v>1918.5</v>
      </c>
      <c r="P2915" s="3">
        <f t="shared" si="227"/>
        <v>948.72</v>
      </c>
      <c r="Q2915" s="3">
        <f t="shared" si="228"/>
        <v>969.78</v>
      </c>
      <c r="R2915" s="4">
        <f t="shared" si="229"/>
        <v>0.50549999999999995</v>
      </c>
      <c r="S2915" s="2">
        <v>13</v>
      </c>
      <c r="T2915" t="s">
        <v>30</v>
      </c>
      <c r="U2915">
        <v>2</v>
      </c>
    </row>
    <row r="2916" spans="1:22" x14ac:dyDescent="0.25">
      <c r="A2916" s="1">
        <v>46100</v>
      </c>
      <c r="B2916" t="s">
        <v>3102</v>
      </c>
      <c r="C2916" t="s">
        <v>392</v>
      </c>
      <c r="D2916" t="s">
        <v>101</v>
      </c>
      <c r="E2916" t="s">
        <v>35</v>
      </c>
      <c r="F2916" t="s">
        <v>36</v>
      </c>
      <c r="G2916" t="s">
        <v>51</v>
      </c>
      <c r="H2916" t="s">
        <v>52</v>
      </c>
      <c r="I2916" t="s">
        <v>65</v>
      </c>
      <c r="J2916" s="2">
        <v>4</v>
      </c>
      <c r="K2916" s="3">
        <v>272.32</v>
      </c>
      <c r="L2916" s="3">
        <v>115.34</v>
      </c>
      <c r="M2916" s="4">
        <v>0</v>
      </c>
      <c r="N2916" s="3">
        <f t="shared" si="225"/>
        <v>1089.28</v>
      </c>
      <c r="O2916" s="3">
        <f t="shared" si="226"/>
        <v>1089.28</v>
      </c>
      <c r="P2916" s="3">
        <f t="shared" si="227"/>
        <v>461.36</v>
      </c>
      <c r="Q2916" s="3">
        <f t="shared" si="228"/>
        <v>627.91999999999996</v>
      </c>
      <c r="R2916" s="4">
        <f t="shared" si="229"/>
        <v>0.57650000000000001</v>
      </c>
      <c r="S2916" s="2">
        <v>4</v>
      </c>
      <c r="T2916" t="s">
        <v>46</v>
      </c>
      <c r="U2916">
        <v>2</v>
      </c>
    </row>
    <row r="2917" spans="1:22" x14ac:dyDescent="0.25">
      <c r="A2917" s="1">
        <v>46142</v>
      </c>
      <c r="B2917" t="s">
        <v>3103</v>
      </c>
      <c r="C2917" t="s">
        <v>89</v>
      </c>
      <c r="D2917" t="s">
        <v>113</v>
      </c>
      <c r="E2917" t="s">
        <v>50</v>
      </c>
      <c r="F2917" t="s">
        <v>64</v>
      </c>
      <c r="G2917" t="s">
        <v>27</v>
      </c>
      <c r="H2917" t="s">
        <v>28</v>
      </c>
      <c r="I2917" t="s">
        <v>77</v>
      </c>
      <c r="J2917" s="2">
        <v>2</v>
      </c>
      <c r="K2917" s="3">
        <v>771.4</v>
      </c>
      <c r="L2917" s="3">
        <v>442.03</v>
      </c>
      <c r="M2917" s="4">
        <v>9.7500000000000003E-2</v>
      </c>
      <c r="N2917" s="3">
        <f t="shared" si="225"/>
        <v>1542.8</v>
      </c>
      <c r="O2917" s="3">
        <f t="shared" si="226"/>
        <v>1392.38</v>
      </c>
      <c r="P2917" s="3">
        <f t="shared" si="227"/>
        <v>884.06</v>
      </c>
      <c r="Q2917" s="3">
        <f t="shared" si="228"/>
        <v>508.32</v>
      </c>
      <c r="R2917" s="4">
        <f t="shared" si="229"/>
        <v>0.36509999999999998</v>
      </c>
      <c r="S2917" s="2">
        <v>7</v>
      </c>
      <c r="T2917" t="s">
        <v>46</v>
      </c>
      <c r="U2917">
        <v>3</v>
      </c>
    </row>
    <row r="2918" spans="1:22" x14ac:dyDescent="0.25">
      <c r="A2918" s="1">
        <v>46216</v>
      </c>
      <c r="B2918" t="s">
        <v>3104</v>
      </c>
      <c r="C2918" t="s">
        <v>218</v>
      </c>
      <c r="D2918" t="s">
        <v>71</v>
      </c>
      <c r="E2918" t="s">
        <v>72</v>
      </c>
      <c r="F2918" t="s">
        <v>58</v>
      </c>
      <c r="G2918" t="s">
        <v>37</v>
      </c>
      <c r="H2918" t="s">
        <v>178</v>
      </c>
      <c r="I2918" t="s">
        <v>39</v>
      </c>
      <c r="J2918" s="2">
        <v>8</v>
      </c>
      <c r="K2918" s="3">
        <v>518.04999999999995</v>
      </c>
      <c r="L2918" s="3">
        <v>248.61</v>
      </c>
      <c r="M2918" s="4">
        <v>0.11119999999999999</v>
      </c>
      <c r="N2918" s="3">
        <f t="shared" si="225"/>
        <v>4144.3999999999996</v>
      </c>
      <c r="O2918" s="3">
        <f t="shared" si="226"/>
        <v>3683.54</v>
      </c>
      <c r="P2918" s="3">
        <f t="shared" si="227"/>
        <v>1988.88</v>
      </c>
      <c r="Q2918" s="3">
        <f t="shared" si="228"/>
        <v>1694.66</v>
      </c>
      <c r="R2918" s="4">
        <f t="shared" si="229"/>
        <v>0.46010000000000001</v>
      </c>
      <c r="S2918" s="2">
        <v>13</v>
      </c>
      <c r="T2918" t="s">
        <v>30</v>
      </c>
      <c r="U2918">
        <v>2</v>
      </c>
    </row>
    <row r="2919" spans="1:22" x14ac:dyDescent="0.25">
      <c r="A2919" s="1">
        <v>46186</v>
      </c>
      <c r="B2919" t="s">
        <v>3105</v>
      </c>
      <c r="C2919" t="s">
        <v>166</v>
      </c>
      <c r="D2919" t="s">
        <v>34</v>
      </c>
      <c r="E2919" t="s">
        <v>35</v>
      </c>
      <c r="F2919" t="s">
        <v>64</v>
      </c>
      <c r="G2919" t="s">
        <v>27</v>
      </c>
      <c r="H2919" t="s">
        <v>86</v>
      </c>
      <c r="I2919" t="s">
        <v>87</v>
      </c>
      <c r="J2919" s="2">
        <v>6</v>
      </c>
      <c r="K2919" s="3">
        <v>1808.11</v>
      </c>
      <c r="L2919" s="3">
        <v>1144.8499999999999</v>
      </c>
      <c r="M2919" s="4">
        <v>0</v>
      </c>
      <c r="N2919" s="3">
        <f t="shared" si="225"/>
        <v>10848.66</v>
      </c>
      <c r="O2919" s="3">
        <f t="shared" si="226"/>
        <v>10848.66</v>
      </c>
      <c r="P2919" s="3">
        <f t="shared" si="227"/>
        <v>6869.1</v>
      </c>
      <c r="Q2919" s="3">
        <f t="shared" si="228"/>
        <v>3979.56</v>
      </c>
      <c r="R2919" s="4">
        <f t="shared" si="229"/>
        <v>0.36680000000000001</v>
      </c>
      <c r="S2919" s="2">
        <v>7</v>
      </c>
      <c r="T2919" t="s">
        <v>46</v>
      </c>
      <c r="U2919">
        <v>2</v>
      </c>
    </row>
    <row r="2920" spans="1:22" x14ac:dyDescent="0.25">
      <c r="A2920" s="1">
        <v>46119</v>
      </c>
      <c r="B2920" t="s">
        <v>3106</v>
      </c>
      <c r="C2920" t="s">
        <v>336</v>
      </c>
      <c r="D2920" t="s">
        <v>113</v>
      </c>
      <c r="E2920" t="s">
        <v>50</v>
      </c>
      <c r="F2920" t="s">
        <v>64</v>
      </c>
      <c r="G2920" t="s">
        <v>27</v>
      </c>
      <c r="H2920" t="s">
        <v>86</v>
      </c>
      <c r="I2920" t="s">
        <v>77</v>
      </c>
      <c r="J2920" s="2">
        <v>4</v>
      </c>
      <c r="K2920" s="3">
        <v>1992.66</v>
      </c>
      <c r="L2920" s="3">
        <v>1153.6300000000001</v>
      </c>
      <c r="M2920" s="4">
        <v>0</v>
      </c>
      <c r="N2920" s="3">
        <f t="shared" si="225"/>
        <v>7970.64</v>
      </c>
      <c r="O2920" s="3">
        <f t="shared" si="226"/>
        <v>7970.64</v>
      </c>
      <c r="P2920" s="3">
        <f t="shared" si="227"/>
        <v>4614.5200000000004</v>
      </c>
      <c r="Q2920" s="3">
        <f t="shared" si="228"/>
        <v>3356.12</v>
      </c>
      <c r="R2920" s="4">
        <f t="shared" si="229"/>
        <v>0.42109999999999997</v>
      </c>
      <c r="S2920" s="2">
        <v>12</v>
      </c>
      <c r="T2920" t="s">
        <v>30</v>
      </c>
      <c r="U2920">
        <v>5</v>
      </c>
    </row>
    <row r="2921" spans="1:22" x14ac:dyDescent="0.25">
      <c r="A2921" s="1">
        <v>46085</v>
      </c>
      <c r="B2921" t="s">
        <v>3107</v>
      </c>
      <c r="C2921" t="s">
        <v>500</v>
      </c>
      <c r="D2921" t="s">
        <v>113</v>
      </c>
      <c r="E2921" t="s">
        <v>50</v>
      </c>
      <c r="F2921" t="s">
        <v>36</v>
      </c>
      <c r="G2921" t="s">
        <v>44</v>
      </c>
      <c r="H2921" t="s">
        <v>73</v>
      </c>
      <c r="I2921" t="s">
        <v>94</v>
      </c>
      <c r="J2921" s="2">
        <v>4</v>
      </c>
      <c r="K2921" s="3">
        <v>1679.35</v>
      </c>
      <c r="L2921" s="3">
        <v>1131.6099999999999</v>
      </c>
      <c r="M2921" s="4">
        <v>0.12790000000000001</v>
      </c>
      <c r="N2921" s="3">
        <f t="shared" si="225"/>
        <v>6717.4</v>
      </c>
      <c r="O2921" s="3">
        <f t="shared" si="226"/>
        <v>5858.24</v>
      </c>
      <c r="P2921" s="3">
        <f t="shared" si="227"/>
        <v>4526.4399999999996</v>
      </c>
      <c r="Q2921" s="3">
        <f t="shared" si="228"/>
        <v>1331.8</v>
      </c>
      <c r="R2921" s="4">
        <f t="shared" si="229"/>
        <v>0.2273</v>
      </c>
      <c r="S2921" s="2">
        <v>14</v>
      </c>
      <c r="T2921" t="s">
        <v>30</v>
      </c>
      <c r="U2921">
        <v>4</v>
      </c>
    </row>
    <row r="2922" spans="1:22" x14ac:dyDescent="0.25">
      <c r="A2922" s="1">
        <v>46174</v>
      </c>
      <c r="B2922" t="s">
        <v>3108</v>
      </c>
      <c r="C2922" t="s">
        <v>118</v>
      </c>
      <c r="D2922" t="s">
        <v>85</v>
      </c>
      <c r="E2922" t="s">
        <v>50</v>
      </c>
      <c r="F2922" t="s">
        <v>26</v>
      </c>
      <c r="G2922" t="s">
        <v>37</v>
      </c>
      <c r="H2922" t="s">
        <v>38</v>
      </c>
      <c r="I2922" t="s">
        <v>94</v>
      </c>
      <c r="J2922" s="2">
        <v>5</v>
      </c>
      <c r="K2922" s="3">
        <v>423.9</v>
      </c>
      <c r="L2922" s="3">
        <v>196.1</v>
      </c>
      <c r="M2922" s="4">
        <v>0</v>
      </c>
      <c r="N2922" s="3">
        <f t="shared" si="225"/>
        <v>2119.5</v>
      </c>
      <c r="O2922" s="3">
        <f t="shared" si="226"/>
        <v>2119.5</v>
      </c>
      <c r="P2922" s="3">
        <f t="shared" si="227"/>
        <v>980.5</v>
      </c>
      <c r="Q2922" s="3">
        <f t="shared" si="228"/>
        <v>1139</v>
      </c>
      <c r="R2922" s="4">
        <f t="shared" si="229"/>
        <v>0.53739999999999999</v>
      </c>
      <c r="S2922" s="2">
        <v>25</v>
      </c>
      <c r="T2922" t="s">
        <v>30</v>
      </c>
      <c r="U2922">
        <v>1</v>
      </c>
      <c r="V2922" t="s">
        <v>208</v>
      </c>
    </row>
    <row r="2923" spans="1:22" x14ac:dyDescent="0.25">
      <c r="A2923" s="1">
        <v>46145</v>
      </c>
      <c r="B2923" t="s">
        <v>3109</v>
      </c>
      <c r="C2923" t="s">
        <v>224</v>
      </c>
      <c r="D2923" t="s">
        <v>97</v>
      </c>
      <c r="E2923" t="s">
        <v>57</v>
      </c>
      <c r="F2923" t="s">
        <v>26</v>
      </c>
      <c r="G2923" t="s">
        <v>51</v>
      </c>
      <c r="H2923" t="s">
        <v>116</v>
      </c>
      <c r="I2923" t="s">
        <v>53</v>
      </c>
      <c r="J2923" s="2">
        <v>4</v>
      </c>
      <c r="K2923" s="3">
        <v>2747.25</v>
      </c>
      <c r="L2923" s="3">
        <v>1793.2</v>
      </c>
      <c r="M2923" s="4">
        <v>5.7099999999999998E-2</v>
      </c>
      <c r="N2923" s="3">
        <f t="shared" si="225"/>
        <v>10989</v>
      </c>
      <c r="O2923" s="3">
        <f t="shared" si="226"/>
        <v>10361.530000000001</v>
      </c>
      <c r="P2923" s="3">
        <f t="shared" si="227"/>
        <v>7172.8</v>
      </c>
      <c r="Q2923" s="3">
        <f t="shared" si="228"/>
        <v>3188.73</v>
      </c>
      <c r="R2923" s="4">
        <f t="shared" si="229"/>
        <v>0.30769999999999997</v>
      </c>
      <c r="S2923" s="2">
        <v>10</v>
      </c>
      <c r="T2923" t="s">
        <v>46</v>
      </c>
      <c r="U2923">
        <v>2</v>
      </c>
    </row>
    <row r="2924" spans="1:22" x14ac:dyDescent="0.25">
      <c r="A2924" s="1">
        <v>46059</v>
      </c>
      <c r="B2924" t="s">
        <v>3110</v>
      </c>
      <c r="C2924" t="s">
        <v>378</v>
      </c>
      <c r="D2924" t="s">
        <v>43</v>
      </c>
      <c r="E2924" t="s">
        <v>25</v>
      </c>
      <c r="F2924" t="s">
        <v>26</v>
      </c>
      <c r="G2924" t="s">
        <v>27</v>
      </c>
      <c r="H2924" t="s">
        <v>28</v>
      </c>
      <c r="I2924" t="s">
        <v>87</v>
      </c>
      <c r="J2924" s="2">
        <v>8</v>
      </c>
      <c r="K2924" s="3">
        <v>804.42</v>
      </c>
      <c r="L2924" s="3">
        <v>480.27</v>
      </c>
      <c r="M2924" s="4">
        <v>7.3700000000000002E-2</v>
      </c>
      <c r="N2924" s="3">
        <f t="shared" si="225"/>
        <v>6435.36</v>
      </c>
      <c r="O2924" s="3">
        <f t="shared" si="226"/>
        <v>5961.07</v>
      </c>
      <c r="P2924" s="3">
        <f t="shared" si="227"/>
        <v>3842.16</v>
      </c>
      <c r="Q2924" s="3">
        <f t="shared" si="228"/>
        <v>2118.91</v>
      </c>
      <c r="R2924" s="4">
        <f t="shared" si="229"/>
        <v>0.35549999999999998</v>
      </c>
      <c r="S2924" s="2">
        <v>6</v>
      </c>
      <c r="T2924" t="s">
        <v>46</v>
      </c>
      <c r="U2924">
        <v>5</v>
      </c>
    </row>
    <row r="2925" spans="1:22" x14ac:dyDescent="0.25">
      <c r="A2925" s="1">
        <v>46064</v>
      </c>
      <c r="B2925" t="s">
        <v>3111</v>
      </c>
      <c r="C2925" t="s">
        <v>153</v>
      </c>
      <c r="D2925" t="s">
        <v>130</v>
      </c>
      <c r="E2925" t="s">
        <v>72</v>
      </c>
      <c r="F2925" t="s">
        <v>58</v>
      </c>
      <c r="G2925" t="s">
        <v>51</v>
      </c>
      <c r="H2925" t="s">
        <v>59</v>
      </c>
      <c r="I2925" t="s">
        <v>87</v>
      </c>
      <c r="J2925" s="2">
        <v>6</v>
      </c>
      <c r="K2925" s="3">
        <v>2313.44</v>
      </c>
      <c r="L2925" s="3">
        <v>1503.48</v>
      </c>
      <c r="M2925" s="4">
        <v>3.5000000000000003E-2</v>
      </c>
      <c r="N2925" s="3">
        <f t="shared" si="225"/>
        <v>13880.64</v>
      </c>
      <c r="O2925" s="3">
        <f t="shared" si="226"/>
        <v>13394.82</v>
      </c>
      <c r="P2925" s="3">
        <f t="shared" si="227"/>
        <v>9020.8799999999992</v>
      </c>
      <c r="Q2925" s="3">
        <f t="shared" si="228"/>
        <v>4373.9399999999996</v>
      </c>
      <c r="R2925" s="4">
        <f t="shared" si="229"/>
        <v>0.32650000000000001</v>
      </c>
      <c r="S2925" s="2">
        <v>8</v>
      </c>
      <c r="T2925" t="s">
        <v>46</v>
      </c>
      <c r="U2925">
        <v>4</v>
      </c>
    </row>
    <row r="2926" spans="1:22" x14ac:dyDescent="0.25">
      <c r="A2926" s="1">
        <v>46113</v>
      </c>
      <c r="B2926" t="s">
        <v>3112</v>
      </c>
      <c r="C2926" t="s">
        <v>42</v>
      </c>
      <c r="D2926" t="s">
        <v>207</v>
      </c>
      <c r="E2926" t="s">
        <v>35</v>
      </c>
      <c r="F2926" t="s">
        <v>26</v>
      </c>
      <c r="G2926" t="s">
        <v>51</v>
      </c>
      <c r="H2926" t="s">
        <v>59</v>
      </c>
      <c r="I2926" t="s">
        <v>74</v>
      </c>
      <c r="J2926" s="2">
        <v>5</v>
      </c>
      <c r="K2926" s="3">
        <v>2198.0500000000002</v>
      </c>
      <c r="L2926" s="3">
        <v>1401.62</v>
      </c>
      <c r="M2926" s="4">
        <v>0</v>
      </c>
      <c r="N2926" s="3">
        <f t="shared" si="225"/>
        <v>10990.25</v>
      </c>
      <c r="O2926" s="3">
        <f t="shared" si="226"/>
        <v>10990.25</v>
      </c>
      <c r="P2926" s="3">
        <f t="shared" si="227"/>
        <v>7008.1</v>
      </c>
      <c r="Q2926" s="3">
        <f t="shared" si="228"/>
        <v>3982.15</v>
      </c>
      <c r="R2926" s="4">
        <f t="shared" si="229"/>
        <v>0.36230000000000001</v>
      </c>
      <c r="S2926" s="2">
        <v>3</v>
      </c>
      <c r="T2926" t="s">
        <v>46</v>
      </c>
      <c r="U2926">
        <v>2</v>
      </c>
    </row>
    <row r="2927" spans="1:22" x14ac:dyDescent="0.25">
      <c r="A2927" s="1">
        <v>46047</v>
      </c>
      <c r="B2927" t="s">
        <v>3113</v>
      </c>
      <c r="C2927" t="s">
        <v>606</v>
      </c>
      <c r="D2927" t="s">
        <v>56</v>
      </c>
      <c r="E2927" t="s">
        <v>57</v>
      </c>
      <c r="F2927" t="s">
        <v>26</v>
      </c>
      <c r="G2927" t="s">
        <v>44</v>
      </c>
      <c r="H2927" t="s">
        <v>73</v>
      </c>
      <c r="I2927" t="s">
        <v>39</v>
      </c>
      <c r="J2927" s="2">
        <v>7</v>
      </c>
      <c r="K2927" s="3">
        <v>1679.96</v>
      </c>
      <c r="L2927" s="3">
        <v>1065.03</v>
      </c>
      <c r="M2927" s="4">
        <v>1.6299999999999999E-2</v>
      </c>
      <c r="N2927" s="3">
        <f t="shared" si="225"/>
        <v>11759.72</v>
      </c>
      <c r="O2927" s="3">
        <f t="shared" si="226"/>
        <v>11568.04</v>
      </c>
      <c r="P2927" s="3">
        <f t="shared" si="227"/>
        <v>7455.21</v>
      </c>
      <c r="Q2927" s="3">
        <f t="shared" si="228"/>
        <v>4112.83</v>
      </c>
      <c r="R2927" s="4">
        <f t="shared" si="229"/>
        <v>0.35549999999999998</v>
      </c>
      <c r="S2927" s="2">
        <v>9</v>
      </c>
      <c r="T2927" t="s">
        <v>46</v>
      </c>
      <c r="U2927">
        <v>2</v>
      </c>
    </row>
    <row r="2928" spans="1:22" x14ac:dyDescent="0.25">
      <c r="A2928" s="1">
        <v>46122</v>
      </c>
      <c r="B2928" t="s">
        <v>3114</v>
      </c>
      <c r="C2928" t="s">
        <v>159</v>
      </c>
      <c r="D2928" t="s">
        <v>85</v>
      </c>
      <c r="E2928" t="s">
        <v>50</v>
      </c>
      <c r="F2928" t="s">
        <v>36</v>
      </c>
      <c r="G2928" t="s">
        <v>27</v>
      </c>
      <c r="H2928" t="s">
        <v>86</v>
      </c>
      <c r="I2928" t="s">
        <v>94</v>
      </c>
      <c r="J2928" s="2">
        <v>3</v>
      </c>
      <c r="K2928" s="3">
        <v>1938.49</v>
      </c>
      <c r="L2928" s="3">
        <v>1231.75</v>
      </c>
      <c r="M2928" s="4">
        <v>1.32E-2</v>
      </c>
      <c r="N2928" s="3">
        <f t="shared" si="225"/>
        <v>5815.47</v>
      </c>
      <c r="O2928" s="3">
        <f t="shared" si="226"/>
        <v>5738.71</v>
      </c>
      <c r="P2928" s="3">
        <f t="shared" si="227"/>
        <v>3695.25</v>
      </c>
      <c r="Q2928" s="3">
        <f t="shared" si="228"/>
        <v>2043.46</v>
      </c>
      <c r="R2928" s="4">
        <f t="shared" si="229"/>
        <v>0.35610000000000003</v>
      </c>
      <c r="S2928" s="2">
        <v>11</v>
      </c>
      <c r="T2928" t="s">
        <v>30</v>
      </c>
      <c r="U2928">
        <v>4</v>
      </c>
    </row>
    <row r="2929" spans="1:21" x14ac:dyDescent="0.25">
      <c r="A2929" s="1">
        <v>46087</v>
      </c>
      <c r="B2929" t="s">
        <v>3115</v>
      </c>
      <c r="C2929" t="s">
        <v>321</v>
      </c>
      <c r="D2929" t="s">
        <v>85</v>
      </c>
      <c r="E2929" t="s">
        <v>50</v>
      </c>
      <c r="F2929" t="s">
        <v>36</v>
      </c>
      <c r="G2929" t="s">
        <v>37</v>
      </c>
      <c r="H2929" t="s">
        <v>178</v>
      </c>
      <c r="I2929" t="s">
        <v>60</v>
      </c>
      <c r="J2929" s="2">
        <v>5</v>
      </c>
      <c r="K2929" s="3">
        <v>489.41</v>
      </c>
      <c r="L2929" s="3">
        <v>242.85</v>
      </c>
      <c r="M2929" s="4">
        <v>0</v>
      </c>
      <c r="N2929" s="3">
        <f t="shared" si="225"/>
        <v>2447.0500000000002</v>
      </c>
      <c r="O2929" s="3">
        <f t="shared" si="226"/>
        <v>2447.0500000000002</v>
      </c>
      <c r="P2929" s="3">
        <f t="shared" si="227"/>
        <v>1214.25</v>
      </c>
      <c r="Q2929" s="3">
        <f t="shared" si="228"/>
        <v>1232.8</v>
      </c>
      <c r="R2929" s="4">
        <f t="shared" si="229"/>
        <v>0.50380000000000003</v>
      </c>
      <c r="S2929" s="2">
        <v>14</v>
      </c>
      <c r="T2929" t="s">
        <v>30</v>
      </c>
      <c r="U2929">
        <v>2</v>
      </c>
    </row>
    <row r="2930" spans="1:21" x14ac:dyDescent="0.25">
      <c r="A2930" s="1">
        <v>46155</v>
      </c>
      <c r="B2930" t="s">
        <v>3116</v>
      </c>
      <c r="C2930" t="s">
        <v>153</v>
      </c>
      <c r="D2930" t="s">
        <v>71</v>
      </c>
      <c r="E2930" t="s">
        <v>72</v>
      </c>
      <c r="F2930" t="s">
        <v>64</v>
      </c>
      <c r="G2930" t="s">
        <v>44</v>
      </c>
      <c r="H2930" t="s">
        <v>124</v>
      </c>
      <c r="I2930" t="s">
        <v>53</v>
      </c>
      <c r="J2930" s="2">
        <v>1</v>
      </c>
      <c r="K2930" s="3">
        <v>5674.37</v>
      </c>
      <c r="L2930" s="3">
        <v>4660.2299999999996</v>
      </c>
      <c r="M2930" s="4">
        <v>5.8799999999999998E-2</v>
      </c>
      <c r="N2930" s="3">
        <f t="shared" si="225"/>
        <v>5674.37</v>
      </c>
      <c r="O2930" s="3">
        <f t="shared" si="226"/>
        <v>5340.72</v>
      </c>
      <c r="P2930" s="3">
        <f t="shared" si="227"/>
        <v>4660.2299999999996</v>
      </c>
      <c r="Q2930" s="3">
        <f t="shared" si="228"/>
        <v>680.49</v>
      </c>
      <c r="R2930" s="4">
        <f t="shared" si="229"/>
        <v>0.12740000000000001</v>
      </c>
      <c r="S2930" s="2">
        <v>7</v>
      </c>
      <c r="T2930" t="s">
        <v>46</v>
      </c>
      <c r="U2930">
        <v>2</v>
      </c>
    </row>
    <row r="2931" spans="1:21" x14ac:dyDescent="0.25">
      <c r="A2931" s="1">
        <v>46180</v>
      </c>
      <c r="B2931" t="s">
        <v>3117</v>
      </c>
      <c r="C2931" t="s">
        <v>466</v>
      </c>
      <c r="D2931" t="s">
        <v>130</v>
      </c>
      <c r="E2931" t="s">
        <v>72</v>
      </c>
      <c r="F2931" t="s">
        <v>64</v>
      </c>
      <c r="G2931" t="s">
        <v>27</v>
      </c>
      <c r="H2931" t="s">
        <v>28</v>
      </c>
      <c r="I2931" t="s">
        <v>39</v>
      </c>
      <c r="J2931" s="2">
        <v>5</v>
      </c>
      <c r="K2931" s="3">
        <v>784.43</v>
      </c>
      <c r="L2931" s="3">
        <v>491.68</v>
      </c>
      <c r="M2931" s="4">
        <v>4.53E-2</v>
      </c>
      <c r="N2931" s="3">
        <f t="shared" si="225"/>
        <v>3922.15</v>
      </c>
      <c r="O2931" s="3">
        <f t="shared" si="226"/>
        <v>3744.48</v>
      </c>
      <c r="P2931" s="3">
        <f t="shared" si="227"/>
        <v>2458.4</v>
      </c>
      <c r="Q2931" s="3">
        <f t="shared" si="228"/>
        <v>1286.08</v>
      </c>
      <c r="R2931" s="4">
        <f t="shared" si="229"/>
        <v>0.34350000000000003</v>
      </c>
      <c r="S2931" s="2">
        <v>4</v>
      </c>
      <c r="T2931" t="s">
        <v>46</v>
      </c>
      <c r="U2931">
        <v>5</v>
      </c>
    </row>
    <row r="2932" spans="1:21" x14ac:dyDescent="0.25">
      <c r="A2932" s="1">
        <v>46136</v>
      </c>
      <c r="B2932" t="s">
        <v>3118</v>
      </c>
      <c r="C2932" t="s">
        <v>514</v>
      </c>
      <c r="D2932" t="s">
        <v>139</v>
      </c>
      <c r="E2932" t="s">
        <v>72</v>
      </c>
      <c r="F2932" t="s">
        <v>36</v>
      </c>
      <c r="G2932" t="s">
        <v>51</v>
      </c>
      <c r="H2932" t="s">
        <v>116</v>
      </c>
      <c r="I2932" t="s">
        <v>65</v>
      </c>
      <c r="J2932" s="2">
        <v>6</v>
      </c>
      <c r="K2932" s="3">
        <v>2930.36</v>
      </c>
      <c r="L2932" s="3">
        <v>1801.3</v>
      </c>
      <c r="M2932" s="4">
        <v>0</v>
      </c>
      <c r="N2932" s="3">
        <f t="shared" si="225"/>
        <v>17582.16</v>
      </c>
      <c r="O2932" s="3">
        <f t="shared" si="226"/>
        <v>17582.16</v>
      </c>
      <c r="P2932" s="3">
        <f t="shared" si="227"/>
        <v>10807.8</v>
      </c>
      <c r="Q2932" s="3">
        <f t="shared" si="228"/>
        <v>6774.36</v>
      </c>
      <c r="R2932" s="4">
        <f t="shared" si="229"/>
        <v>0.38529999999999998</v>
      </c>
      <c r="S2932" s="2">
        <v>4</v>
      </c>
      <c r="T2932" t="s">
        <v>46</v>
      </c>
      <c r="U2932">
        <v>5</v>
      </c>
    </row>
    <row r="2933" spans="1:21" x14ac:dyDescent="0.25">
      <c r="A2933" s="1">
        <v>46072</v>
      </c>
      <c r="B2933" t="s">
        <v>3119</v>
      </c>
      <c r="C2933" t="s">
        <v>609</v>
      </c>
      <c r="D2933" t="s">
        <v>24</v>
      </c>
      <c r="E2933" t="s">
        <v>25</v>
      </c>
      <c r="F2933" t="s">
        <v>58</v>
      </c>
      <c r="G2933" t="s">
        <v>51</v>
      </c>
      <c r="H2933" t="s">
        <v>116</v>
      </c>
      <c r="I2933" t="s">
        <v>74</v>
      </c>
      <c r="J2933" s="2">
        <v>6</v>
      </c>
      <c r="K2933" s="3">
        <v>2636.09</v>
      </c>
      <c r="L2933" s="3">
        <v>1955</v>
      </c>
      <c r="M2933" s="4">
        <v>3.5000000000000003E-2</v>
      </c>
      <c r="N2933" s="3">
        <f t="shared" si="225"/>
        <v>15816.54</v>
      </c>
      <c r="O2933" s="3">
        <f t="shared" si="226"/>
        <v>15262.96</v>
      </c>
      <c r="P2933" s="3">
        <f t="shared" si="227"/>
        <v>11730</v>
      </c>
      <c r="Q2933" s="3">
        <f t="shared" si="228"/>
        <v>3532.96</v>
      </c>
      <c r="R2933" s="4">
        <f t="shared" si="229"/>
        <v>0.23150000000000001</v>
      </c>
      <c r="S2933" s="2">
        <v>7</v>
      </c>
      <c r="T2933" t="s">
        <v>46</v>
      </c>
      <c r="U2933">
        <v>3</v>
      </c>
    </row>
    <row r="2934" spans="1:21" x14ac:dyDescent="0.25">
      <c r="A2934" s="1">
        <v>46037</v>
      </c>
      <c r="B2934" t="s">
        <v>3120</v>
      </c>
      <c r="C2934" t="s">
        <v>91</v>
      </c>
      <c r="D2934" t="s">
        <v>126</v>
      </c>
      <c r="E2934" t="s">
        <v>57</v>
      </c>
      <c r="F2934" t="s">
        <v>58</v>
      </c>
      <c r="G2934" t="s">
        <v>37</v>
      </c>
      <c r="H2934" t="s">
        <v>38</v>
      </c>
      <c r="I2934" t="s">
        <v>94</v>
      </c>
      <c r="J2934" s="2">
        <v>8</v>
      </c>
      <c r="K2934" s="3">
        <v>404.97</v>
      </c>
      <c r="L2934" s="3">
        <v>184.23</v>
      </c>
      <c r="M2934" s="4">
        <v>8.5999999999999993E-2</v>
      </c>
      <c r="N2934" s="3">
        <f t="shared" si="225"/>
        <v>3239.76</v>
      </c>
      <c r="O2934" s="3">
        <f t="shared" si="226"/>
        <v>2961.14</v>
      </c>
      <c r="P2934" s="3">
        <f t="shared" si="227"/>
        <v>1473.84</v>
      </c>
      <c r="Q2934" s="3">
        <f t="shared" si="228"/>
        <v>1487.3</v>
      </c>
      <c r="R2934" s="4">
        <f t="shared" si="229"/>
        <v>0.50229999999999997</v>
      </c>
      <c r="S2934" s="2">
        <v>13</v>
      </c>
      <c r="T2934" t="s">
        <v>30</v>
      </c>
      <c r="U2934">
        <v>4</v>
      </c>
    </row>
    <row r="2935" spans="1:21" x14ac:dyDescent="0.25">
      <c r="A2935" s="1">
        <v>46068</v>
      </c>
      <c r="B2935" t="s">
        <v>3121</v>
      </c>
      <c r="C2935" t="s">
        <v>84</v>
      </c>
      <c r="D2935" t="s">
        <v>63</v>
      </c>
      <c r="E2935" t="s">
        <v>35</v>
      </c>
      <c r="F2935" t="s">
        <v>58</v>
      </c>
      <c r="G2935" t="s">
        <v>51</v>
      </c>
      <c r="H2935" t="s">
        <v>116</v>
      </c>
      <c r="I2935" t="s">
        <v>92</v>
      </c>
      <c r="J2935" s="2">
        <v>5</v>
      </c>
      <c r="K2935" s="3">
        <v>2864.72</v>
      </c>
      <c r="L2935" s="3">
        <v>1800.6</v>
      </c>
      <c r="M2935" s="4">
        <v>3.5000000000000003E-2</v>
      </c>
      <c r="N2935" s="3">
        <f t="shared" si="225"/>
        <v>14323.6</v>
      </c>
      <c r="O2935" s="3">
        <f t="shared" si="226"/>
        <v>13822.27</v>
      </c>
      <c r="P2935" s="3">
        <f t="shared" si="227"/>
        <v>9003</v>
      </c>
      <c r="Q2935" s="3">
        <f t="shared" si="228"/>
        <v>4819.2700000000004</v>
      </c>
      <c r="R2935" s="4">
        <f t="shared" si="229"/>
        <v>0.34870000000000001</v>
      </c>
      <c r="S2935" s="2">
        <v>2</v>
      </c>
      <c r="T2935" t="s">
        <v>46</v>
      </c>
      <c r="U2935">
        <v>5</v>
      </c>
    </row>
    <row r="2936" spans="1:21" x14ac:dyDescent="0.25">
      <c r="A2936" s="1">
        <v>46102</v>
      </c>
      <c r="B2936" t="s">
        <v>3122</v>
      </c>
      <c r="C2936" t="s">
        <v>381</v>
      </c>
      <c r="D2936" t="s">
        <v>49</v>
      </c>
      <c r="E2936" t="s">
        <v>50</v>
      </c>
      <c r="F2936" t="s">
        <v>36</v>
      </c>
      <c r="G2936" t="s">
        <v>37</v>
      </c>
      <c r="H2936" t="s">
        <v>178</v>
      </c>
      <c r="I2936" t="s">
        <v>92</v>
      </c>
      <c r="J2936" s="2">
        <v>2</v>
      </c>
      <c r="K2936" s="3">
        <v>508.12</v>
      </c>
      <c r="L2936" s="3">
        <v>251.93</v>
      </c>
      <c r="M2936" s="4">
        <v>0</v>
      </c>
      <c r="N2936" s="3">
        <f t="shared" si="225"/>
        <v>1016.24</v>
      </c>
      <c r="O2936" s="3">
        <f t="shared" si="226"/>
        <v>1016.24</v>
      </c>
      <c r="P2936" s="3">
        <f t="shared" si="227"/>
        <v>503.86</v>
      </c>
      <c r="Q2936" s="3">
        <f t="shared" si="228"/>
        <v>512.38</v>
      </c>
      <c r="R2936" s="4">
        <f t="shared" si="229"/>
        <v>0.50419999999999998</v>
      </c>
      <c r="S2936" s="2">
        <v>11</v>
      </c>
      <c r="T2936" t="s">
        <v>30</v>
      </c>
      <c r="U2936">
        <v>3</v>
      </c>
    </row>
    <row r="2937" spans="1:21" x14ac:dyDescent="0.25">
      <c r="A2937" s="1">
        <v>46220</v>
      </c>
      <c r="B2937" t="s">
        <v>3123</v>
      </c>
      <c r="C2937" t="s">
        <v>606</v>
      </c>
      <c r="D2937" t="s">
        <v>63</v>
      </c>
      <c r="E2937" t="s">
        <v>35</v>
      </c>
      <c r="F2937" t="s">
        <v>64</v>
      </c>
      <c r="G2937" t="s">
        <v>44</v>
      </c>
      <c r="H2937" t="s">
        <v>73</v>
      </c>
      <c r="I2937" t="s">
        <v>92</v>
      </c>
      <c r="J2937" s="2">
        <v>7</v>
      </c>
      <c r="K2937" s="3">
        <v>1597.04</v>
      </c>
      <c r="L2937" s="3">
        <v>1062.03</v>
      </c>
      <c r="M2937" s="4">
        <v>1.5599999999999999E-2</v>
      </c>
      <c r="N2937" s="3">
        <f t="shared" si="225"/>
        <v>11179.28</v>
      </c>
      <c r="O2937" s="3">
        <f t="shared" si="226"/>
        <v>11004.88</v>
      </c>
      <c r="P2937" s="3">
        <f t="shared" si="227"/>
        <v>7434.21</v>
      </c>
      <c r="Q2937" s="3">
        <f t="shared" si="228"/>
        <v>3570.67</v>
      </c>
      <c r="R2937" s="4">
        <f t="shared" si="229"/>
        <v>0.32450000000000001</v>
      </c>
      <c r="S2937" s="2">
        <v>6</v>
      </c>
      <c r="T2937" t="s">
        <v>46</v>
      </c>
      <c r="U2937">
        <v>2</v>
      </c>
    </row>
    <row r="2938" spans="1:21" x14ac:dyDescent="0.25">
      <c r="A2938" s="1">
        <v>46153</v>
      </c>
      <c r="B2938" t="s">
        <v>3124</v>
      </c>
      <c r="C2938" t="s">
        <v>308</v>
      </c>
      <c r="D2938" t="s">
        <v>130</v>
      </c>
      <c r="E2938" t="s">
        <v>72</v>
      </c>
      <c r="F2938" t="s">
        <v>36</v>
      </c>
      <c r="G2938" t="s">
        <v>37</v>
      </c>
      <c r="H2938" t="s">
        <v>38</v>
      </c>
      <c r="I2938" t="s">
        <v>94</v>
      </c>
      <c r="J2938" s="2">
        <v>7</v>
      </c>
      <c r="K2938" s="3">
        <v>436.74</v>
      </c>
      <c r="L2938" s="3">
        <v>206.43</v>
      </c>
      <c r="M2938" s="4">
        <v>0</v>
      </c>
      <c r="N2938" s="3">
        <f t="shared" si="225"/>
        <v>3057.18</v>
      </c>
      <c r="O2938" s="3">
        <f t="shared" si="226"/>
        <v>3057.18</v>
      </c>
      <c r="P2938" s="3">
        <f t="shared" si="227"/>
        <v>1445.01</v>
      </c>
      <c r="Q2938" s="3">
        <f t="shared" si="228"/>
        <v>1612.17</v>
      </c>
      <c r="R2938" s="4">
        <f t="shared" si="229"/>
        <v>0.52729999999999999</v>
      </c>
      <c r="S2938" s="2">
        <v>5</v>
      </c>
      <c r="T2938" t="s">
        <v>46</v>
      </c>
      <c r="U2938">
        <v>5</v>
      </c>
    </row>
    <row r="2939" spans="1:21" x14ac:dyDescent="0.25">
      <c r="A2939" s="1">
        <v>46150</v>
      </c>
      <c r="B2939" t="s">
        <v>3125</v>
      </c>
      <c r="C2939" t="s">
        <v>132</v>
      </c>
      <c r="D2939" t="s">
        <v>97</v>
      </c>
      <c r="E2939" t="s">
        <v>57</v>
      </c>
      <c r="F2939" t="s">
        <v>26</v>
      </c>
      <c r="G2939" t="s">
        <v>51</v>
      </c>
      <c r="H2939" t="s">
        <v>116</v>
      </c>
      <c r="I2939" t="s">
        <v>65</v>
      </c>
      <c r="J2939" s="2">
        <v>1</v>
      </c>
      <c r="K2939" s="3">
        <v>2775.72</v>
      </c>
      <c r="L2939" s="3">
        <v>1870.48</v>
      </c>
      <c r="M2939" s="4">
        <v>8.5199999999999998E-2</v>
      </c>
      <c r="N2939" s="3">
        <f t="shared" si="225"/>
        <v>2775.72</v>
      </c>
      <c r="O2939" s="3">
        <f t="shared" si="226"/>
        <v>2539.23</v>
      </c>
      <c r="P2939" s="3">
        <f t="shared" si="227"/>
        <v>1870.48</v>
      </c>
      <c r="Q2939" s="3">
        <f t="shared" si="228"/>
        <v>668.75</v>
      </c>
      <c r="R2939" s="4">
        <f t="shared" si="229"/>
        <v>0.26340000000000002</v>
      </c>
      <c r="S2939" s="2">
        <v>13</v>
      </c>
      <c r="T2939" t="s">
        <v>30</v>
      </c>
      <c r="U2939">
        <v>4</v>
      </c>
    </row>
    <row r="2940" spans="1:21" x14ac:dyDescent="0.25">
      <c r="A2940" s="1">
        <v>46159</v>
      </c>
      <c r="B2940" t="s">
        <v>3126</v>
      </c>
      <c r="C2940" t="s">
        <v>168</v>
      </c>
      <c r="D2940" t="s">
        <v>63</v>
      </c>
      <c r="E2940" t="s">
        <v>35</v>
      </c>
      <c r="F2940" t="s">
        <v>36</v>
      </c>
      <c r="G2940" t="s">
        <v>44</v>
      </c>
      <c r="H2940" t="s">
        <v>73</v>
      </c>
      <c r="I2940" t="s">
        <v>94</v>
      </c>
      <c r="J2940" s="2">
        <v>2</v>
      </c>
      <c r="K2940" s="3">
        <v>1782.91</v>
      </c>
      <c r="L2940" s="3">
        <v>1093.8</v>
      </c>
      <c r="M2940" s="4">
        <v>5.3199999999999997E-2</v>
      </c>
      <c r="N2940" s="3">
        <f t="shared" si="225"/>
        <v>3565.82</v>
      </c>
      <c r="O2940" s="3">
        <f t="shared" si="226"/>
        <v>3376.12</v>
      </c>
      <c r="P2940" s="3">
        <f t="shared" si="227"/>
        <v>2187.6</v>
      </c>
      <c r="Q2940" s="3">
        <f t="shared" si="228"/>
        <v>1188.52</v>
      </c>
      <c r="R2940" s="4">
        <f t="shared" si="229"/>
        <v>0.35199999999999998</v>
      </c>
      <c r="S2940" s="2">
        <v>6</v>
      </c>
      <c r="T2940" t="s">
        <v>46</v>
      </c>
      <c r="U2940">
        <v>3</v>
      </c>
    </row>
    <row r="2941" spans="1:21" x14ac:dyDescent="0.25">
      <c r="A2941" s="1">
        <v>46067</v>
      </c>
      <c r="B2941" t="s">
        <v>3127</v>
      </c>
      <c r="C2941" t="s">
        <v>155</v>
      </c>
      <c r="D2941" t="s">
        <v>85</v>
      </c>
      <c r="E2941" t="s">
        <v>50</v>
      </c>
      <c r="F2941" t="s">
        <v>64</v>
      </c>
      <c r="G2941" t="s">
        <v>27</v>
      </c>
      <c r="H2941" t="s">
        <v>86</v>
      </c>
      <c r="I2941" t="s">
        <v>74</v>
      </c>
      <c r="J2941" s="2">
        <v>8</v>
      </c>
      <c r="K2941" s="3">
        <v>1984.86</v>
      </c>
      <c r="L2941" s="3">
        <v>1193.32</v>
      </c>
      <c r="M2941" s="4">
        <v>0</v>
      </c>
      <c r="N2941" s="3">
        <f t="shared" si="225"/>
        <v>15878.88</v>
      </c>
      <c r="O2941" s="3">
        <f t="shared" si="226"/>
        <v>15878.88</v>
      </c>
      <c r="P2941" s="3">
        <f t="shared" si="227"/>
        <v>9546.56</v>
      </c>
      <c r="Q2941" s="3">
        <f t="shared" si="228"/>
        <v>6332.32</v>
      </c>
      <c r="R2941" s="4">
        <f t="shared" si="229"/>
        <v>0.39879999999999999</v>
      </c>
      <c r="S2941" s="2">
        <v>2</v>
      </c>
      <c r="T2941" t="s">
        <v>46</v>
      </c>
      <c r="U2941">
        <v>3</v>
      </c>
    </row>
    <row r="2942" spans="1:21" x14ac:dyDescent="0.25">
      <c r="A2942" s="1">
        <v>46211</v>
      </c>
      <c r="B2942" t="s">
        <v>3128</v>
      </c>
      <c r="C2942" t="s">
        <v>560</v>
      </c>
      <c r="D2942" t="s">
        <v>121</v>
      </c>
      <c r="E2942" t="s">
        <v>72</v>
      </c>
      <c r="F2942" t="s">
        <v>58</v>
      </c>
      <c r="G2942" t="s">
        <v>37</v>
      </c>
      <c r="H2942" t="s">
        <v>38</v>
      </c>
      <c r="I2942" t="s">
        <v>29</v>
      </c>
      <c r="J2942" s="2">
        <v>7</v>
      </c>
      <c r="K2942" s="3">
        <v>430.66</v>
      </c>
      <c r="L2942" s="3">
        <v>202.34</v>
      </c>
      <c r="M2942" s="4">
        <v>3.5000000000000003E-2</v>
      </c>
      <c r="N2942" s="3">
        <f t="shared" si="225"/>
        <v>3014.62</v>
      </c>
      <c r="O2942" s="3">
        <f t="shared" si="226"/>
        <v>2909.11</v>
      </c>
      <c r="P2942" s="3">
        <f t="shared" si="227"/>
        <v>1416.38</v>
      </c>
      <c r="Q2942" s="3">
        <f t="shared" si="228"/>
        <v>1492.73</v>
      </c>
      <c r="R2942" s="4">
        <f t="shared" si="229"/>
        <v>0.5131</v>
      </c>
      <c r="S2942" s="2">
        <v>14</v>
      </c>
      <c r="T2942" t="s">
        <v>30</v>
      </c>
      <c r="U2942">
        <v>4</v>
      </c>
    </row>
    <row r="2943" spans="1:21" x14ac:dyDescent="0.25">
      <c r="A2943" s="1">
        <v>46145</v>
      </c>
      <c r="B2943" t="s">
        <v>3129</v>
      </c>
      <c r="C2943" t="s">
        <v>329</v>
      </c>
      <c r="D2943" t="s">
        <v>97</v>
      </c>
      <c r="E2943" t="s">
        <v>57</v>
      </c>
      <c r="F2943" t="s">
        <v>26</v>
      </c>
      <c r="G2943" t="s">
        <v>27</v>
      </c>
      <c r="H2943" t="s">
        <v>86</v>
      </c>
      <c r="I2943" t="s">
        <v>87</v>
      </c>
      <c r="J2943" s="2">
        <v>2</v>
      </c>
      <c r="K2943" s="3">
        <v>1997.28</v>
      </c>
      <c r="L2943" s="3">
        <v>1236.42</v>
      </c>
      <c r="M2943" s="4">
        <v>1.01E-2</v>
      </c>
      <c r="N2943" s="3">
        <f t="shared" si="225"/>
        <v>3994.56</v>
      </c>
      <c r="O2943" s="3">
        <f t="shared" si="226"/>
        <v>3954.21</v>
      </c>
      <c r="P2943" s="3">
        <f t="shared" si="227"/>
        <v>2472.84</v>
      </c>
      <c r="Q2943" s="3">
        <f t="shared" si="228"/>
        <v>1481.37</v>
      </c>
      <c r="R2943" s="4">
        <f t="shared" si="229"/>
        <v>0.37459999999999999</v>
      </c>
      <c r="S2943" s="2">
        <v>11</v>
      </c>
      <c r="T2943" t="s">
        <v>30</v>
      </c>
      <c r="U2943">
        <v>3</v>
      </c>
    </row>
    <row r="2944" spans="1:21" x14ac:dyDescent="0.25">
      <c r="A2944" s="1">
        <v>46049</v>
      </c>
      <c r="B2944" t="s">
        <v>3130</v>
      </c>
      <c r="C2944" t="s">
        <v>138</v>
      </c>
      <c r="D2944" t="s">
        <v>49</v>
      </c>
      <c r="E2944" t="s">
        <v>50</v>
      </c>
      <c r="F2944" t="s">
        <v>58</v>
      </c>
      <c r="G2944" t="s">
        <v>51</v>
      </c>
      <c r="H2944" t="s">
        <v>116</v>
      </c>
      <c r="I2944" t="s">
        <v>92</v>
      </c>
      <c r="J2944" s="2">
        <v>8</v>
      </c>
      <c r="K2944" s="3">
        <v>2903.8</v>
      </c>
      <c r="L2944" s="3">
        <v>1776.86</v>
      </c>
      <c r="M2944" s="4">
        <v>7.6999999999999999E-2</v>
      </c>
      <c r="N2944" s="3">
        <f t="shared" si="225"/>
        <v>23230.400000000001</v>
      </c>
      <c r="O2944" s="3">
        <f t="shared" si="226"/>
        <v>21441.66</v>
      </c>
      <c r="P2944" s="3">
        <f t="shared" si="227"/>
        <v>14214.88</v>
      </c>
      <c r="Q2944" s="3">
        <f t="shared" si="228"/>
        <v>7226.78</v>
      </c>
      <c r="R2944" s="4">
        <f t="shared" si="229"/>
        <v>0.33700000000000002</v>
      </c>
      <c r="S2944" s="2">
        <v>10</v>
      </c>
      <c r="T2944" t="s">
        <v>40</v>
      </c>
    </row>
    <row r="2945" spans="1:22" x14ac:dyDescent="0.25">
      <c r="A2945" s="1">
        <v>46043</v>
      </c>
      <c r="B2945" t="s">
        <v>3131</v>
      </c>
      <c r="C2945" t="s">
        <v>226</v>
      </c>
      <c r="D2945" t="s">
        <v>49</v>
      </c>
      <c r="E2945" t="s">
        <v>50</v>
      </c>
      <c r="F2945" t="s">
        <v>58</v>
      </c>
      <c r="G2945" t="s">
        <v>27</v>
      </c>
      <c r="H2945" t="s">
        <v>68</v>
      </c>
      <c r="I2945" t="s">
        <v>92</v>
      </c>
      <c r="J2945" s="2">
        <v>8</v>
      </c>
      <c r="K2945" s="3">
        <v>1264.69</v>
      </c>
      <c r="L2945" s="3">
        <v>804.63</v>
      </c>
      <c r="M2945" s="4">
        <v>3.5000000000000003E-2</v>
      </c>
      <c r="N2945" s="3">
        <f t="shared" si="225"/>
        <v>10117.52</v>
      </c>
      <c r="O2945" s="3">
        <f t="shared" si="226"/>
        <v>9763.41</v>
      </c>
      <c r="P2945" s="3">
        <f t="shared" si="227"/>
        <v>6437.04</v>
      </c>
      <c r="Q2945" s="3">
        <f t="shared" si="228"/>
        <v>3326.37</v>
      </c>
      <c r="R2945" s="4">
        <f t="shared" si="229"/>
        <v>0.3407</v>
      </c>
      <c r="S2945" s="2">
        <v>12</v>
      </c>
      <c r="T2945" t="s">
        <v>30</v>
      </c>
      <c r="U2945">
        <v>5</v>
      </c>
    </row>
    <row r="2946" spans="1:22" x14ac:dyDescent="0.25">
      <c r="A2946" s="1">
        <v>46189</v>
      </c>
      <c r="B2946" t="s">
        <v>3132</v>
      </c>
      <c r="C2946" t="s">
        <v>500</v>
      </c>
      <c r="D2946" t="s">
        <v>207</v>
      </c>
      <c r="E2946" t="s">
        <v>35</v>
      </c>
      <c r="F2946" t="s">
        <v>26</v>
      </c>
      <c r="G2946" t="s">
        <v>44</v>
      </c>
      <c r="H2946" t="s">
        <v>124</v>
      </c>
      <c r="I2946" t="s">
        <v>65</v>
      </c>
      <c r="J2946" s="2">
        <v>6</v>
      </c>
      <c r="K2946" s="3">
        <v>5924.67</v>
      </c>
      <c r="L2946" s="3">
        <v>4148.43</v>
      </c>
      <c r="M2946" s="4">
        <v>0</v>
      </c>
      <c r="N2946" s="3">
        <f t="shared" ref="N2946:N3001" si="230">ROUND(J2946*K2946,2)</f>
        <v>35548.019999999997</v>
      </c>
      <c r="O2946" s="3">
        <f t="shared" ref="O2946:O3001" si="231">ROUND(N2946*(1-M2946),2)</f>
        <v>35548.019999999997</v>
      </c>
      <c r="P2946" s="3">
        <f t="shared" ref="P2946:P3001" si="232">ROUND(J2946*L2946,2)</f>
        <v>24890.58</v>
      </c>
      <c r="Q2946" s="3">
        <f t="shared" ref="Q2946:Q3001" si="233">ROUND(O2946-P2946,2)</f>
        <v>10657.44</v>
      </c>
      <c r="R2946" s="4">
        <f t="shared" ref="R2946:R3001" si="234">IF(O2946=0,0,ROUND(Q2946/O2946,4))</f>
        <v>0.29980000000000001</v>
      </c>
      <c r="S2946" s="2">
        <v>14</v>
      </c>
      <c r="T2946" t="s">
        <v>30</v>
      </c>
      <c r="U2946">
        <v>2</v>
      </c>
    </row>
    <row r="2947" spans="1:22" x14ac:dyDescent="0.25">
      <c r="A2947" s="1">
        <v>46096</v>
      </c>
      <c r="B2947" t="s">
        <v>3133</v>
      </c>
      <c r="C2947" t="s">
        <v>560</v>
      </c>
      <c r="D2947" t="s">
        <v>113</v>
      </c>
      <c r="E2947" t="s">
        <v>50</v>
      </c>
      <c r="F2947" t="s">
        <v>36</v>
      </c>
      <c r="G2947" t="s">
        <v>37</v>
      </c>
      <c r="H2947" t="s">
        <v>38</v>
      </c>
      <c r="I2947" t="s">
        <v>77</v>
      </c>
      <c r="J2947" s="2">
        <v>7</v>
      </c>
      <c r="K2947" s="3">
        <v>424.5</v>
      </c>
      <c r="L2947" s="3">
        <v>197.94</v>
      </c>
      <c r="M2947" s="4">
        <v>0.11219999999999999</v>
      </c>
      <c r="N2947" s="3">
        <f t="shared" si="230"/>
        <v>2971.5</v>
      </c>
      <c r="O2947" s="3">
        <f t="shared" si="231"/>
        <v>2638.1</v>
      </c>
      <c r="P2947" s="3">
        <f t="shared" si="232"/>
        <v>1385.58</v>
      </c>
      <c r="Q2947" s="3">
        <f t="shared" si="233"/>
        <v>1252.52</v>
      </c>
      <c r="R2947" s="4">
        <f t="shared" si="234"/>
        <v>0.4748</v>
      </c>
      <c r="S2947" s="2">
        <v>9</v>
      </c>
      <c r="T2947" t="s">
        <v>46</v>
      </c>
      <c r="U2947">
        <v>5</v>
      </c>
    </row>
    <row r="2948" spans="1:22" x14ac:dyDescent="0.25">
      <c r="A2948" s="1">
        <v>46162</v>
      </c>
      <c r="B2948" t="s">
        <v>3134</v>
      </c>
      <c r="C2948" t="s">
        <v>418</v>
      </c>
      <c r="D2948" t="s">
        <v>97</v>
      </c>
      <c r="E2948" t="s">
        <v>57</v>
      </c>
      <c r="F2948" t="s">
        <v>58</v>
      </c>
      <c r="G2948" t="s">
        <v>51</v>
      </c>
      <c r="H2948" t="s">
        <v>59</v>
      </c>
      <c r="I2948" t="s">
        <v>94</v>
      </c>
      <c r="J2948" s="2">
        <v>4</v>
      </c>
      <c r="K2948" s="3">
        <v>2097.62</v>
      </c>
      <c r="L2948" s="3">
        <v>1376.77</v>
      </c>
      <c r="M2948" s="4">
        <v>3.5000000000000003E-2</v>
      </c>
      <c r="N2948" s="3">
        <f t="shared" si="230"/>
        <v>8390.48</v>
      </c>
      <c r="O2948" s="3">
        <f t="shared" si="231"/>
        <v>8096.81</v>
      </c>
      <c r="P2948" s="3">
        <f t="shared" si="232"/>
        <v>5507.08</v>
      </c>
      <c r="Q2948" s="3">
        <f t="shared" si="233"/>
        <v>2589.73</v>
      </c>
      <c r="R2948" s="4">
        <f t="shared" si="234"/>
        <v>0.31979999999999997</v>
      </c>
      <c r="S2948" s="2">
        <v>9</v>
      </c>
      <c r="T2948" t="s">
        <v>40</v>
      </c>
    </row>
    <row r="2949" spans="1:22" x14ac:dyDescent="0.25">
      <c r="A2949" s="1">
        <v>46106</v>
      </c>
      <c r="B2949" t="s">
        <v>3135</v>
      </c>
      <c r="C2949" t="s">
        <v>266</v>
      </c>
      <c r="D2949" t="s">
        <v>113</v>
      </c>
      <c r="E2949" t="s">
        <v>50</v>
      </c>
      <c r="F2949" t="s">
        <v>26</v>
      </c>
      <c r="G2949" t="s">
        <v>51</v>
      </c>
      <c r="H2949" t="s">
        <v>52</v>
      </c>
      <c r="I2949" t="s">
        <v>53</v>
      </c>
      <c r="J2949" s="2">
        <v>7</v>
      </c>
      <c r="K2949" s="3">
        <v>249.85</v>
      </c>
      <c r="L2949" s="3">
        <v>117.22</v>
      </c>
      <c r="M2949" s="4">
        <v>9.7999999999999997E-3</v>
      </c>
      <c r="N2949" s="3">
        <f t="shared" si="230"/>
        <v>1748.95</v>
      </c>
      <c r="O2949" s="3">
        <f t="shared" si="231"/>
        <v>1731.81</v>
      </c>
      <c r="P2949" s="3">
        <f t="shared" si="232"/>
        <v>820.54</v>
      </c>
      <c r="Q2949" s="3">
        <f t="shared" si="233"/>
        <v>911.27</v>
      </c>
      <c r="R2949" s="4">
        <f t="shared" si="234"/>
        <v>0.5262</v>
      </c>
      <c r="S2949" s="2">
        <v>11</v>
      </c>
      <c r="T2949" t="s">
        <v>30</v>
      </c>
      <c r="U2949">
        <v>2</v>
      </c>
    </row>
    <row r="2950" spans="1:22" x14ac:dyDescent="0.25">
      <c r="A2950" s="1">
        <v>46142</v>
      </c>
      <c r="B2950" t="s">
        <v>3136</v>
      </c>
      <c r="C2950" t="s">
        <v>136</v>
      </c>
      <c r="D2950" t="s">
        <v>101</v>
      </c>
      <c r="E2950" t="s">
        <v>35</v>
      </c>
      <c r="F2950" t="s">
        <v>26</v>
      </c>
      <c r="G2950" t="s">
        <v>51</v>
      </c>
      <c r="H2950" t="s">
        <v>116</v>
      </c>
      <c r="I2950" t="s">
        <v>74</v>
      </c>
      <c r="J2950" s="2">
        <v>4</v>
      </c>
      <c r="K2950" s="3">
        <v>2710.71</v>
      </c>
      <c r="L2950" s="3">
        <v>1869.46</v>
      </c>
      <c r="M2950" s="4">
        <v>7.8799999999999995E-2</v>
      </c>
      <c r="N2950" s="3">
        <f t="shared" si="230"/>
        <v>10842.84</v>
      </c>
      <c r="O2950" s="3">
        <f t="shared" si="231"/>
        <v>9988.42</v>
      </c>
      <c r="P2950" s="3">
        <f t="shared" si="232"/>
        <v>7477.84</v>
      </c>
      <c r="Q2950" s="3">
        <f t="shared" si="233"/>
        <v>2510.58</v>
      </c>
      <c r="R2950" s="4">
        <f t="shared" si="234"/>
        <v>0.25130000000000002</v>
      </c>
      <c r="S2950" s="2">
        <v>10</v>
      </c>
      <c r="T2950" t="s">
        <v>46</v>
      </c>
      <c r="U2950">
        <v>3</v>
      </c>
    </row>
    <row r="2951" spans="1:22" x14ac:dyDescent="0.25">
      <c r="A2951" s="1">
        <v>46053</v>
      </c>
      <c r="B2951" t="s">
        <v>3137</v>
      </c>
      <c r="C2951" t="s">
        <v>67</v>
      </c>
      <c r="D2951" t="s">
        <v>63</v>
      </c>
      <c r="E2951" t="s">
        <v>35</v>
      </c>
      <c r="F2951" t="s">
        <v>26</v>
      </c>
      <c r="G2951" t="s">
        <v>51</v>
      </c>
      <c r="H2951" t="s">
        <v>59</v>
      </c>
      <c r="I2951" t="s">
        <v>77</v>
      </c>
      <c r="J2951" s="2">
        <v>1</v>
      </c>
      <c r="K2951" s="3">
        <v>2117.81</v>
      </c>
      <c r="L2951" s="3">
        <v>1469.35</v>
      </c>
      <c r="M2951" s="4">
        <v>1.8E-3</v>
      </c>
      <c r="N2951" s="3">
        <f t="shared" si="230"/>
        <v>2117.81</v>
      </c>
      <c r="O2951" s="3">
        <f t="shared" si="231"/>
        <v>2114</v>
      </c>
      <c r="P2951" s="3">
        <f t="shared" si="232"/>
        <v>1469.35</v>
      </c>
      <c r="Q2951" s="3">
        <f t="shared" si="233"/>
        <v>644.65</v>
      </c>
      <c r="R2951" s="4">
        <f t="shared" si="234"/>
        <v>0.3049</v>
      </c>
      <c r="S2951" s="2">
        <v>7</v>
      </c>
      <c r="T2951" t="s">
        <v>46</v>
      </c>
      <c r="U2951">
        <v>5</v>
      </c>
    </row>
    <row r="2952" spans="1:22" x14ac:dyDescent="0.25">
      <c r="A2952" s="1">
        <v>46166</v>
      </c>
      <c r="B2952" t="s">
        <v>3138</v>
      </c>
      <c r="C2952" t="s">
        <v>428</v>
      </c>
      <c r="D2952" t="s">
        <v>43</v>
      </c>
      <c r="E2952" t="s">
        <v>25</v>
      </c>
      <c r="F2952" t="s">
        <v>64</v>
      </c>
      <c r="G2952" t="s">
        <v>51</v>
      </c>
      <c r="H2952" t="s">
        <v>59</v>
      </c>
      <c r="I2952" t="s">
        <v>92</v>
      </c>
      <c r="J2952" s="2">
        <v>6</v>
      </c>
      <c r="K2952" s="3">
        <v>2308.2800000000002</v>
      </c>
      <c r="L2952" s="3">
        <v>1511.35</v>
      </c>
      <c r="M2952" s="4">
        <v>3.73E-2</v>
      </c>
      <c r="N2952" s="3">
        <f t="shared" si="230"/>
        <v>13849.68</v>
      </c>
      <c r="O2952" s="3">
        <f t="shared" si="231"/>
        <v>13333.09</v>
      </c>
      <c r="P2952" s="3">
        <f t="shared" si="232"/>
        <v>9068.1</v>
      </c>
      <c r="Q2952" s="3">
        <f t="shared" si="233"/>
        <v>4264.99</v>
      </c>
      <c r="R2952" s="4">
        <f t="shared" si="234"/>
        <v>0.31990000000000002</v>
      </c>
      <c r="S2952" s="2">
        <v>5</v>
      </c>
      <c r="T2952" t="s">
        <v>46</v>
      </c>
      <c r="U2952">
        <v>4</v>
      </c>
    </row>
    <row r="2953" spans="1:22" x14ac:dyDescent="0.25">
      <c r="A2953" s="1">
        <v>46138</v>
      </c>
      <c r="B2953" t="s">
        <v>3139</v>
      </c>
      <c r="C2953" t="s">
        <v>384</v>
      </c>
      <c r="D2953" t="s">
        <v>34</v>
      </c>
      <c r="E2953" t="s">
        <v>35</v>
      </c>
      <c r="F2953" t="s">
        <v>36</v>
      </c>
      <c r="G2953" t="s">
        <v>51</v>
      </c>
      <c r="H2953" t="s">
        <v>52</v>
      </c>
      <c r="I2953" t="s">
        <v>77</v>
      </c>
      <c r="J2953" s="2">
        <v>6</v>
      </c>
      <c r="K2953" s="3">
        <v>257.5</v>
      </c>
      <c r="L2953" s="3">
        <v>113.5</v>
      </c>
      <c r="M2953" s="4">
        <v>1.37E-2</v>
      </c>
      <c r="N2953" s="3">
        <f t="shared" si="230"/>
        <v>1545</v>
      </c>
      <c r="O2953" s="3">
        <f t="shared" si="231"/>
        <v>1523.83</v>
      </c>
      <c r="P2953" s="3">
        <f t="shared" si="232"/>
        <v>681</v>
      </c>
      <c r="Q2953" s="3">
        <f t="shared" si="233"/>
        <v>842.83</v>
      </c>
      <c r="R2953" s="4">
        <f t="shared" si="234"/>
        <v>0.55310000000000004</v>
      </c>
      <c r="S2953" s="2">
        <v>7</v>
      </c>
      <c r="T2953" t="s">
        <v>46</v>
      </c>
      <c r="U2953">
        <v>5</v>
      </c>
    </row>
    <row r="2954" spans="1:22" x14ac:dyDescent="0.25">
      <c r="A2954" s="1">
        <v>46122</v>
      </c>
      <c r="B2954" t="s">
        <v>3140</v>
      </c>
      <c r="C2954" t="s">
        <v>349</v>
      </c>
      <c r="D2954" t="s">
        <v>56</v>
      </c>
      <c r="E2954" t="s">
        <v>57</v>
      </c>
      <c r="F2954" t="s">
        <v>26</v>
      </c>
      <c r="G2954" t="s">
        <v>44</v>
      </c>
      <c r="H2954" t="s">
        <v>124</v>
      </c>
      <c r="I2954" t="s">
        <v>60</v>
      </c>
      <c r="J2954" s="2">
        <v>1</v>
      </c>
      <c r="K2954" s="3">
        <v>6005.47</v>
      </c>
      <c r="L2954" s="3">
        <v>4309.26</v>
      </c>
      <c r="M2954" s="4">
        <v>6.1199999999999997E-2</v>
      </c>
      <c r="N2954" s="3">
        <f t="shared" si="230"/>
        <v>6005.47</v>
      </c>
      <c r="O2954" s="3">
        <f t="shared" si="231"/>
        <v>5637.94</v>
      </c>
      <c r="P2954" s="3">
        <f t="shared" si="232"/>
        <v>4309.26</v>
      </c>
      <c r="Q2954" s="3">
        <f t="shared" si="233"/>
        <v>1328.68</v>
      </c>
      <c r="R2954" s="4">
        <f t="shared" si="234"/>
        <v>0.23569999999999999</v>
      </c>
      <c r="S2954" s="2">
        <v>7</v>
      </c>
      <c r="T2954" t="s">
        <v>46</v>
      </c>
      <c r="U2954">
        <v>3</v>
      </c>
    </row>
    <row r="2955" spans="1:22" x14ac:dyDescent="0.25">
      <c r="A2955" s="1">
        <v>46175</v>
      </c>
      <c r="B2955" t="s">
        <v>3141</v>
      </c>
      <c r="C2955" t="s">
        <v>590</v>
      </c>
      <c r="D2955" t="s">
        <v>43</v>
      </c>
      <c r="E2955" t="s">
        <v>25</v>
      </c>
      <c r="F2955" t="s">
        <v>64</v>
      </c>
      <c r="G2955" t="s">
        <v>51</v>
      </c>
      <c r="H2955" t="s">
        <v>116</v>
      </c>
      <c r="I2955" t="s">
        <v>92</v>
      </c>
      <c r="J2955" s="2">
        <v>7</v>
      </c>
      <c r="K2955" s="3">
        <v>2835.56</v>
      </c>
      <c r="L2955" s="3">
        <v>1870.12</v>
      </c>
      <c r="M2955" s="4">
        <v>7.0300000000000001E-2</v>
      </c>
      <c r="N2955" s="3">
        <f t="shared" si="230"/>
        <v>19848.919999999998</v>
      </c>
      <c r="O2955" s="3">
        <f t="shared" si="231"/>
        <v>18453.54</v>
      </c>
      <c r="P2955" s="3">
        <f t="shared" si="232"/>
        <v>13090.84</v>
      </c>
      <c r="Q2955" s="3">
        <f t="shared" si="233"/>
        <v>5362.7</v>
      </c>
      <c r="R2955" s="4">
        <f t="shared" si="234"/>
        <v>0.29060000000000002</v>
      </c>
      <c r="S2955" s="2">
        <v>12</v>
      </c>
      <c r="T2955" t="s">
        <v>30</v>
      </c>
      <c r="U2955">
        <v>5</v>
      </c>
    </row>
    <row r="2956" spans="1:22" x14ac:dyDescent="0.25">
      <c r="A2956" s="1">
        <v>46039</v>
      </c>
      <c r="B2956" t="s">
        <v>3142</v>
      </c>
      <c r="C2956" t="s">
        <v>132</v>
      </c>
      <c r="D2956" t="s">
        <v>43</v>
      </c>
      <c r="E2956" t="s">
        <v>25</v>
      </c>
      <c r="F2956" t="s">
        <v>64</v>
      </c>
      <c r="G2956" t="s">
        <v>44</v>
      </c>
      <c r="H2956" t="s">
        <v>45</v>
      </c>
      <c r="I2956" t="s">
        <v>53</v>
      </c>
      <c r="J2956" s="2">
        <v>3</v>
      </c>
      <c r="K2956" s="3">
        <v>389.01</v>
      </c>
      <c r="L2956" s="3">
        <v>468.22</v>
      </c>
      <c r="M2956" s="4">
        <v>0</v>
      </c>
      <c r="N2956" s="3">
        <f t="shared" si="230"/>
        <v>1167.03</v>
      </c>
      <c r="O2956" s="3">
        <f t="shared" si="231"/>
        <v>1167.03</v>
      </c>
      <c r="P2956" s="3">
        <f t="shared" si="232"/>
        <v>1404.66</v>
      </c>
      <c r="Q2956" s="3">
        <f t="shared" si="233"/>
        <v>-237.63</v>
      </c>
      <c r="R2956" s="4">
        <f t="shared" si="234"/>
        <v>-0.2036</v>
      </c>
      <c r="S2956" s="2">
        <v>9</v>
      </c>
      <c r="T2956" t="s">
        <v>46</v>
      </c>
      <c r="U2956">
        <v>2</v>
      </c>
      <c r="V2956" t="s">
        <v>388</v>
      </c>
    </row>
    <row r="2957" spans="1:22" x14ac:dyDescent="0.25">
      <c r="A2957" s="1">
        <v>46145</v>
      </c>
      <c r="B2957" t="s">
        <v>3143</v>
      </c>
      <c r="C2957" t="s">
        <v>103</v>
      </c>
      <c r="D2957" t="s">
        <v>71</v>
      </c>
      <c r="E2957" t="s">
        <v>72</v>
      </c>
      <c r="F2957" t="s">
        <v>26</v>
      </c>
      <c r="G2957" t="s">
        <v>37</v>
      </c>
      <c r="H2957" t="s">
        <v>104</v>
      </c>
      <c r="I2957" t="s">
        <v>74</v>
      </c>
      <c r="J2957" s="2">
        <v>2</v>
      </c>
      <c r="K2957" s="3">
        <v>323.29000000000002</v>
      </c>
      <c r="L2957" s="3">
        <v>142.19999999999999</v>
      </c>
      <c r="M2957" s="4">
        <v>0.42080000000000001</v>
      </c>
      <c r="N2957" s="3">
        <f t="shared" si="230"/>
        <v>646.58000000000004</v>
      </c>
      <c r="O2957" s="3">
        <f t="shared" si="231"/>
        <v>374.5</v>
      </c>
      <c r="P2957" s="3">
        <f t="shared" si="232"/>
        <v>284.39999999999998</v>
      </c>
      <c r="Q2957" s="3">
        <f t="shared" si="233"/>
        <v>90.1</v>
      </c>
      <c r="R2957" s="4">
        <f t="shared" si="234"/>
        <v>0.24060000000000001</v>
      </c>
      <c r="S2957" s="2">
        <v>10</v>
      </c>
      <c r="T2957" t="s">
        <v>46</v>
      </c>
      <c r="U2957">
        <v>3</v>
      </c>
      <c r="V2957" t="s">
        <v>31</v>
      </c>
    </row>
    <row r="2958" spans="1:22" x14ac:dyDescent="0.25">
      <c r="A2958" s="1">
        <v>46077</v>
      </c>
      <c r="B2958" t="s">
        <v>3144</v>
      </c>
      <c r="C2958" t="s">
        <v>356</v>
      </c>
      <c r="D2958" t="s">
        <v>139</v>
      </c>
      <c r="E2958" t="s">
        <v>72</v>
      </c>
      <c r="F2958" t="s">
        <v>64</v>
      </c>
      <c r="G2958" t="s">
        <v>27</v>
      </c>
      <c r="H2958" t="s">
        <v>68</v>
      </c>
      <c r="I2958" t="s">
        <v>29</v>
      </c>
      <c r="J2958" s="2">
        <v>5</v>
      </c>
      <c r="K2958" s="3">
        <v>1299.3900000000001</v>
      </c>
      <c r="L2958" s="3">
        <v>789.3</v>
      </c>
      <c r="M2958" s="4">
        <v>0</v>
      </c>
      <c r="N2958" s="3">
        <f t="shared" si="230"/>
        <v>6496.95</v>
      </c>
      <c r="O2958" s="3">
        <f t="shared" si="231"/>
        <v>6496.95</v>
      </c>
      <c r="P2958" s="3">
        <f t="shared" si="232"/>
        <v>3946.5</v>
      </c>
      <c r="Q2958" s="3">
        <f t="shared" si="233"/>
        <v>2550.4499999999998</v>
      </c>
      <c r="R2958" s="4">
        <f t="shared" si="234"/>
        <v>0.3926</v>
      </c>
      <c r="S2958" s="2">
        <v>6</v>
      </c>
      <c r="T2958" t="s">
        <v>46</v>
      </c>
      <c r="U2958">
        <v>2</v>
      </c>
    </row>
    <row r="2959" spans="1:22" x14ac:dyDescent="0.25">
      <c r="A2959" s="1">
        <v>46102</v>
      </c>
      <c r="B2959" t="s">
        <v>3145</v>
      </c>
      <c r="C2959" t="s">
        <v>184</v>
      </c>
      <c r="D2959" t="s">
        <v>101</v>
      </c>
      <c r="E2959" t="s">
        <v>35</v>
      </c>
      <c r="F2959" t="s">
        <v>36</v>
      </c>
      <c r="G2959" t="s">
        <v>27</v>
      </c>
      <c r="H2959" t="s">
        <v>28</v>
      </c>
      <c r="I2959" t="s">
        <v>39</v>
      </c>
      <c r="J2959" s="2">
        <v>2</v>
      </c>
      <c r="K2959" s="3">
        <v>835.4</v>
      </c>
      <c r="L2959" s="3">
        <v>472.79</v>
      </c>
      <c r="M2959" s="4">
        <v>3.2000000000000002E-3</v>
      </c>
      <c r="N2959" s="3">
        <f t="shared" si="230"/>
        <v>1670.8</v>
      </c>
      <c r="O2959" s="3">
        <f t="shared" si="231"/>
        <v>1665.45</v>
      </c>
      <c r="P2959" s="3">
        <f t="shared" si="232"/>
        <v>945.58</v>
      </c>
      <c r="Q2959" s="3">
        <f t="shared" si="233"/>
        <v>719.87</v>
      </c>
      <c r="R2959" s="4">
        <f t="shared" si="234"/>
        <v>0.43219999999999997</v>
      </c>
      <c r="S2959" s="2">
        <v>13</v>
      </c>
      <c r="T2959" t="s">
        <v>30</v>
      </c>
      <c r="U2959">
        <v>3</v>
      </c>
    </row>
    <row r="2960" spans="1:22" x14ac:dyDescent="0.25">
      <c r="A2960" s="1">
        <v>46223</v>
      </c>
      <c r="B2960" t="s">
        <v>3146</v>
      </c>
      <c r="C2960" t="s">
        <v>123</v>
      </c>
      <c r="D2960" t="s">
        <v>139</v>
      </c>
      <c r="E2960" t="s">
        <v>72</v>
      </c>
      <c r="F2960" t="s">
        <v>26</v>
      </c>
      <c r="G2960" t="s">
        <v>37</v>
      </c>
      <c r="H2960" t="s">
        <v>38</v>
      </c>
      <c r="I2960" t="s">
        <v>77</v>
      </c>
      <c r="J2960" s="2">
        <v>2</v>
      </c>
      <c r="K2960" s="3">
        <v>413.5</v>
      </c>
      <c r="L2960" s="3">
        <v>199.35</v>
      </c>
      <c r="M2960" s="4">
        <v>0.1244</v>
      </c>
      <c r="N2960" s="3">
        <f t="shared" si="230"/>
        <v>827</v>
      </c>
      <c r="O2960" s="3">
        <f t="shared" si="231"/>
        <v>724.12</v>
      </c>
      <c r="P2960" s="3">
        <f t="shared" si="232"/>
        <v>398.7</v>
      </c>
      <c r="Q2960" s="3">
        <f t="shared" si="233"/>
        <v>325.42</v>
      </c>
      <c r="R2960" s="4">
        <f t="shared" si="234"/>
        <v>0.44940000000000002</v>
      </c>
      <c r="S2960" s="2">
        <v>12</v>
      </c>
      <c r="T2960" t="s">
        <v>30</v>
      </c>
      <c r="U2960">
        <v>5</v>
      </c>
    </row>
    <row r="2961" spans="1:21" x14ac:dyDescent="0.25">
      <c r="A2961" s="1">
        <v>46119</v>
      </c>
      <c r="B2961" t="s">
        <v>3147</v>
      </c>
      <c r="C2961" t="s">
        <v>464</v>
      </c>
      <c r="D2961" t="s">
        <v>63</v>
      </c>
      <c r="E2961" t="s">
        <v>35</v>
      </c>
      <c r="F2961" t="s">
        <v>64</v>
      </c>
      <c r="G2961" t="s">
        <v>37</v>
      </c>
      <c r="H2961" t="s">
        <v>104</v>
      </c>
      <c r="I2961" t="s">
        <v>92</v>
      </c>
      <c r="J2961" s="2">
        <v>7</v>
      </c>
      <c r="K2961" s="3">
        <v>337.45</v>
      </c>
      <c r="L2961" s="3">
        <v>130.86000000000001</v>
      </c>
      <c r="M2961" s="4">
        <v>0</v>
      </c>
      <c r="N2961" s="3">
        <f t="shared" si="230"/>
        <v>2362.15</v>
      </c>
      <c r="O2961" s="3">
        <f t="shared" si="231"/>
        <v>2362.15</v>
      </c>
      <c r="P2961" s="3">
        <f t="shared" si="232"/>
        <v>916.02</v>
      </c>
      <c r="Q2961" s="3">
        <f t="shared" si="233"/>
        <v>1446.13</v>
      </c>
      <c r="R2961" s="4">
        <f t="shared" si="234"/>
        <v>0.61219999999999997</v>
      </c>
      <c r="S2961" s="2">
        <v>11</v>
      </c>
      <c r="T2961" t="s">
        <v>30</v>
      </c>
      <c r="U2961">
        <v>2</v>
      </c>
    </row>
    <row r="2962" spans="1:21" x14ac:dyDescent="0.25">
      <c r="A2962" s="1">
        <v>46090</v>
      </c>
      <c r="B2962" t="s">
        <v>3148</v>
      </c>
      <c r="C2962" t="s">
        <v>91</v>
      </c>
      <c r="D2962" t="s">
        <v>24</v>
      </c>
      <c r="E2962" t="s">
        <v>25</v>
      </c>
      <c r="F2962" t="s">
        <v>64</v>
      </c>
      <c r="G2962" t="s">
        <v>27</v>
      </c>
      <c r="H2962" t="s">
        <v>86</v>
      </c>
      <c r="I2962" t="s">
        <v>94</v>
      </c>
      <c r="J2962" s="2">
        <v>4</v>
      </c>
      <c r="K2962" s="3">
        <v>1894.45</v>
      </c>
      <c r="L2962" s="3">
        <v>1208.93</v>
      </c>
      <c r="M2962" s="4">
        <v>3.04E-2</v>
      </c>
      <c r="N2962" s="3">
        <f t="shared" si="230"/>
        <v>7577.8</v>
      </c>
      <c r="O2962" s="3">
        <f t="shared" si="231"/>
        <v>7347.43</v>
      </c>
      <c r="P2962" s="3">
        <f t="shared" si="232"/>
        <v>4835.72</v>
      </c>
      <c r="Q2962" s="3">
        <f t="shared" si="233"/>
        <v>2511.71</v>
      </c>
      <c r="R2962" s="4">
        <f t="shared" si="234"/>
        <v>0.34179999999999999</v>
      </c>
      <c r="S2962" s="2">
        <v>11</v>
      </c>
      <c r="T2962" t="s">
        <v>30</v>
      </c>
      <c r="U2962">
        <v>3</v>
      </c>
    </row>
    <row r="2963" spans="1:21" x14ac:dyDescent="0.25">
      <c r="A2963" s="1">
        <v>46155</v>
      </c>
      <c r="B2963" t="s">
        <v>3149</v>
      </c>
      <c r="C2963" t="s">
        <v>527</v>
      </c>
      <c r="D2963" t="s">
        <v>71</v>
      </c>
      <c r="E2963" t="s">
        <v>72</v>
      </c>
      <c r="F2963" t="s">
        <v>26</v>
      </c>
      <c r="G2963" t="s">
        <v>44</v>
      </c>
      <c r="H2963" t="s">
        <v>45</v>
      </c>
      <c r="I2963" t="s">
        <v>53</v>
      </c>
      <c r="J2963" s="2">
        <v>4</v>
      </c>
      <c r="K2963" s="3">
        <v>406.95</v>
      </c>
      <c r="L2963" s="3">
        <v>220.57</v>
      </c>
      <c r="M2963" s="4">
        <v>0</v>
      </c>
      <c r="N2963" s="3">
        <f t="shared" si="230"/>
        <v>1627.8</v>
      </c>
      <c r="O2963" s="3">
        <f t="shared" si="231"/>
        <v>1627.8</v>
      </c>
      <c r="P2963" s="3">
        <f t="shared" si="232"/>
        <v>882.28</v>
      </c>
      <c r="Q2963" s="3">
        <f t="shared" si="233"/>
        <v>745.52</v>
      </c>
      <c r="R2963" s="4">
        <f t="shared" si="234"/>
        <v>0.45800000000000002</v>
      </c>
      <c r="S2963" s="2">
        <v>12</v>
      </c>
      <c r="T2963" t="s">
        <v>30</v>
      </c>
      <c r="U2963">
        <v>2</v>
      </c>
    </row>
    <row r="2964" spans="1:21" x14ac:dyDescent="0.25">
      <c r="A2964" s="1">
        <v>46187</v>
      </c>
      <c r="B2964" t="s">
        <v>3150</v>
      </c>
      <c r="C2964" t="s">
        <v>106</v>
      </c>
      <c r="D2964" t="s">
        <v>101</v>
      </c>
      <c r="E2964" t="s">
        <v>35</v>
      </c>
      <c r="F2964" t="s">
        <v>64</v>
      </c>
      <c r="G2964" t="s">
        <v>51</v>
      </c>
      <c r="H2964" t="s">
        <v>59</v>
      </c>
      <c r="I2964" t="s">
        <v>60</v>
      </c>
      <c r="J2964" s="2">
        <v>4</v>
      </c>
      <c r="K2964" s="3">
        <v>2252.8000000000002</v>
      </c>
      <c r="L2964" s="3">
        <v>1404.37</v>
      </c>
      <c r="M2964" s="4">
        <v>0</v>
      </c>
      <c r="N2964" s="3">
        <f t="shared" si="230"/>
        <v>9011.2000000000007</v>
      </c>
      <c r="O2964" s="3">
        <f t="shared" si="231"/>
        <v>9011.2000000000007</v>
      </c>
      <c r="P2964" s="3">
        <f t="shared" si="232"/>
        <v>5617.48</v>
      </c>
      <c r="Q2964" s="3">
        <f t="shared" si="233"/>
        <v>3393.72</v>
      </c>
      <c r="R2964" s="4">
        <f t="shared" si="234"/>
        <v>0.37659999999999999</v>
      </c>
      <c r="S2964" s="2">
        <v>6</v>
      </c>
      <c r="T2964" t="s">
        <v>46</v>
      </c>
      <c r="U2964">
        <v>4</v>
      </c>
    </row>
    <row r="2965" spans="1:21" x14ac:dyDescent="0.25">
      <c r="A2965" s="1">
        <v>46131</v>
      </c>
      <c r="B2965" t="s">
        <v>3151</v>
      </c>
      <c r="C2965" t="s">
        <v>187</v>
      </c>
      <c r="D2965" t="s">
        <v>139</v>
      </c>
      <c r="E2965" t="s">
        <v>72</v>
      </c>
      <c r="F2965" t="s">
        <v>58</v>
      </c>
      <c r="G2965" t="s">
        <v>44</v>
      </c>
      <c r="H2965" t="s">
        <v>124</v>
      </c>
      <c r="I2965" t="s">
        <v>60</v>
      </c>
      <c r="J2965" s="2">
        <v>7</v>
      </c>
      <c r="K2965" s="3">
        <v>5623.58</v>
      </c>
      <c r="L2965" s="3">
        <v>4680.8500000000004</v>
      </c>
      <c r="M2965" s="4">
        <v>3.5799999999999998E-2</v>
      </c>
      <c r="N2965" s="3">
        <f t="shared" si="230"/>
        <v>39365.06</v>
      </c>
      <c r="O2965" s="3">
        <f t="shared" si="231"/>
        <v>37955.79</v>
      </c>
      <c r="P2965" s="3">
        <f t="shared" si="232"/>
        <v>32765.95</v>
      </c>
      <c r="Q2965" s="3">
        <f t="shared" si="233"/>
        <v>5189.84</v>
      </c>
      <c r="R2965" s="4">
        <f t="shared" si="234"/>
        <v>0.13669999999999999</v>
      </c>
      <c r="S2965" s="2">
        <v>3</v>
      </c>
      <c r="T2965" t="s">
        <v>46</v>
      </c>
      <c r="U2965">
        <v>3</v>
      </c>
    </row>
    <row r="2966" spans="1:21" x14ac:dyDescent="0.25">
      <c r="A2966" s="1">
        <v>46133</v>
      </c>
      <c r="B2966" t="s">
        <v>3152</v>
      </c>
      <c r="C2966" t="s">
        <v>214</v>
      </c>
      <c r="D2966" t="s">
        <v>43</v>
      </c>
      <c r="E2966" t="s">
        <v>25</v>
      </c>
      <c r="F2966" t="s">
        <v>36</v>
      </c>
      <c r="G2966" t="s">
        <v>37</v>
      </c>
      <c r="H2966" t="s">
        <v>38</v>
      </c>
      <c r="I2966" t="s">
        <v>94</v>
      </c>
      <c r="J2966" s="2">
        <v>1</v>
      </c>
      <c r="K2966" s="3">
        <v>454.3</v>
      </c>
      <c r="L2966" s="3">
        <v>192.64</v>
      </c>
      <c r="M2966" s="4">
        <v>5.57E-2</v>
      </c>
      <c r="N2966" s="3">
        <f t="shared" si="230"/>
        <v>454.3</v>
      </c>
      <c r="O2966" s="3">
        <f t="shared" si="231"/>
        <v>429</v>
      </c>
      <c r="P2966" s="3">
        <f t="shared" si="232"/>
        <v>192.64</v>
      </c>
      <c r="Q2966" s="3">
        <f t="shared" si="233"/>
        <v>236.36</v>
      </c>
      <c r="R2966" s="4">
        <f t="shared" si="234"/>
        <v>0.55100000000000005</v>
      </c>
      <c r="S2966" s="2">
        <v>5</v>
      </c>
      <c r="T2966" t="s">
        <v>46</v>
      </c>
      <c r="U2966">
        <v>2</v>
      </c>
    </row>
    <row r="2967" spans="1:21" x14ac:dyDescent="0.25">
      <c r="A2967" s="1">
        <v>46090</v>
      </c>
      <c r="B2967" t="s">
        <v>3153</v>
      </c>
      <c r="C2967" t="s">
        <v>174</v>
      </c>
      <c r="D2967" t="s">
        <v>130</v>
      </c>
      <c r="E2967" t="s">
        <v>72</v>
      </c>
      <c r="F2967" t="s">
        <v>64</v>
      </c>
      <c r="G2967" t="s">
        <v>44</v>
      </c>
      <c r="H2967" t="s">
        <v>124</v>
      </c>
      <c r="I2967" t="s">
        <v>65</v>
      </c>
      <c r="J2967" s="2">
        <v>5</v>
      </c>
      <c r="K2967" s="3">
        <v>6122.9</v>
      </c>
      <c r="L2967" s="3">
        <v>4573.2700000000004</v>
      </c>
      <c r="M2967" s="4">
        <v>0</v>
      </c>
      <c r="N2967" s="3">
        <f t="shared" si="230"/>
        <v>30614.5</v>
      </c>
      <c r="O2967" s="3">
        <f t="shared" si="231"/>
        <v>30614.5</v>
      </c>
      <c r="P2967" s="3">
        <f t="shared" si="232"/>
        <v>22866.35</v>
      </c>
      <c r="Q2967" s="3">
        <f t="shared" si="233"/>
        <v>7748.15</v>
      </c>
      <c r="R2967" s="4">
        <f t="shared" si="234"/>
        <v>0.25309999999999999</v>
      </c>
      <c r="S2967" s="2">
        <v>13</v>
      </c>
      <c r="T2967" t="s">
        <v>30</v>
      </c>
      <c r="U2967">
        <v>4</v>
      </c>
    </row>
    <row r="2968" spans="1:21" x14ac:dyDescent="0.25">
      <c r="A2968" s="1">
        <v>46124</v>
      </c>
      <c r="B2968" t="s">
        <v>2432</v>
      </c>
      <c r="C2968" t="s">
        <v>206</v>
      </c>
      <c r="D2968" t="s">
        <v>207</v>
      </c>
      <c r="E2968" t="s">
        <v>35</v>
      </c>
      <c r="F2968" t="s">
        <v>64</v>
      </c>
      <c r="G2968" t="s">
        <v>27</v>
      </c>
      <c r="H2968" t="s">
        <v>68</v>
      </c>
      <c r="I2968" t="s">
        <v>39</v>
      </c>
      <c r="J2968" s="2">
        <v>7</v>
      </c>
      <c r="K2968" s="3">
        <v>1299.1500000000001</v>
      </c>
      <c r="L2968" s="3">
        <v>790.89</v>
      </c>
      <c r="M2968" s="4">
        <v>3.7400000000000003E-2</v>
      </c>
      <c r="N2968" s="3">
        <f t="shared" si="230"/>
        <v>9094.0499999999993</v>
      </c>
      <c r="O2968" s="3">
        <f t="shared" si="231"/>
        <v>8753.93</v>
      </c>
      <c r="P2968" s="3">
        <f t="shared" si="232"/>
        <v>5536.23</v>
      </c>
      <c r="Q2968" s="3">
        <f t="shared" si="233"/>
        <v>3217.7</v>
      </c>
      <c r="R2968" s="4">
        <f t="shared" si="234"/>
        <v>0.36759999999999998</v>
      </c>
      <c r="S2968" s="2">
        <v>10</v>
      </c>
      <c r="T2968" t="s">
        <v>46</v>
      </c>
      <c r="U2968">
        <v>5</v>
      </c>
    </row>
    <row r="2969" spans="1:21" x14ac:dyDescent="0.25">
      <c r="A2969" s="1">
        <v>46135</v>
      </c>
      <c r="B2969" t="s">
        <v>3154</v>
      </c>
      <c r="C2969" t="s">
        <v>378</v>
      </c>
      <c r="D2969" t="s">
        <v>34</v>
      </c>
      <c r="E2969" t="s">
        <v>35</v>
      </c>
      <c r="F2969" t="s">
        <v>64</v>
      </c>
      <c r="G2969" t="s">
        <v>51</v>
      </c>
      <c r="H2969" t="s">
        <v>116</v>
      </c>
      <c r="I2969" t="s">
        <v>94</v>
      </c>
      <c r="J2969" s="2">
        <v>8</v>
      </c>
      <c r="K2969" s="3">
        <v>2683.61</v>
      </c>
      <c r="L2969" s="3">
        <v>1812.11</v>
      </c>
      <c r="M2969" s="4">
        <v>0</v>
      </c>
      <c r="N2969" s="3">
        <f t="shared" si="230"/>
        <v>21468.880000000001</v>
      </c>
      <c r="O2969" s="3">
        <f t="shared" si="231"/>
        <v>21468.880000000001</v>
      </c>
      <c r="P2969" s="3">
        <f t="shared" si="232"/>
        <v>14496.88</v>
      </c>
      <c r="Q2969" s="3">
        <f t="shared" si="233"/>
        <v>6972</v>
      </c>
      <c r="R2969" s="4">
        <f t="shared" si="234"/>
        <v>0.32469999999999999</v>
      </c>
      <c r="S2969" s="2">
        <v>13</v>
      </c>
      <c r="T2969" t="s">
        <v>30</v>
      </c>
      <c r="U2969">
        <v>3</v>
      </c>
    </row>
    <row r="2970" spans="1:21" x14ac:dyDescent="0.25">
      <c r="A2970" s="1">
        <v>46162</v>
      </c>
      <c r="B2970" t="s">
        <v>3155</v>
      </c>
      <c r="C2970" t="s">
        <v>514</v>
      </c>
      <c r="D2970" t="s">
        <v>24</v>
      </c>
      <c r="E2970" t="s">
        <v>25</v>
      </c>
      <c r="F2970" t="s">
        <v>64</v>
      </c>
      <c r="G2970" t="s">
        <v>37</v>
      </c>
      <c r="H2970" t="s">
        <v>38</v>
      </c>
      <c r="I2970" t="s">
        <v>60</v>
      </c>
      <c r="J2970" s="2">
        <v>6</v>
      </c>
      <c r="K2970" s="3">
        <v>451.42</v>
      </c>
      <c r="L2970" s="3">
        <v>192.22</v>
      </c>
      <c r="M2970" s="4">
        <v>0.1115</v>
      </c>
      <c r="N2970" s="3">
        <f t="shared" si="230"/>
        <v>2708.52</v>
      </c>
      <c r="O2970" s="3">
        <f t="shared" si="231"/>
        <v>2406.52</v>
      </c>
      <c r="P2970" s="3">
        <f t="shared" si="232"/>
        <v>1153.32</v>
      </c>
      <c r="Q2970" s="3">
        <f t="shared" si="233"/>
        <v>1253.2</v>
      </c>
      <c r="R2970" s="4">
        <f t="shared" si="234"/>
        <v>0.52080000000000004</v>
      </c>
      <c r="S2970" s="2">
        <v>10</v>
      </c>
      <c r="T2970" t="s">
        <v>46</v>
      </c>
      <c r="U2970">
        <v>5</v>
      </c>
    </row>
    <row r="2971" spans="1:21" x14ac:dyDescent="0.25">
      <c r="A2971" s="1">
        <v>46030</v>
      </c>
      <c r="B2971" t="s">
        <v>3156</v>
      </c>
      <c r="C2971" t="s">
        <v>381</v>
      </c>
      <c r="D2971" t="s">
        <v>97</v>
      </c>
      <c r="E2971" t="s">
        <v>57</v>
      </c>
      <c r="F2971" t="s">
        <v>58</v>
      </c>
      <c r="G2971" t="s">
        <v>27</v>
      </c>
      <c r="H2971" t="s">
        <v>28</v>
      </c>
      <c r="I2971" t="s">
        <v>65</v>
      </c>
      <c r="J2971" s="2">
        <v>8</v>
      </c>
      <c r="K2971" s="3">
        <v>821.24</v>
      </c>
      <c r="L2971" s="3">
        <v>461.29</v>
      </c>
      <c r="M2971" s="4">
        <v>3.5000000000000003E-2</v>
      </c>
      <c r="N2971" s="3">
        <f t="shared" si="230"/>
        <v>6569.92</v>
      </c>
      <c r="O2971" s="3">
        <f t="shared" si="231"/>
        <v>6339.97</v>
      </c>
      <c r="P2971" s="3">
        <f t="shared" si="232"/>
        <v>3690.32</v>
      </c>
      <c r="Q2971" s="3">
        <f t="shared" si="233"/>
        <v>2649.65</v>
      </c>
      <c r="R2971" s="4">
        <f t="shared" si="234"/>
        <v>0.41789999999999999</v>
      </c>
      <c r="S2971" s="2">
        <v>13</v>
      </c>
      <c r="T2971" t="s">
        <v>30</v>
      </c>
      <c r="U2971">
        <v>5</v>
      </c>
    </row>
    <row r="2972" spans="1:21" x14ac:dyDescent="0.25">
      <c r="A2972" s="1">
        <v>46030</v>
      </c>
      <c r="B2972" t="s">
        <v>3157</v>
      </c>
      <c r="C2972" t="s">
        <v>336</v>
      </c>
      <c r="D2972" t="s">
        <v>85</v>
      </c>
      <c r="E2972" t="s">
        <v>50</v>
      </c>
      <c r="F2972" t="s">
        <v>58</v>
      </c>
      <c r="G2972" t="s">
        <v>37</v>
      </c>
      <c r="H2972" t="s">
        <v>104</v>
      </c>
      <c r="I2972" t="s">
        <v>53</v>
      </c>
      <c r="J2972" s="2">
        <v>3</v>
      </c>
      <c r="K2972" s="3">
        <v>305.57</v>
      </c>
      <c r="L2972" s="3">
        <v>139.77000000000001</v>
      </c>
      <c r="M2972" s="4">
        <v>5.7200000000000001E-2</v>
      </c>
      <c r="N2972" s="3">
        <f t="shared" si="230"/>
        <v>916.71</v>
      </c>
      <c r="O2972" s="3">
        <f t="shared" si="231"/>
        <v>864.27</v>
      </c>
      <c r="P2972" s="3">
        <f t="shared" si="232"/>
        <v>419.31</v>
      </c>
      <c r="Q2972" s="3">
        <f t="shared" si="233"/>
        <v>444.96</v>
      </c>
      <c r="R2972" s="4">
        <f t="shared" si="234"/>
        <v>0.51480000000000004</v>
      </c>
      <c r="S2972" s="2">
        <v>12</v>
      </c>
      <c r="T2972" t="s">
        <v>30</v>
      </c>
      <c r="U2972">
        <v>3</v>
      </c>
    </row>
    <row r="2973" spans="1:21" x14ac:dyDescent="0.25">
      <c r="A2973" s="1">
        <v>46078</v>
      </c>
      <c r="B2973" t="s">
        <v>3158</v>
      </c>
      <c r="C2973" t="s">
        <v>201</v>
      </c>
      <c r="D2973" t="s">
        <v>34</v>
      </c>
      <c r="E2973" t="s">
        <v>35</v>
      </c>
      <c r="F2973" t="s">
        <v>36</v>
      </c>
      <c r="G2973" t="s">
        <v>51</v>
      </c>
      <c r="H2973" t="s">
        <v>59</v>
      </c>
      <c r="I2973" t="s">
        <v>74</v>
      </c>
      <c r="J2973" s="2">
        <v>6</v>
      </c>
      <c r="K2973" s="3">
        <v>2187.71</v>
      </c>
      <c r="L2973" s="3">
        <v>1418.11</v>
      </c>
      <c r="M2973" s="4">
        <v>0</v>
      </c>
      <c r="N2973" s="3">
        <f t="shared" si="230"/>
        <v>13126.26</v>
      </c>
      <c r="O2973" s="3">
        <f t="shared" si="231"/>
        <v>13126.26</v>
      </c>
      <c r="P2973" s="3">
        <f t="shared" si="232"/>
        <v>8508.66</v>
      </c>
      <c r="Q2973" s="3">
        <f t="shared" si="233"/>
        <v>4617.6000000000004</v>
      </c>
      <c r="R2973" s="4">
        <f t="shared" si="234"/>
        <v>0.3518</v>
      </c>
      <c r="S2973" s="2">
        <v>7</v>
      </c>
      <c r="T2973" t="s">
        <v>46</v>
      </c>
      <c r="U2973">
        <v>5</v>
      </c>
    </row>
    <row r="2974" spans="1:21" x14ac:dyDescent="0.25">
      <c r="A2974" s="1">
        <v>46197</v>
      </c>
      <c r="B2974" t="s">
        <v>3159</v>
      </c>
      <c r="C2974" t="s">
        <v>180</v>
      </c>
      <c r="D2974" t="s">
        <v>63</v>
      </c>
      <c r="E2974" t="s">
        <v>35</v>
      </c>
      <c r="F2974" t="s">
        <v>58</v>
      </c>
      <c r="G2974" t="s">
        <v>44</v>
      </c>
      <c r="H2974" t="s">
        <v>124</v>
      </c>
      <c r="I2974" t="s">
        <v>29</v>
      </c>
      <c r="J2974" s="2">
        <v>4</v>
      </c>
      <c r="K2974" s="3">
        <v>5576.78</v>
      </c>
      <c r="L2974" s="3">
        <v>4240.04</v>
      </c>
      <c r="M2974" s="4">
        <v>9.3899999999999997E-2</v>
      </c>
      <c r="N2974" s="3">
        <f t="shared" si="230"/>
        <v>22307.119999999999</v>
      </c>
      <c r="O2974" s="3">
        <f t="shared" si="231"/>
        <v>20212.48</v>
      </c>
      <c r="P2974" s="3">
        <f t="shared" si="232"/>
        <v>16960.16</v>
      </c>
      <c r="Q2974" s="3">
        <f t="shared" si="233"/>
        <v>3252.32</v>
      </c>
      <c r="R2974" s="4">
        <f t="shared" si="234"/>
        <v>0.16089999999999999</v>
      </c>
      <c r="S2974" s="2">
        <v>10</v>
      </c>
      <c r="T2974" t="s">
        <v>46</v>
      </c>
      <c r="U2974">
        <v>4</v>
      </c>
    </row>
    <row r="2975" spans="1:21" x14ac:dyDescent="0.25">
      <c r="A2975" s="1">
        <v>46149</v>
      </c>
      <c r="B2975" t="s">
        <v>3160</v>
      </c>
      <c r="C2975" t="s">
        <v>233</v>
      </c>
      <c r="D2975" t="s">
        <v>130</v>
      </c>
      <c r="E2975" t="s">
        <v>72</v>
      </c>
      <c r="F2975" t="s">
        <v>58</v>
      </c>
      <c r="G2975" t="s">
        <v>27</v>
      </c>
      <c r="H2975" t="s">
        <v>68</v>
      </c>
      <c r="I2975" t="s">
        <v>65</v>
      </c>
      <c r="J2975" s="2">
        <v>7</v>
      </c>
      <c r="K2975" s="3">
        <v>1237.24</v>
      </c>
      <c r="L2975" s="3">
        <v>829.3</v>
      </c>
      <c r="M2975" s="4">
        <v>0.13980000000000001</v>
      </c>
      <c r="N2975" s="3">
        <f t="shared" si="230"/>
        <v>8660.68</v>
      </c>
      <c r="O2975" s="3">
        <f t="shared" si="231"/>
        <v>7449.92</v>
      </c>
      <c r="P2975" s="3">
        <f t="shared" si="232"/>
        <v>5805.1</v>
      </c>
      <c r="Q2975" s="3">
        <f t="shared" si="233"/>
        <v>1644.82</v>
      </c>
      <c r="R2975" s="4">
        <f t="shared" si="234"/>
        <v>0.2208</v>
      </c>
      <c r="S2975" s="2">
        <v>4</v>
      </c>
      <c r="T2975" t="s">
        <v>46</v>
      </c>
      <c r="U2975">
        <v>2</v>
      </c>
    </row>
    <row r="2976" spans="1:21" x14ac:dyDescent="0.25">
      <c r="A2976" s="1">
        <v>46097</v>
      </c>
      <c r="B2976" t="s">
        <v>3161</v>
      </c>
      <c r="C2976" t="s">
        <v>235</v>
      </c>
      <c r="D2976" t="s">
        <v>139</v>
      </c>
      <c r="E2976" t="s">
        <v>72</v>
      </c>
      <c r="F2976" t="s">
        <v>64</v>
      </c>
      <c r="G2976" t="s">
        <v>51</v>
      </c>
      <c r="H2976" t="s">
        <v>116</v>
      </c>
      <c r="I2976" t="s">
        <v>77</v>
      </c>
      <c r="J2976" s="2">
        <v>4</v>
      </c>
      <c r="K2976" s="3">
        <v>2688.8</v>
      </c>
      <c r="L2976" s="3">
        <v>1818.25</v>
      </c>
      <c r="M2976" s="4">
        <v>5.0200000000000002E-2</v>
      </c>
      <c r="N2976" s="3">
        <f t="shared" si="230"/>
        <v>10755.2</v>
      </c>
      <c r="O2976" s="3">
        <f t="shared" si="231"/>
        <v>10215.290000000001</v>
      </c>
      <c r="P2976" s="3">
        <f t="shared" si="232"/>
        <v>7273</v>
      </c>
      <c r="Q2976" s="3">
        <f t="shared" si="233"/>
        <v>2942.29</v>
      </c>
      <c r="R2976" s="4">
        <f t="shared" si="234"/>
        <v>0.28799999999999998</v>
      </c>
      <c r="S2976" s="2">
        <v>8</v>
      </c>
      <c r="T2976" t="s">
        <v>46</v>
      </c>
      <c r="U2976">
        <v>3</v>
      </c>
    </row>
    <row r="2977" spans="1:21" x14ac:dyDescent="0.25">
      <c r="A2977" s="1">
        <v>46082</v>
      </c>
      <c r="B2977" t="s">
        <v>3162</v>
      </c>
      <c r="C2977" t="s">
        <v>284</v>
      </c>
      <c r="D2977" t="s">
        <v>113</v>
      </c>
      <c r="E2977" t="s">
        <v>50</v>
      </c>
      <c r="F2977" t="s">
        <v>36</v>
      </c>
      <c r="G2977" t="s">
        <v>27</v>
      </c>
      <c r="H2977" t="s">
        <v>86</v>
      </c>
      <c r="I2977" t="s">
        <v>74</v>
      </c>
      <c r="J2977" s="2">
        <v>6</v>
      </c>
      <c r="K2977" s="3">
        <v>1849.58</v>
      </c>
      <c r="L2977" s="3">
        <v>1162.51</v>
      </c>
      <c r="M2977" s="4">
        <v>0</v>
      </c>
      <c r="N2977" s="3">
        <f t="shared" si="230"/>
        <v>11097.48</v>
      </c>
      <c r="O2977" s="3">
        <f t="shared" si="231"/>
        <v>11097.48</v>
      </c>
      <c r="P2977" s="3">
        <f t="shared" si="232"/>
        <v>6975.06</v>
      </c>
      <c r="Q2977" s="3">
        <f t="shared" si="233"/>
        <v>4122.42</v>
      </c>
      <c r="R2977" s="4">
        <f t="shared" si="234"/>
        <v>0.3715</v>
      </c>
      <c r="S2977" s="2">
        <v>3</v>
      </c>
      <c r="T2977" t="s">
        <v>46</v>
      </c>
      <c r="U2977">
        <v>2</v>
      </c>
    </row>
    <row r="2978" spans="1:21" x14ac:dyDescent="0.25">
      <c r="A2978" s="1">
        <v>46172</v>
      </c>
      <c r="B2978" t="s">
        <v>3163</v>
      </c>
      <c r="C2978" t="s">
        <v>170</v>
      </c>
      <c r="D2978" t="s">
        <v>126</v>
      </c>
      <c r="E2978" t="s">
        <v>57</v>
      </c>
      <c r="F2978" t="s">
        <v>64</v>
      </c>
      <c r="G2978" t="s">
        <v>37</v>
      </c>
      <c r="H2978" t="s">
        <v>38</v>
      </c>
      <c r="I2978" t="s">
        <v>53</v>
      </c>
      <c r="J2978" s="2">
        <v>8</v>
      </c>
      <c r="K2978" s="3">
        <v>413.33</v>
      </c>
      <c r="L2978" s="3">
        <v>188.16</v>
      </c>
      <c r="M2978" s="4">
        <v>0</v>
      </c>
      <c r="N2978" s="3">
        <f t="shared" si="230"/>
        <v>3306.64</v>
      </c>
      <c r="O2978" s="3">
        <f t="shared" si="231"/>
        <v>3306.64</v>
      </c>
      <c r="P2978" s="3">
        <f t="shared" si="232"/>
        <v>1505.28</v>
      </c>
      <c r="Q2978" s="3">
        <f t="shared" si="233"/>
        <v>1801.36</v>
      </c>
      <c r="R2978" s="4">
        <f t="shared" si="234"/>
        <v>0.54479999999999995</v>
      </c>
      <c r="S2978" s="2">
        <v>6</v>
      </c>
      <c r="T2978" t="s">
        <v>46</v>
      </c>
      <c r="U2978">
        <v>4</v>
      </c>
    </row>
    <row r="2979" spans="1:21" x14ac:dyDescent="0.25">
      <c r="A2979" s="1">
        <v>46075</v>
      </c>
      <c r="B2979" t="s">
        <v>3164</v>
      </c>
      <c r="C2979" t="s">
        <v>170</v>
      </c>
      <c r="D2979" t="s">
        <v>121</v>
      </c>
      <c r="E2979" t="s">
        <v>72</v>
      </c>
      <c r="F2979" t="s">
        <v>58</v>
      </c>
      <c r="G2979" t="s">
        <v>37</v>
      </c>
      <c r="H2979" t="s">
        <v>178</v>
      </c>
      <c r="I2979" t="s">
        <v>65</v>
      </c>
      <c r="J2979" s="2">
        <v>7</v>
      </c>
      <c r="K2979" s="3">
        <v>513.21</v>
      </c>
      <c r="L2979" s="3">
        <v>240.71</v>
      </c>
      <c r="M2979" s="4">
        <v>3.5000000000000003E-2</v>
      </c>
      <c r="N2979" s="3">
        <f t="shared" si="230"/>
        <v>3592.47</v>
      </c>
      <c r="O2979" s="3">
        <f t="shared" si="231"/>
        <v>3466.73</v>
      </c>
      <c r="P2979" s="3">
        <f t="shared" si="232"/>
        <v>1684.97</v>
      </c>
      <c r="Q2979" s="3">
        <f t="shared" si="233"/>
        <v>1781.76</v>
      </c>
      <c r="R2979" s="4">
        <f t="shared" si="234"/>
        <v>0.51400000000000001</v>
      </c>
      <c r="S2979" s="2">
        <v>9</v>
      </c>
      <c r="T2979" t="s">
        <v>46</v>
      </c>
      <c r="U2979">
        <v>5</v>
      </c>
    </row>
    <row r="2980" spans="1:21" x14ac:dyDescent="0.25">
      <c r="A2980" s="1">
        <v>46098</v>
      </c>
      <c r="B2980" t="s">
        <v>3165</v>
      </c>
      <c r="C2980" t="s">
        <v>606</v>
      </c>
      <c r="D2980" t="s">
        <v>34</v>
      </c>
      <c r="E2980" t="s">
        <v>35</v>
      </c>
      <c r="F2980" t="s">
        <v>58</v>
      </c>
      <c r="G2980" t="s">
        <v>27</v>
      </c>
      <c r="H2980" t="s">
        <v>28</v>
      </c>
      <c r="I2980" t="s">
        <v>94</v>
      </c>
      <c r="J2980" s="2">
        <v>5</v>
      </c>
      <c r="K2980" s="3">
        <v>792.11</v>
      </c>
      <c r="L2980" s="3">
        <v>439.43</v>
      </c>
      <c r="M2980" s="4">
        <v>7.9100000000000004E-2</v>
      </c>
      <c r="N2980" s="3">
        <f t="shared" si="230"/>
        <v>3960.55</v>
      </c>
      <c r="O2980" s="3">
        <f t="shared" si="231"/>
        <v>3647.27</v>
      </c>
      <c r="P2980" s="3">
        <f t="shared" si="232"/>
        <v>2197.15</v>
      </c>
      <c r="Q2980" s="3">
        <f t="shared" si="233"/>
        <v>1450.12</v>
      </c>
      <c r="R2980" s="4">
        <f t="shared" si="234"/>
        <v>0.39760000000000001</v>
      </c>
      <c r="S2980" s="2">
        <v>12</v>
      </c>
      <c r="T2980" t="s">
        <v>30</v>
      </c>
      <c r="U2980">
        <v>5</v>
      </c>
    </row>
    <row r="2981" spans="1:21" x14ac:dyDescent="0.25">
      <c r="A2981" s="1">
        <v>46140</v>
      </c>
      <c r="B2981" t="s">
        <v>3166</v>
      </c>
      <c r="C2981" t="s">
        <v>159</v>
      </c>
      <c r="D2981" t="s">
        <v>113</v>
      </c>
      <c r="E2981" t="s">
        <v>50</v>
      </c>
      <c r="F2981" t="s">
        <v>58</v>
      </c>
      <c r="G2981" t="s">
        <v>51</v>
      </c>
      <c r="H2981" t="s">
        <v>59</v>
      </c>
      <c r="I2981" t="s">
        <v>60</v>
      </c>
      <c r="J2981" s="2">
        <v>1</v>
      </c>
      <c r="K2981" s="3">
        <v>2176.7800000000002</v>
      </c>
      <c r="L2981" s="3">
        <v>1416.98</v>
      </c>
      <c r="M2981" s="4">
        <v>6.6600000000000006E-2</v>
      </c>
      <c r="N2981" s="3">
        <f t="shared" si="230"/>
        <v>2176.7800000000002</v>
      </c>
      <c r="O2981" s="3">
        <f t="shared" si="231"/>
        <v>2031.81</v>
      </c>
      <c r="P2981" s="3">
        <f t="shared" si="232"/>
        <v>1416.98</v>
      </c>
      <c r="Q2981" s="3">
        <f t="shared" si="233"/>
        <v>614.83000000000004</v>
      </c>
      <c r="R2981" s="4">
        <f t="shared" si="234"/>
        <v>0.30259999999999998</v>
      </c>
      <c r="S2981" s="2">
        <v>9</v>
      </c>
      <c r="T2981" t="s">
        <v>46</v>
      </c>
      <c r="U2981">
        <v>3</v>
      </c>
    </row>
    <row r="2982" spans="1:21" x14ac:dyDescent="0.25">
      <c r="A2982" s="1">
        <v>46154</v>
      </c>
      <c r="B2982" t="s">
        <v>3167</v>
      </c>
      <c r="C2982" t="s">
        <v>284</v>
      </c>
      <c r="D2982" t="s">
        <v>113</v>
      </c>
      <c r="E2982" t="s">
        <v>50</v>
      </c>
      <c r="F2982" t="s">
        <v>26</v>
      </c>
      <c r="G2982" t="s">
        <v>51</v>
      </c>
      <c r="H2982" t="s">
        <v>116</v>
      </c>
      <c r="I2982" t="s">
        <v>60</v>
      </c>
      <c r="J2982" s="2">
        <v>1</v>
      </c>
      <c r="K2982" s="3">
        <v>2653.25</v>
      </c>
      <c r="L2982" s="3">
        <v>1810.97</v>
      </c>
      <c r="M2982" s="4">
        <v>9.9199999999999997E-2</v>
      </c>
      <c r="N2982" s="3">
        <f t="shared" si="230"/>
        <v>2653.25</v>
      </c>
      <c r="O2982" s="3">
        <f t="shared" si="231"/>
        <v>2390.0500000000002</v>
      </c>
      <c r="P2982" s="3">
        <f t="shared" si="232"/>
        <v>1810.97</v>
      </c>
      <c r="Q2982" s="3">
        <f t="shared" si="233"/>
        <v>579.08000000000004</v>
      </c>
      <c r="R2982" s="4">
        <f t="shared" si="234"/>
        <v>0.24229999999999999</v>
      </c>
      <c r="S2982" s="2">
        <v>6</v>
      </c>
      <c r="T2982" t="s">
        <v>46</v>
      </c>
      <c r="U2982">
        <v>5</v>
      </c>
    </row>
    <row r="2983" spans="1:21" x14ac:dyDescent="0.25">
      <c r="A2983" s="1">
        <v>46034</v>
      </c>
      <c r="B2983" t="s">
        <v>3168</v>
      </c>
      <c r="C2983" t="s">
        <v>500</v>
      </c>
      <c r="D2983" t="s">
        <v>24</v>
      </c>
      <c r="E2983" t="s">
        <v>25</v>
      </c>
      <c r="F2983" t="s">
        <v>58</v>
      </c>
      <c r="G2983" t="s">
        <v>37</v>
      </c>
      <c r="H2983" t="s">
        <v>178</v>
      </c>
      <c r="I2983" t="s">
        <v>87</v>
      </c>
      <c r="J2983" s="2">
        <v>4</v>
      </c>
      <c r="K2983" s="3">
        <v>527.08000000000004</v>
      </c>
      <c r="L2983" s="3">
        <v>240.99</v>
      </c>
      <c r="M2983" s="4">
        <v>7.1199999999999999E-2</v>
      </c>
      <c r="N2983" s="3">
        <f t="shared" si="230"/>
        <v>2108.3200000000002</v>
      </c>
      <c r="O2983" s="3">
        <f t="shared" si="231"/>
        <v>1958.21</v>
      </c>
      <c r="P2983" s="3">
        <f t="shared" si="232"/>
        <v>963.96</v>
      </c>
      <c r="Q2983" s="3">
        <f t="shared" si="233"/>
        <v>994.25</v>
      </c>
      <c r="R2983" s="4">
        <f t="shared" si="234"/>
        <v>0.50770000000000004</v>
      </c>
      <c r="S2983" s="2">
        <v>13</v>
      </c>
      <c r="T2983" t="s">
        <v>30</v>
      </c>
      <c r="U2983">
        <v>3</v>
      </c>
    </row>
    <row r="2984" spans="1:21" x14ac:dyDescent="0.25">
      <c r="A2984" s="1">
        <v>46083</v>
      </c>
      <c r="B2984" t="s">
        <v>3169</v>
      </c>
      <c r="C2984" t="s">
        <v>247</v>
      </c>
      <c r="D2984" t="s">
        <v>207</v>
      </c>
      <c r="E2984" t="s">
        <v>35</v>
      </c>
      <c r="F2984" t="s">
        <v>58</v>
      </c>
      <c r="G2984" t="s">
        <v>37</v>
      </c>
      <c r="H2984" t="s">
        <v>38</v>
      </c>
      <c r="I2984" t="s">
        <v>65</v>
      </c>
      <c r="J2984" s="2">
        <v>5</v>
      </c>
      <c r="K2984" s="3">
        <v>443.77</v>
      </c>
      <c r="L2984" s="3">
        <v>184.23</v>
      </c>
      <c r="M2984" s="4">
        <v>7.5600000000000001E-2</v>
      </c>
      <c r="N2984" s="3">
        <f t="shared" si="230"/>
        <v>2218.85</v>
      </c>
      <c r="O2984" s="3">
        <f t="shared" si="231"/>
        <v>2051.1</v>
      </c>
      <c r="P2984" s="3">
        <f t="shared" si="232"/>
        <v>921.15</v>
      </c>
      <c r="Q2984" s="3">
        <f t="shared" si="233"/>
        <v>1129.95</v>
      </c>
      <c r="R2984" s="4">
        <f t="shared" si="234"/>
        <v>0.55089999999999995</v>
      </c>
      <c r="S2984" s="2">
        <v>4</v>
      </c>
      <c r="T2984" t="s">
        <v>46</v>
      </c>
      <c r="U2984">
        <v>3</v>
      </c>
    </row>
    <row r="2985" spans="1:21" x14ac:dyDescent="0.25">
      <c r="A2985" s="1">
        <v>46063</v>
      </c>
      <c r="B2985" t="s">
        <v>3170</v>
      </c>
      <c r="C2985" t="s">
        <v>220</v>
      </c>
      <c r="D2985" t="s">
        <v>130</v>
      </c>
      <c r="E2985" t="s">
        <v>72</v>
      </c>
      <c r="F2985" t="s">
        <v>26</v>
      </c>
      <c r="G2985" t="s">
        <v>51</v>
      </c>
      <c r="H2985" t="s">
        <v>59</v>
      </c>
      <c r="I2985" t="s">
        <v>60</v>
      </c>
      <c r="J2985" s="2">
        <v>3</v>
      </c>
      <c r="K2985" s="3">
        <v>2179.4899999999998</v>
      </c>
      <c r="L2985" s="3">
        <v>1510.67</v>
      </c>
      <c r="M2985" s="4">
        <v>0</v>
      </c>
      <c r="N2985" s="3">
        <f t="shared" si="230"/>
        <v>6538.47</v>
      </c>
      <c r="O2985" s="3">
        <f t="shared" si="231"/>
        <v>6538.47</v>
      </c>
      <c r="P2985" s="3">
        <f t="shared" si="232"/>
        <v>4532.01</v>
      </c>
      <c r="Q2985" s="3">
        <f t="shared" si="233"/>
        <v>2006.46</v>
      </c>
      <c r="R2985" s="4">
        <f t="shared" si="234"/>
        <v>0.30690000000000001</v>
      </c>
      <c r="S2985" s="2">
        <v>5</v>
      </c>
      <c r="T2985" t="s">
        <v>46</v>
      </c>
      <c r="U2985">
        <v>2</v>
      </c>
    </row>
    <row r="2986" spans="1:21" x14ac:dyDescent="0.25">
      <c r="A2986" s="1">
        <v>46100</v>
      </c>
      <c r="B2986" t="s">
        <v>3171</v>
      </c>
      <c r="C2986" t="s">
        <v>48</v>
      </c>
      <c r="D2986" t="s">
        <v>49</v>
      </c>
      <c r="E2986" t="s">
        <v>50</v>
      </c>
      <c r="F2986" t="s">
        <v>36</v>
      </c>
      <c r="G2986" t="s">
        <v>44</v>
      </c>
      <c r="H2986" t="s">
        <v>73</v>
      </c>
      <c r="I2986" t="s">
        <v>94</v>
      </c>
      <c r="J2986" s="2">
        <v>4</v>
      </c>
      <c r="K2986" s="3">
        <v>1741.18</v>
      </c>
      <c r="L2986" s="3">
        <v>1095.8699999999999</v>
      </c>
      <c r="M2986" s="4">
        <v>0.1026</v>
      </c>
      <c r="N2986" s="3">
        <f t="shared" si="230"/>
        <v>6964.72</v>
      </c>
      <c r="O2986" s="3">
        <f t="shared" si="231"/>
        <v>6250.14</v>
      </c>
      <c r="P2986" s="3">
        <f t="shared" si="232"/>
        <v>4383.4799999999996</v>
      </c>
      <c r="Q2986" s="3">
        <f t="shared" si="233"/>
        <v>1866.66</v>
      </c>
      <c r="R2986" s="4">
        <f t="shared" si="234"/>
        <v>0.29870000000000002</v>
      </c>
      <c r="S2986" s="2">
        <v>2</v>
      </c>
      <c r="T2986" t="s">
        <v>46</v>
      </c>
      <c r="U2986">
        <v>2</v>
      </c>
    </row>
    <row r="2987" spans="1:21" x14ac:dyDescent="0.25">
      <c r="A2987" s="1">
        <v>46185</v>
      </c>
      <c r="B2987" t="s">
        <v>3172</v>
      </c>
      <c r="C2987" t="s">
        <v>260</v>
      </c>
      <c r="D2987" t="s">
        <v>49</v>
      </c>
      <c r="E2987" t="s">
        <v>50</v>
      </c>
      <c r="F2987" t="s">
        <v>26</v>
      </c>
      <c r="G2987" t="s">
        <v>51</v>
      </c>
      <c r="H2987" t="s">
        <v>59</v>
      </c>
      <c r="I2987" t="s">
        <v>60</v>
      </c>
      <c r="J2987" s="2">
        <v>1</v>
      </c>
      <c r="K2987" s="3">
        <v>2230.87</v>
      </c>
      <c r="L2987" s="3">
        <v>1424.7</v>
      </c>
      <c r="M2987" s="4">
        <v>0</v>
      </c>
      <c r="N2987" s="3">
        <f t="shared" si="230"/>
        <v>2230.87</v>
      </c>
      <c r="O2987" s="3">
        <f t="shared" si="231"/>
        <v>2230.87</v>
      </c>
      <c r="P2987" s="3">
        <f t="shared" si="232"/>
        <v>1424.7</v>
      </c>
      <c r="Q2987" s="3">
        <f t="shared" si="233"/>
        <v>806.17</v>
      </c>
      <c r="R2987" s="4">
        <f t="shared" si="234"/>
        <v>0.3614</v>
      </c>
      <c r="S2987" s="2">
        <v>12</v>
      </c>
      <c r="T2987" t="s">
        <v>30</v>
      </c>
      <c r="U2987">
        <v>2</v>
      </c>
    </row>
    <row r="2988" spans="1:21" x14ac:dyDescent="0.25">
      <c r="A2988" s="1">
        <v>46109</v>
      </c>
      <c r="B2988" t="s">
        <v>3173</v>
      </c>
      <c r="C2988" t="s">
        <v>606</v>
      </c>
      <c r="D2988" t="s">
        <v>49</v>
      </c>
      <c r="E2988" t="s">
        <v>50</v>
      </c>
      <c r="F2988" t="s">
        <v>58</v>
      </c>
      <c r="G2988" t="s">
        <v>44</v>
      </c>
      <c r="H2988" t="s">
        <v>124</v>
      </c>
      <c r="I2988" t="s">
        <v>94</v>
      </c>
      <c r="J2988" s="2">
        <v>8</v>
      </c>
      <c r="K2988" s="3">
        <v>6182.68</v>
      </c>
      <c r="L2988" s="3">
        <v>4242.34</v>
      </c>
      <c r="M2988" s="4">
        <v>3.5000000000000003E-2</v>
      </c>
      <c r="N2988" s="3">
        <f t="shared" si="230"/>
        <v>49461.440000000002</v>
      </c>
      <c r="O2988" s="3">
        <f t="shared" si="231"/>
        <v>47730.29</v>
      </c>
      <c r="P2988" s="3">
        <f t="shared" si="232"/>
        <v>33938.720000000001</v>
      </c>
      <c r="Q2988" s="3">
        <f t="shared" si="233"/>
        <v>13791.57</v>
      </c>
      <c r="R2988" s="4">
        <f t="shared" si="234"/>
        <v>0.28889999999999999</v>
      </c>
      <c r="S2988" s="2">
        <v>2</v>
      </c>
      <c r="T2988" t="s">
        <v>46</v>
      </c>
      <c r="U2988">
        <v>3</v>
      </c>
    </row>
    <row r="2989" spans="1:21" x14ac:dyDescent="0.25">
      <c r="A2989" s="1">
        <v>46087</v>
      </c>
      <c r="B2989" t="s">
        <v>3174</v>
      </c>
      <c r="C2989" t="s">
        <v>153</v>
      </c>
      <c r="D2989" t="s">
        <v>34</v>
      </c>
      <c r="E2989" t="s">
        <v>35</v>
      </c>
      <c r="F2989" t="s">
        <v>26</v>
      </c>
      <c r="G2989" t="s">
        <v>37</v>
      </c>
      <c r="H2989" t="s">
        <v>178</v>
      </c>
      <c r="I2989" t="s">
        <v>94</v>
      </c>
      <c r="J2989" s="2">
        <v>5</v>
      </c>
      <c r="K2989" s="3">
        <v>479.46</v>
      </c>
      <c r="L2989" s="3">
        <v>241.35</v>
      </c>
      <c r="M2989" s="4">
        <v>4.7100000000000003E-2</v>
      </c>
      <c r="N2989" s="3">
        <f t="shared" si="230"/>
        <v>2397.3000000000002</v>
      </c>
      <c r="O2989" s="3">
        <f t="shared" si="231"/>
        <v>2284.39</v>
      </c>
      <c r="P2989" s="3">
        <f t="shared" si="232"/>
        <v>1206.75</v>
      </c>
      <c r="Q2989" s="3">
        <f t="shared" si="233"/>
        <v>1077.6400000000001</v>
      </c>
      <c r="R2989" s="4">
        <f t="shared" si="234"/>
        <v>0.47170000000000001</v>
      </c>
      <c r="S2989" s="2">
        <v>6</v>
      </c>
      <c r="T2989" t="s">
        <v>46</v>
      </c>
      <c r="U2989">
        <v>4</v>
      </c>
    </row>
    <row r="2990" spans="1:21" x14ac:dyDescent="0.25">
      <c r="A2990" s="1">
        <v>46028</v>
      </c>
      <c r="B2990" t="s">
        <v>3175</v>
      </c>
      <c r="C2990" t="s">
        <v>148</v>
      </c>
      <c r="D2990" t="s">
        <v>113</v>
      </c>
      <c r="E2990" t="s">
        <v>50</v>
      </c>
      <c r="F2990" t="s">
        <v>64</v>
      </c>
      <c r="G2990" t="s">
        <v>27</v>
      </c>
      <c r="H2990" t="s">
        <v>28</v>
      </c>
      <c r="I2990" t="s">
        <v>74</v>
      </c>
      <c r="J2990" s="2">
        <v>1</v>
      </c>
      <c r="K2990" s="3">
        <v>788.27</v>
      </c>
      <c r="L2990" s="3">
        <v>441.97</v>
      </c>
      <c r="M2990" s="4">
        <v>0</v>
      </c>
      <c r="N2990" s="3">
        <f t="shared" si="230"/>
        <v>788.27</v>
      </c>
      <c r="O2990" s="3">
        <f t="shared" si="231"/>
        <v>788.27</v>
      </c>
      <c r="P2990" s="3">
        <f t="shared" si="232"/>
        <v>441.97</v>
      </c>
      <c r="Q2990" s="3">
        <f t="shared" si="233"/>
        <v>346.3</v>
      </c>
      <c r="R2990" s="4">
        <f t="shared" si="234"/>
        <v>0.43930000000000002</v>
      </c>
      <c r="S2990" s="2">
        <v>7</v>
      </c>
      <c r="T2990" t="s">
        <v>46</v>
      </c>
      <c r="U2990">
        <v>2</v>
      </c>
    </row>
    <row r="2991" spans="1:21" x14ac:dyDescent="0.25">
      <c r="A2991" s="1">
        <v>46217</v>
      </c>
      <c r="B2991" t="s">
        <v>3176</v>
      </c>
      <c r="C2991" t="s">
        <v>155</v>
      </c>
      <c r="D2991" t="s">
        <v>130</v>
      </c>
      <c r="E2991" t="s">
        <v>72</v>
      </c>
      <c r="F2991" t="s">
        <v>58</v>
      </c>
      <c r="G2991" t="s">
        <v>51</v>
      </c>
      <c r="H2991" t="s">
        <v>59</v>
      </c>
      <c r="I2991" t="s">
        <v>94</v>
      </c>
      <c r="J2991" s="2">
        <v>6</v>
      </c>
      <c r="K2991" s="3">
        <v>2105.1799999999998</v>
      </c>
      <c r="L2991" s="3">
        <v>1406.37</v>
      </c>
      <c r="M2991" s="4">
        <v>3.5000000000000003E-2</v>
      </c>
      <c r="N2991" s="3">
        <f t="shared" si="230"/>
        <v>12631.08</v>
      </c>
      <c r="O2991" s="3">
        <f t="shared" si="231"/>
        <v>12188.99</v>
      </c>
      <c r="P2991" s="3">
        <f t="shared" si="232"/>
        <v>8438.2199999999993</v>
      </c>
      <c r="Q2991" s="3">
        <f t="shared" si="233"/>
        <v>3750.77</v>
      </c>
      <c r="R2991" s="4">
        <f t="shared" si="234"/>
        <v>0.30769999999999997</v>
      </c>
      <c r="S2991" s="2">
        <v>2</v>
      </c>
      <c r="T2991" t="s">
        <v>46</v>
      </c>
      <c r="U2991">
        <v>4</v>
      </c>
    </row>
    <row r="2992" spans="1:21" x14ac:dyDescent="0.25">
      <c r="A2992" s="1">
        <v>46024</v>
      </c>
      <c r="B2992" t="s">
        <v>3177</v>
      </c>
      <c r="C2992" t="s">
        <v>168</v>
      </c>
      <c r="D2992" t="s">
        <v>207</v>
      </c>
      <c r="E2992" t="s">
        <v>35</v>
      </c>
      <c r="F2992" t="s">
        <v>26</v>
      </c>
      <c r="G2992" t="s">
        <v>44</v>
      </c>
      <c r="H2992" t="s">
        <v>73</v>
      </c>
      <c r="I2992" t="s">
        <v>53</v>
      </c>
      <c r="J2992" s="2">
        <v>4</v>
      </c>
      <c r="K2992" s="3">
        <v>1646.61</v>
      </c>
      <c r="L2992" s="3">
        <v>1107.29</v>
      </c>
      <c r="M2992" s="4">
        <v>4.1000000000000002E-2</v>
      </c>
      <c r="N2992" s="3">
        <f t="shared" si="230"/>
        <v>6586.44</v>
      </c>
      <c r="O2992" s="3">
        <f t="shared" si="231"/>
        <v>6316.4</v>
      </c>
      <c r="P2992" s="3">
        <f t="shared" si="232"/>
        <v>4429.16</v>
      </c>
      <c r="Q2992" s="3">
        <f t="shared" si="233"/>
        <v>1887.24</v>
      </c>
      <c r="R2992" s="4">
        <f t="shared" si="234"/>
        <v>0.29880000000000001</v>
      </c>
      <c r="S2992" s="2">
        <v>14</v>
      </c>
      <c r="T2992" t="s">
        <v>30</v>
      </c>
      <c r="U2992">
        <v>5</v>
      </c>
    </row>
    <row r="2993" spans="1:22" x14ac:dyDescent="0.25">
      <c r="A2993" s="1">
        <v>46051</v>
      </c>
      <c r="B2993" t="s">
        <v>3178</v>
      </c>
      <c r="C2993" t="s">
        <v>500</v>
      </c>
      <c r="D2993" t="s">
        <v>56</v>
      </c>
      <c r="E2993" t="s">
        <v>57</v>
      </c>
      <c r="F2993" t="s">
        <v>58</v>
      </c>
      <c r="G2993" t="s">
        <v>37</v>
      </c>
      <c r="H2993" t="s">
        <v>178</v>
      </c>
      <c r="I2993" t="s">
        <v>74</v>
      </c>
      <c r="J2993" s="2">
        <v>8</v>
      </c>
      <c r="K2993" s="3">
        <v>516.29999999999995</v>
      </c>
      <c r="L2993" s="3">
        <v>232.56</v>
      </c>
      <c r="M2993" s="4">
        <v>6.7199999999999996E-2</v>
      </c>
      <c r="N2993" s="3">
        <f t="shared" si="230"/>
        <v>4130.3999999999996</v>
      </c>
      <c r="O2993" s="3">
        <f t="shared" si="231"/>
        <v>3852.84</v>
      </c>
      <c r="P2993" s="3">
        <f t="shared" si="232"/>
        <v>1860.48</v>
      </c>
      <c r="Q2993" s="3">
        <f t="shared" si="233"/>
        <v>1992.36</v>
      </c>
      <c r="R2993" s="4">
        <f t="shared" si="234"/>
        <v>0.5171</v>
      </c>
      <c r="S2993" s="2">
        <v>12</v>
      </c>
      <c r="T2993" t="s">
        <v>30</v>
      </c>
      <c r="U2993">
        <v>2</v>
      </c>
    </row>
    <row r="2994" spans="1:22" x14ac:dyDescent="0.25">
      <c r="A2994" s="1">
        <v>46131</v>
      </c>
      <c r="B2994" t="s">
        <v>3179</v>
      </c>
      <c r="C2994" t="s">
        <v>155</v>
      </c>
      <c r="D2994" t="s">
        <v>101</v>
      </c>
      <c r="E2994" t="s">
        <v>35</v>
      </c>
      <c r="F2994" t="s">
        <v>64</v>
      </c>
      <c r="G2994" t="s">
        <v>51</v>
      </c>
      <c r="H2994" t="s">
        <v>116</v>
      </c>
      <c r="I2994" t="s">
        <v>39</v>
      </c>
      <c r="J2994" s="2">
        <v>6</v>
      </c>
      <c r="K2994" s="3">
        <v>2841.29</v>
      </c>
      <c r="L2994" s="3">
        <v>1766.14</v>
      </c>
      <c r="M2994" s="4">
        <v>0</v>
      </c>
      <c r="N2994" s="3">
        <f t="shared" si="230"/>
        <v>17047.740000000002</v>
      </c>
      <c r="O2994" s="3">
        <f t="shared" si="231"/>
        <v>17047.740000000002</v>
      </c>
      <c r="P2994" s="3">
        <f t="shared" si="232"/>
        <v>10596.84</v>
      </c>
      <c r="Q2994" s="3">
        <f t="shared" si="233"/>
        <v>6450.9</v>
      </c>
      <c r="R2994" s="4">
        <f t="shared" si="234"/>
        <v>0.37840000000000001</v>
      </c>
      <c r="S2994" s="2">
        <v>2</v>
      </c>
      <c r="T2994" t="s">
        <v>46</v>
      </c>
      <c r="U2994">
        <v>5</v>
      </c>
    </row>
    <row r="2995" spans="1:22" x14ac:dyDescent="0.25">
      <c r="A2995" s="1">
        <v>46200</v>
      </c>
      <c r="B2995" t="s">
        <v>3180</v>
      </c>
      <c r="C2995" t="s">
        <v>123</v>
      </c>
      <c r="D2995" t="s">
        <v>34</v>
      </c>
      <c r="E2995" t="s">
        <v>35</v>
      </c>
      <c r="F2995" t="s">
        <v>36</v>
      </c>
      <c r="G2995" t="s">
        <v>27</v>
      </c>
      <c r="H2995" t="s">
        <v>68</v>
      </c>
      <c r="I2995" t="s">
        <v>77</v>
      </c>
      <c r="J2995" s="2">
        <v>2</v>
      </c>
      <c r="K2995" s="3">
        <v>1336.1</v>
      </c>
      <c r="L2995" s="3">
        <v>754.24</v>
      </c>
      <c r="M2995" s="4">
        <v>0</v>
      </c>
      <c r="N2995" s="3">
        <f t="shared" si="230"/>
        <v>2672.2</v>
      </c>
      <c r="O2995" s="3">
        <f t="shared" si="231"/>
        <v>2672.2</v>
      </c>
      <c r="P2995" s="3">
        <f t="shared" si="232"/>
        <v>1508.48</v>
      </c>
      <c r="Q2995" s="3">
        <f t="shared" si="233"/>
        <v>1163.72</v>
      </c>
      <c r="R2995" s="4">
        <f t="shared" si="234"/>
        <v>0.4355</v>
      </c>
      <c r="S2995" s="2">
        <v>33</v>
      </c>
      <c r="T2995" t="s">
        <v>30</v>
      </c>
      <c r="U2995">
        <v>1</v>
      </c>
      <c r="V2995" t="s">
        <v>208</v>
      </c>
    </row>
    <row r="2996" spans="1:22" x14ac:dyDescent="0.25">
      <c r="A2996" s="1">
        <v>46116</v>
      </c>
      <c r="B2996" t="s">
        <v>3181</v>
      </c>
      <c r="C2996" t="s">
        <v>321</v>
      </c>
      <c r="D2996" t="s">
        <v>130</v>
      </c>
      <c r="E2996" t="s">
        <v>72</v>
      </c>
      <c r="F2996" t="s">
        <v>58</v>
      </c>
      <c r="G2996" t="s">
        <v>51</v>
      </c>
      <c r="H2996" t="s">
        <v>59</v>
      </c>
      <c r="I2996" t="s">
        <v>87</v>
      </c>
      <c r="J2996" s="2">
        <v>1</v>
      </c>
      <c r="K2996" s="3">
        <v>2209.84</v>
      </c>
      <c r="L2996" s="3">
        <v>1438.54</v>
      </c>
      <c r="M2996" s="4">
        <v>0.16420000000000001</v>
      </c>
      <c r="N2996" s="3">
        <f t="shared" si="230"/>
        <v>2209.84</v>
      </c>
      <c r="O2996" s="3">
        <f t="shared" si="231"/>
        <v>1846.98</v>
      </c>
      <c r="P2996" s="3">
        <f t="shared" si="232"/>
        <v>1438.54</v>
      </c>
      <c r="Q2996" s="3">
        <f t="shared" si="233"/>
        <v>408.44</v>
      </c>
      <c r="R2996" s="4">
        <f t="shared" si="234"/>
        <v>0.22109999999999999</v>
      </c>
      <c r="S2996" s="2">
        <v>2</v>
      </c>
      <c r="T2996" t="s">
        <v>46</v>
      </c>
      <c r="U2996">
        <v>2</v>
      </c>
    </row>
    <row r="2997" spans="1:22" x14ac:dyDescent="0.25">
      <c r="A2997" s="1">
        <v>46119</v>
      </c>
      <c r="B2997" t="s">
        <v>3182</v>
      </c>
      <c r="C2997" t="s">
        <v>523</v>
      </c>
      <c r="D2997" t="s">
        <v>207</v>
      </c>
      <c r="E2997" t="s">
        <v>35</v>
      </c>
      <c r="F2997" t="s">
        <v>26</v>
      </c>
      <c r="G2997" t="s">
        <v>27</v>
      </c>
      <c r="H2997" t="s">
        <v>28</v>
      </c>
      <c r="I2997" t="s">
        <v>94</v>
      </c>
      <c r="J2997" s="2">
        <v>5</v>
      </c>
      <c r="K2997" s="3">
        <v>830.41</v>
      </c>
      <c r="L2997" s="3">
        <v>456.96</v>
      </c>
      <c r="M2997" s="4">
        <v>6.93E-2</v>
      </c>
      <c r="N2997" s="3">
        <f t="shared" si="230"/>
        <v>4152.05</v>
      </c>
      <c r="O2997" s="3">
        <f t="shared" si="231"/>
        <v>3864.31</v>
      </c>
      <c r="P2997" s="3">
        <f t="shared" si="232"/>
        <v>2284.8000000000002</v>
      </c>
      <c r="Q2997" s="3">
        <f t="shared" si="233"/>
        <v>1579.51</v>
      </c>
      <c r="R2997" s="4">
        <f t="shared" si="234"/>
        <v>0.40870000000000001</v>
      </c>
      <c r="S2997" s="2">
        <v>7</v>
      </c>
      <c r="T2997" t="s">
        <v>46</v>
      </c>
      <c r="U2997">
        <v>4</v>
      </c>
    </row>
    <row r="2998" spans="1:22" x14ac:dyDescent="0.25">
      <c r="A2998" s="1">
        <v>46225</v>
      </c>
      <c r="B2998" t="s">
        <v>3183</v>
      </c>
      <c r="C2998" t="s">
        <v>89</v>
      </c>
      <c r="D2998" t="s">
        <v>130</v>
      </c>
      <c r="E2998" t="s">
        <v>72</v>
      </c>
      <c r="F2998" t="s">
        <v>64</v>
      </c>
      <c r="G2998" t="s">
        <v>27</v>
      </c>
      <c r="H2998" t="s">
        <v>28</v>
      </c>
      <c r="I2998" t="s">
        <v>29</v>
      </c>
      <c r="J2998" s="2">
        <v>1</v>
      </c>
      <c r="K2998" s="3">
        <v>763.23</v>
      </c>
      <c r="L2998" s="3">
        <v>457.27</v>
      </c>
      <c r="M2998" s="4">
        <v>7.6E-3</v>
      </c>
      <c r="N2998" s="3">
        <f t="shared" si="230"/>
        <v>763.23</v>
      </c>
      <c r="O2998" s="3">
        <f t="shared" si="231"/>
        <v>757.43</v>
      </c>
      <c r="P2998" s="3">
        <f t="shared" si="232"/>
        <v>457.27</v>
      </c>
      <c r="Q2998" s="3">
        <f t="shared" si="233"/>
        <v>300.16000000000003</v>
      </c>
      <c r="R2998" s="4">
        <f t="shared" si="234"/>
        <v>0.39629999999999999</v>
      </c>
      <c r="S2998" s="2">
        <v>10</v>
      </c>
      <c r="T2998" t="s">
        <v>46</v>
      </c>
      <c r="U2998">
        <v>3</v>
      </c>
    </row>
    <row r="2999" spans="1:22" x14ac:dyDescent="0.25">
      <c r="A2999" s="1">
        <v>46205</v>
      </c>
      <c r="B2999" t="s">
        <v>3184</v>
      </c>
      <c r="C2999" t="s">
        <v>76</v>
      </c>
      <c r="D2999" t="s">
        <v>63</v>
      </c>
      <c r="E2999" t="s">
        <v>35</v>
      </c>
      <c r="F2999" t="s">
        <v>58</v>
      </c>
      <c r="G2999" t="s">
        <v>44</v>
      </c>
      <c r="H2999" t="s">
        <v>45</v>
      </c>
      <c r="I2999" t="s">
        <v>94</v>
      </c>
      <c r="J2999" s="2">
        <v>7</v>
      </c>
      <c r="K2999" s="3">
        <v>410.13</v>
      </c>
      <c r="L2999" s="3">
        <v>211.07</v>
      </c>
      <c r="M2999" s="4">
        <v>5.4199999999999998E-2</v>
      </c>
      <c r="N2999" s="3">
        <f t="shared" si="230"/>
        <v>2870.91</v>
      </c>
      <c r="O2999" s="3">
        <f t="shared" si="231"/>
        <v>2715.31</v>
      </c>
      <c r="P2999" s="3">
        <f t="shared" si="232"/>
        <v>1477.49</v>
      </c>
      <c r="Q2999" s="3">
        <f t="shared" si="233"/>
        <v>1237.82</v>
      </c>
      <c r="R2999" s="4">
        <f t="shared" si="234"/>
        <v>0.45590000000000003</v>
      </c>
      <c r="S2999" s="2">
        <v>10</v>
      </c>
      <c r="T2999" t="s">
        <v>46</v>
      </c>
      <c r="U2999">
        <v>5</v>
      </c>
    </row>
    <row r="3000" spans="1:22" x14ac:dyDescent="0.25">
      <c r="A3000" s="1">
        <v>46061</v>
      </c>
      <c r="B3000" t="s">
        <v>3185</v>
      </c>
      <c r="C3000" t="s">
        <v>284</v>
      </c>
      <c r="D3000" t="s">
        <v>207</v>
      </c>
      <c r="E3000" t="s">
        <v>35</v>
      </c>
      <c r="F3000" t="s">
        <v>36</v>
      </c>
      <c r="G3000" t="s">
        <v>51</v>
      </c>
      <c r="H3000" t="s">
        <v>116</v>
      </c>
      <c r="I3000" t="s">
        <v>87</v>
      </c>
      <c r="J3000" s="2">
        <v>7</v>
      </c>
      <c r="K3000" s="3">
        <v>2777.04</v>
      </c>
      <c r="L3000" s="3">
        <v>1777.56</v>
      </c>
      <c r="M3000" s="4">
        <v>0</v>
      </c>
      <c r="N3000" s="3">
        <f t="shared" si="230"/>
        <v>19439.28</v>
      </c>
      <c r="O3000" s="3">
        <f t="shared" si="231"/>
        <v>19439.28</v>
      </c>
      <c r="P3000" s="3">
        <f t="shared" si="232"/>
        <v>12442.92</v>
      </c>
      <c r="Q3000" s="3">
        <f t="shared" si="233"/>
        <v>6996.36</v>
      </c>
      <c r="R3000" s="4">
        <f t="shared" si="234"/>
        <v>0.3599</v>
      </c>
      <c r="S3000" s="2">
        <v>14</v>
      </c>
      <c r="T3000" t="s">
        <v>30</v>
      </c>
      <c r="U3000">
        <v>3</v>
      </c>
    </row>
    <row r="3001" spans="1:22" x14ac:dyDescent="0.25">
      <c r="A3001" s="1">
        <v>46127</v>
      </c>
      <c r="B3001" t="s">
        <v>3186</v>
      </c>
      <c r="C3001" t="s">
        <v>349</v>
      </c>
      <c r="D3001" t="s">
        <v>121</v>
      </c>
      <c r="E3001" t="s">
        <v>72</v>
      </c>
      <c r="F3001" t="s">
        <v>64</v>
      </c>
      <c r="G3001" t="s">
        <v>44</v>
      </c>
      <c r="H3001" t="s">
        <v>124</v>
      </c>
      <c r="I3001" t="s">
        <v>87</v>
      </c>
      <c r="J3001" s="2">
        <v>3</v>
      </c>
      <c r="K3001" s="3">
        <v>5612.07</v>
      </c>
      <c r="L3001" s="3">
        <v>4611.5</v>
      </c>
      <c r="M3001" s="4">
        <v>0</v>
      </c>
      <c r="N3001" s="3">
        <f t="shared" si="230"/>
        <v>16836.21</v>
      </c>
      <c r="O3001" s="3">
        <f t="shared" si="231"/>
        <v>16836.21</v>
      </c>
      <c r="P3001" s="3">
        <f t="shared" si="232"/>
        <v>13834.5</v>
      </c>
      <c r="Q3001" s="3">
        <f t="shared" si="233"/>
        <v>3001.71</v>
      </c>
      <c r="R3001" s="4">
        <f t="shared" si="234"/>
        <v>0.17829999999999999</v>
      </c>
      <c r="S3001" s="2">
        <v>12</v>
      </c>
      <c r="T3001" t="s">
        <v>30</v>
      </c>
      <c r="U3001">
        <v>3</v>
      </c>
    </row>
  </sheetData>
  <conditionalFormatting sqref="M2:M3001">
    <cfRule type="cellIs" dxfId="3" priority="1" operator="greaterThan">
      <formula>0.3</formula>
    </cfRule>
  </conditionalFormatting>
  <conditionalFormatting sqref="R2:R3001">
    <cfRule type="cellIs" dxfId="2" priority="2" operator="lessThan">
      <formula>0</formula>
    </cfRule>
  </conditionalFormatting>
  <conditionalFormatting sqref="S2:S3001">
    <cfRule type="cellIs" dxfId="1" priority="3" operator="greaterThan">
      <formula>15</formula>
    </cfRule>
  </conditionalFormatting>
  <conditionalFormatting sqref="T2:T3001">
    <cfRule type="containsText" dxfId="0" priority="4" operator="containsText" text="Cancelado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Damasceno</dc:creator>
  <cp:lastModifiedBy>Daniel Damasceno</cp:lastModifiedBy>
  <dcterms:created xsi:type="dcterms:W3CDTF">2026-08-05T09:11:29Z</dcterms:created>
  <dcterms:modified xsi:type="dcterms:W3CDTF">2026-08-05T09:12:16Z</dcterms:modified>
</cp:coreProperties>
</file>